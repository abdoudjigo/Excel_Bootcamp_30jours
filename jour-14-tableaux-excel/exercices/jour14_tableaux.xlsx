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4-tableaux-excel\exercices\"/>
    </mc:Choice>
  </mc:AlternateContent>
  <xr:revisionPtr revIDLastSave="0" documentId="13_ncr:1_{D2D60634-AAC7-4AB1-8CC4-372A448736DA}" xr6:coauthVersionLast="47" xr6:coauthVersionMax="47" xr10:uidLastSave="{00000000-0000-0000-0000-000000000000}"/>
  <bookViews>
    <workbookView xWindow="-98" yWindow="-98" windowWidth="19396" windowHeight="10276" activeTab="1" xr2:uid="{B3AEF5D1-9AB2-45C2-B2A2-28D6C549D0D4}"/>
  </bookViews>
  <sheets>
    <sheet name="Pratique_Tableaux" sheetId="1" r:id="rId1"/>
    <sheet name="V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B3" i="2"/>
  <c r="C3" i="2" a="1"/>
  <c r="C3" i="2" s="1"/>
  <c r="D3" i="2" a="1"/>
  <c r="D3" i="2" s="1"/>
  <c r="E3" i="2" a="1"/>
  <c r="E3" i="2" s="1"/>
  <c r="F3" i="2"/>
  <c r="G3" i="2"/>
  <c r="B4" i="2"/>
  <c r="C4" i="2" a="1"/>
  <c r="C4" i="2" s="1"/>
  <c r="D4" i="2" a="1"/>
  <c r="D4" i="2" s="1"/>
  <c r="E4" i="2" a="1"/>
  <c r="E4" i="2" s="1"/>
  <c r="F4" i="2"/>
  <c r="G4" i="2"/>
  <c r="B5" i="2"/>
  <c r="C5" i="2" a="1"/>
  <c r="C5" i="2" s="1"/>
  <c r="D5" i="2" a="1"/>
  <c r="D5" i="2" s="1"/>
  <c r="E5" i="2" a="1"/>
  <c r="E5" i="2" s="1"/>
  <c r="F5" i="2"/>
  <c r="G5" i="2"/>
  <c r="B6" i="2"/>
  <c r="C6" i="2" a="1"/>
  <c r="C6" i="2" s="1"/>
  <c r="D6" i="2" a="1"/>
  <c r="D6" i="2" s="1"/>
  <c r="E6" i="2" a="1"/>
  <c r="E6" i="2" s="1"/>
  <c r="F6" i="2"/>
  <c r="G6" i="2"/>
  <c r="B7" i="2"/>
  <c r="C7" i="2" a="1"/>
  <c r="C7" i="2" s="1"/>
  <c r="D7" i="2" a="1"/>
  <c r="D7" i="2" s="1"/>
  <c r="E7" i="2" a="1"/>
  <c r="E7" i="2" s="1"/>
  <c r="F7" i="2"/>
  <c r="G7" i="2"/>
  <c r="B8" i="2"/>
  <c r="C8" i="2" a="1"/>
  <c r="C8" i="2" s="1"/>
  <c r="D8" i="2" a="1"/>
  <c r="D8" i="2" s="1"/>
  <c r="E8" i="2" a="1"/>
  <c r="E8" i="2" s="1"/>
  <c r="F8" i="2"/>
  <c r="G8" i="2"/>
  <c r="B9" i="2"/>
  <c r="C9" i="2" a="1"/>
  <c r="C9" i="2" s="1"/>
  <c r="D9" i="2" a="1"/>
  <c r="D9" i="2" s="1"/>
  <c r="E9" i="2" a="1"/>
  <c r="E9" i="2" s="1"/>
  <c r="F9" i="2"/>
  <c r="G9" i="2"/>
  <c r="B10" i="2"/>
  <c r="C10" i="2" a="1"/>
  <c r="C10" i="2" s="1"/>
  <c r="D10" i="2" a="1"/>
  <c r="D10" i="2" s="1"/>
  <c r="E10" i="2" a="1"/>
  <c r="E10" i="2" s="1"/>
  <c r="F10" i="2"/>
  <c r="G10" i="2"/>
  <c r="B11" i="2"/>
  <c r="C11" i="2" a="1"/>
  <c r="C11" i="2" s="1"/>
  <c r="D11" i="2" a="1"/>
  <c r="D11" i="2" s="1"/>
  <c r="E11" i="2" a="1"/>
  <c r="E11" i="2" s="1"/>
  <c r="F11" i="2"/>
  <c r="G11" i="2"/>
  <c r="B12" i="2"/>
  <c r="C12" i="2" a="1"/>
  <c r="C12" i="2" s="1"/>
  <c r="D12" i="2" a="1"/>
  <c r="D12" i="2" s="1"/>
  <c r="E12" i="2" a="1"/>
  <c r="E12" i="2" s="1"/>
  <c r="F12" i="2"/>
  <c r="G12" i="2"/>
  <c r="B13" i="2"/>
  <c r="C13" i="2" a="1"/>
  <c r="C13" i="2" s="1"/>
  <c r="D13" i="2" a="1"/>
  <c r="D13" i="2" s="1"/>
  <c r="E13" i="2" a="1"/>
  <c r="E13" i="2" s="1"/>
  <c r="F13" i="2"/>
  <c r="G13" i="2"/>
  <c r="B14" i="2"/>
  <c r="C14" i="2" a="1"/>
  <c r="C14" i="2" s="1"/>
  <c r="D14" i="2" a="1"/>
  <c r="D14" i="2" s="1"/>
  <c r="E14" i="2" a="1"/>
  <c r="E14" i="2" s="1"/>
  <c r="F14" i="2"/>
  <c r="G14" i="2"/>
  <c r="B15" i="2"/>
  <c r="C15" i="2" a="1"/>
  <c r="C15" i="2" s="1"/>
  <c r="D15" i="2" a="1"/>
  <c r="D15" i="2" s="1"/>
  <c r="E15" i="2" a="1"/>
  <c r="E15" i="2" s="1"/>
  <c r="F15" i="2"/>
  <c r="G15" i="2"/>
  <c r="B16" i="2"/>
  <c r="C16" i="2" a="1"/>
  <c r="C16" i="2" s="1"/>
  <c r="D16" i="2" a="1"/>
  <c r="D16" i="2" s="1"/>
  <c r="E16" i="2" a="1"/>
  <c r="E16" i="2" s="1"/>
  <c r="F16" i="2"/>
  <c r="G16" i="2"/>
  <c r="B17" i="2"/>
  <c r="C17" i="2" a="1"/>
  <c r="C17" i="2" s="1"/>
  <c r="D17" i="2" a="1"/>
  <c r="D17" i="2" s="1"/>
  <c r="E17" i="2" a="1"/>
  <c r="E17" i="2" s="1"/>
  <c r="F17" i="2"/>
  <c r="G17" i="2"/>
  <c r="B18" i="2"/>
  <c r="C18" i="2" a="1"/>
  <c r="C18" i="2" s="1"/>
  <c r="D18" i="2" a="1"/>
  <c r="D18" i="2" s="1"/>
  <c r="E18" i="2" a="1"/>
  <c r="E18" i="2" s="1"/>
  <c r="F18" i="2"/>
  <c r="G18" i="2"/>
  <c r="B19" i="2"/>
  <c r="C19" i="2" a="1"/>
  <c r="C19" i="2" s="1"/>
  <c r="D19" i="2" a="1"/>
  <c r="D19" i="2" s="1"/>
  <c r="E19" i="2" a="1"/>
  <c r="E19" i="2" s="1"/>
  <c r="F19" i="2"/>
  <c r="G19" i="2"/>
  <c r="B20" i="2"/>
  <c r="C20" i="2" a="1"/>
  <c r="C20" i="2" s="1"/>
  <c r="D20" i="2" a="1"/>
  <c r="D20" i="2" s="1"/>
  <c r="E20" i="2" a="1"/>
  <c r="E20" i="2" s="1"/>
  <c r="F20" i="2"/>
  <c r="G20" i="2"/>
  <c r="B21" i="2"/>
  <c r="C21" i="2" a="1"/>
  <c r="C21" i="2" s="1"/>
  <c r="D21" i="2" a="1"/>
  <c r="D21" i="2" s="1"/>
  <c r="E21" i="2" a="1"/>
  <c r="E21" i="2" s="1"/>
  <c r="F21" i="2"/>
  <c r="G21" i="2"/>
  <c r="B22" i="2"/>
  <c r="C22" i="2" a="1"/>
  <c r="C22" i="2" s="1"/>
  <c r="D22" i="2" a="1"/>
  <c r="D22" i="2" s="1"/>
  <c r="E22" i="2" a="1"/>
  <c r="E22" i="2" s="1"/>
  <c r="F22" i="2"/>
  <c r="G22" i="2"/>
  <c r="B23" i="2"/>
  <c r="C23" i="2" a="1"/>
  <c r="C23" i="2" s="1"/>
  <c r="D23" i="2" a="1"/>
  <c r="D23" i="2" s="1"/>
  <c r="E23" i="2" a="1"/>
  <c r="E23" i="2" s="1"/>
  <c r="F23" i="2"/>
  <c r="G23" i="2"/>
  <c r="B24" i="2"/>
  <c r="C24" i="2" a="1"/>
  <c r="C24" i="2" s="1"/>
  <c r="D24" i="2" a="1"/>
  <c r="D24" i="2" s="1"/>
  <c r="E24" i="2" a="1"/>
  <c r="E24" i="2" s="1"/>
  <c r="F24" i="2"/>
  <c r="G24" i="2"/>
  <c r="B25" i="2"/>
  <c r="C25" i="2" a="1"/>
  <c r="C25" i="2" s="1"/>
  <c r="D25" i="2" a="1"/>
  <c r="D25" i="2" s="1"/>
  <c r="E25" i="2" a="1"/>
  <c r="E25" i="2" s="1"/>
  <c r="F25" i="2"/>
  <c r="G25" i="2"/>
  <c r="B26" i="2"/>
  <c r="C26" i="2" a="1"/>
  <c r="C26" i="2" s="1"/>
  <c r="D26" i="2" a="1"/>
  <c r="D26" i="2" s="1"/>
  <c r="E26" i="2" a="1"/>
  <c r="E26" i="2" s="1"/>
  <c r="F26" i="2"/>
  <c r="G26" i="2"/>
  <c r="B27" i="2"/>
  <c r="C27" i="2" a="1"/>
  <c r="C27" i="2" s="1"/>
  <c r="D27" i="2" a="1"/>
  <c r="D27" i="2" s="1"/>
  <c r="E27" i="2" a="1"/>
  <c r="E27" i="2" s="1"/>
  <c r="F27" i="2"/>
  <c r="G27" i="2"/>
  <c r="B28" i="2"/>
  <c r="C28" i="2" a="1"/>
  <c r="C28" i="2" s="1"/>
  <c r="D28" i="2" a="1"/>
  <c r="D28" i="2" s="1"/>
  <c r="E28" i="2" a="1"/>
  <c r="E28" i="2" s="1"/>
  <c r="F28" i="2"/>
  <c r="G28" i="2"/>
  <c r="B29" i="2"/>
  <c r="C29" i="2" a="1"/>
  <c r="C29" i="2" s="1"/>
  <c r="D29" i="2" a="1"/>
  <c r="D29" i="2" s="1"/>
  <c r="E29" i="2" a="1"/>
  <c r="E29" i="2" s="1"/>
  <c r="F29" i="2"/>
  <c r="G29" i="2"/>
  <c r="B30" i="2"/>
  <c r="C30" i="2" a="1"/>
  <c r="C30" i="2" s="1"/>
  <c r="D30" i="2" a="1"/>
  <c r="D30" i="2" s="1"/>
  <c r="E30" i="2" a="1"/>
  <c r="E30" i="2" s="1"/>
  <c r="F30" i="2"/>
  <c r="G30" i="2"/>
  <c r="B31" i="2"/>
  <c r="C31" i="2" a="1"/>
  <c r="C31" i="2" s="1"/>
  <c r="D31" i="2" a="1"/>
  <c r="D31" i="2" s="1"/>
  <c r="E31" i="2" a="1"/>
  <c r="E31" i="2" s="1"/>
  <c r="F31" i="2"/>
  <c r="G31" i="2"/>
  <c r="B32" i="2"/>
  <c r="C32" i="2" a="1"/>
  <c r="C32" i="2" s="1"/>
  <c r="D32" i="2" a="1"/>
  <c r="D32" i="2" s="1"/>
  <c r="E32" i="2" a="1"/>
  <c r="E32" i="2" s="1"/>
  <c r="F32" i="2"/>
  <c r="G32" i="2"/>
  <c r="B33" i="2"/>
  <c r="C33" i="2" a="1"/>
  <c r="C33" i="2" s="1"/>
  <c r="D33" i="2" a="1"/>
  <c r="D33" i="2" s="1"/>
  <c r="E33" i="2" a="1"/>
  <c r="E33" i="2" s="1"/>
  <c r="F33" i="2"/>
  <c r="G33" i="2"/>
  <c r="B34" i="2"/>
  <c r="C34" i="2" a="1"/>
  <c r="C34" i="2" s="1"/>
  <c r="D34" i="2" a="1"/>
  <c r="D34" i="2" s="1"/>
  <c r="E34" i="2" a="1"/>
  <c r="E34" i="2" s="1"/>
  <c r="F34" i="2"/>
  <c r="G34" i="2"/>
  <c r="B35" i="2"/>
  <c r="C35" i="2" a="1"/>
  <c r="C35" i="2" s="1"/>
  <c r="D35" i="2" a="1"/>
  <c r="D35" i="2" s="1"/>
  <c r="E35" i="2" a="1"/>
  <c r="E35" i="2" s="1"/>
  <c r="F35" i="2"/>
  <c r="G35" i="2"/>
  <c r="B36" i="2"/>
  <c r="C36" i="2" a="1"/>
  <c r="C36" i="2" s="1"/>
  <c r="D36" i="2" a="1"/>
  <c r="D36" i="2" s="1"/>
  <c r="E36" i="2" a="1"/>
  <c r="E36" i="2" s="1"/>
  <c r="F36" i="2"/>
  <c r="G36" i="2"/>
  <c r="B37" i="2"/>
  <c r="C37" i="2" a="1"/>
  <c r="C37" i="2" s="1"/>
  <c r="D37" i="2" a="1"/>
  <c r="D37" i="2" s="1"/>
  <c r="E37" i="2" a="1"/>
  <c r="E37" i="2" s="1"/>
  <c r="F37" i="2"/>
  <c r="G37" i="2"/>
  <c r="B38" i="2"/>
  <c r="C38" i="2" a="1"/>
  <c r="C38" i="2" s="1"/>
  <c r="D38" i="2" a="1"/>
  <c r="D38" i="2" s="1"/>
  <c r="E38" i="2" a="1"/>
  <c r="E38" i="2" s="1"/>
  <c r="F38" i="2"/>
  <c r="G38" i="2"/>
  <c r="B39" i="2"/>
  <c r="C39" i="2" a="1"/>
  <c r="C39" i="2" s="1"/>
  <c r="D39" i="2" a="1"/>
  <c r="D39" i="2" s="1"/>
  <c r="E39" i="2" a="1"/>
  <c r="E39" i="2" s="1"/>
  <c r="F39" i="2"/>
  <c r="G39" i="2"/>
  <c r="B40" i="2"/>
  <c r="C40" i="2" a="1"/>
  <c r="C40" i="2" s="1"/>
  <c r="D40" i="2" a="1"/>
  <c r="D40" i="2" s="1"/>
  <c r="E40" i="2" a="1"/>
  <c r="E40" i="2" s="1"/>
  <c r="F40" i="2"/>
  <c r="G40" i="2"/>
  <c r="B41" i="2"/>
  <c r="C41" i="2" a="1"/>
  <c r="C41" i="2" s="1"/>
  <c r="D41" i="2" a="1"/>
  <c r="D41" i="2" s="1"/>
  <c r="E41" i="2" a="1"/>
  <c r="E41" i="2" s="1"/>
  <c r="F41" i="2"/>
  <c r="G41" i="2"/>
  <c r="B42" i="2"/>
  <c r="C42" i="2" a="1"/>
  <c r="C42" i="2" s="1"/>
  <c r="D42" i="2" a="1"/>
  <c r="D42" i="2" s="1"/>
  <c r="E42" i="2" a="1"/>
  <c r="E42" i="2" s="1"/>
  <c r="F42" i="2"/>
  <c r="G42" i="2"/>
  <c r="B43" i="2"/>
  <c r="C43" i="2" a="1"/>
  <c r="C43" i="2" s="1"/>
  <c r="D43" i="2" a="1"/>
  <c r="D43" i="2" s="1"/>
  <c r="E43" i="2" a="1"/>
  <c r="E43" i="2" s="1"/>
  <c r="F43" i="2"/>
  <c r="G43" i="2"/>
  <c r="B44" i="2"/>
  <c r="C44" i="2" a="1"/>
  <c r="C44" i="2" s="1"/>
  <c r="D44" i="2" a="1"/>
  <c r="D44" i="2" s="1"/>
  <c r="E44" i="2" a="1"/>
  <c r="E44" i="2" s="1"/>
  <c r="F44" i="2"/>
  <c r="G44" i="2"/>
  <c r="B45" i="2"/>
  <c r="C45" i="2" a="1"/>
  <c r="C45" i="2" s="1"/>
  <c r="D45" i="2" a="1"/>
  <c r="D45" i="2" s="1"/>
  <c r="E45" i="2" a="1"/>
  <c r="E45" i="2" s="1"/>
  <c r="F45" i="2"/>
  <c r="G45" i="2"/>
  <c r="B46" i="2"/>
  <c r="C46" i="2" a="1"/>
  <c r="C46" i="2" s="1"/>
  <c r="D46" i="2" a="1"/>
  <c r="D46" i="2" s="1"/>
  <c r="E46" i="2" a="1"/>
  <c r="E46" i="2" s="1"/>
  <c r="F46" i="2"/>
  <c r="G46" i="2"/>
  <c r="B47" i="2"/>
  <c r="C47" i="2" a="1"/>
  <c r="C47" i="2" s="1"/>
  <c r="D47" i="2" a="1"/>
  <c r="D47" i="2" s="1"/>
  <c r="E47" i="2" a="1"/>
  <c r="E47" i="2" s="1"/>
  <c r="F47" i="2"/>
  <c r="G47" i="2"/>
  <c r="B48" i="2"/>
  <c r="C48" i="2" a="1"/>
  <c r="C48" i="2" s="1"/>
  <c r="D48" i="2" a="1"/>
  <c r="D48" i="2" s="1"/>
  <c r="E48" i="2" a="1"/>
  <c r="E48" i="2" s="1"/>
  <c r="F48" i="2"/>
  <c r="G48" i="2"/>
  <c r="B49" i="2"/>
  <c r="C49" i="2" a="1"/>
  <c r="C49" i="2" s="1"/>
  <c r="D49" i="2" a="1"/>
  <c r="D49" i="2" s="1"/>
  <c r="E49" i="2" a="1"/>
  <c r="E49" i="2" s="1"/>
  <c r="F49" i="2"/>
  <c r="G49" i="2"/>
  <c r="B50" i="2"/>
  <c r="C50" i="2" a="1"/>
  <c r="C50" i="2" s="1"/>
  <c r="D50" i="2" a="1"/>
  <c r="D50" i="2" s="1"/>
  <c r="E50" i="2" a="1"/>
  <c r="E50" i="2" s="1"/>
  <c r="F50" i="2"/>
  <c r="G50" i="2"/>
  <c r="B51" i="2"/>
  <c r="C51" i="2" a="1"/>
  <c r="C51" i="2" s="1"/>
  <c r="D51" i="2" a="1"/>
  <c r="D51" i="2" s="1"/>
  <c r="E51" i="2" a="1"/>
  <c r="E51" i="2" s="1"/>
  <c r="F51" i="2"/>
  <c r="G51" i="2"/>
  <c r="B52" i="2"/>
  <c r="C52" i="2" a="1"/>
  <c r="C52" i="2" s="1"/>
  <c r="D52" i="2" a="1"/>
  <c r="D52" i="2" s="1"/>
  <c r="E52" i="2" a="1"/>
  <c r="E52" i="2" s="1"/>
  <c r="F52" i="2"/>
  <c r="G52" i="2"/>
  <c r="B53" i="2"/>
  <c r="C53" i="2" a="1"/>
  <c r="C53" i="2" s="1"/>
  <c r="D53" i="2" a="1"/>
  <c r="D53" i="2" s="1"/>
  <c r="E53" i="2" a="1"/>
  <c r="E53" i="2" s="1"/>
  <c r="F53" i="2"/>
  <c r="G53" i="2"/>
  <c r="B54" i="2"/>
  <c r="C54" i="2" a="1"/>
  <c r="C54" i="2" s="1"/>
  <c r="D54" i="2" a="1"/>
  <c r="D54" i="2" s="1"/>
  <c r="E54" i="2" a="1"/>
  <c r="E54" i="2" s="1"/>
  <c r="F54" i="2"/>
  <c r="G54" i="2"/>
  <c r="B55" i="2"/>
  <c r="C55" i="2" a="1"/>
  <c r="C55" i="2" s="1"/>
  <c r="D55" i="2" a="1"/>
  <c r="D55" i="2" s="1"/>
  <c r="E55" i="2" a="1"/>
  <c r="E55" i="2" s="1"/>
  <c r="F55" i="2"/>
  <c r="G55" i="2"/>
  <c r="B56" i="2"/>
  <c r="C56" i="2" a="1"/>
  <c r="C56" i="2" s="1"/>
  <c r="D56" i="2" a="1"/>
  <c r="D56" i="2" s="1"/>
  <c r="E56" i="2" a="1"/>
  <c r="E56" i="2" s="1"/>
  <c r="F56" i="2"/>
  <c r="G56" i="2"/>
  <c r="B57" i="2"/>
  <c r="C57" i="2" a="1"/>
  <c r="C57" i="2" s="1"/>
  <c r="D57" i="2" a="1"/>
  <c r="D57" i="2" s="1"/>
  <c r="E57" i="2" a="1"/>
  <c r="E57" i="2" s="1"/>
  <c r="F57" i="2"/>
  <c r="G57" i="2"/>
  <c r="B58" i="2"/>
  <c r="C58" i="2" a="1"/>
  <c r="C58" i="2" s="1"/>
  <c r="D58" i="2" a="1"/>
  <c r="D58" i="2" s="1"/>
  <c r="E58" i="2" a="1"/>
  <c r="E58" i="2" s="1"/>
  <c r="F58" i="2"/>
  <c r="G58" i="2"/>
  <c r="B59" i="2"/>
  <c r="C59" i="2" a="1"/>
  <c r="C59" i="2" s="1"/>
  <c r="D59" i="2" a="1"/>
  <c r="D59" i="2" s="1"/>
  <c r="E59" i="2" a="1"/>
  <c r="E59" i="2" s="1"/>
  <c r="F59" i="2"/>
  <c r="G59" i="2"/>
  <c r="B60" i="2"/>
  <c r="C60" i="2" a="1"/>
  <c r="C60" i="2" s="1"/>
  <c r="D60" i="2" a="1"/>
  <c r="D60" i="2" s="1"/>
  <c r="E60" i="2" a="1"/>
  <c r="E60" i="2" s="1"/>
  <c r="F60" i="2"/>
  <c r="G60" i="2"/>
  <c r="B61" i="2"/>
  <c r="C61" i="2" a="1"/>
  <c r="C61" i="2" s="1"/>
  <c r="D61" i="2" a="1"/>
  <c r="D61" i="2" s="1"/>
  <c r="E61" i="2" a="1"/>
  <c r="E61" i="2" s="1"/>
  <c r="F61" i="2"/>
  <c r="G61" i="2"/>
  <c r="B62" i="2"/>
  <c r="C62" i="2" a="1"/>
  <c r="C62" i="2" s="1"/>
  <c r="D62" i="2" a="1"/>
  <c r="D62" i="2" s="1"/>
  <c r="E62" i="2" a="1"/>
  <c r="E62" i="2" s="1"/>
  <c r="F62" i="2"/>
  <c r="G62" i="2"/>
  <c r="B63" i="2"/>
  <c r="C63" i="2" a="1"/>
  <c r="C63" i="2" s="1"/>
  <c r="D63" i="2" a="1"/>
  <c r="D63" i="2" s="1"/>
  <c r="E63" i="2" a="1"/>
  <c r="E63" i="2" s="1"/>
  <c r="F63" i="2"/>
  <c r="G63" i="2"/>
  <c r="B64" i="2"/>
  <c r="C64" i="2" a="1"/>
  <c r="C64" i="2" s="1"/>
  <c r="D64" i="2" a="1"/>
  <c r="D64" i="2" s="1"/>
  <c r="E64" i="2" a="1"/>
  <c r="E64" i="2" s="1"/>
  <c r="F64" i="2"/>
  <c r="G64" i="2"/>
  <c r="B65" i="2"/>
  <c r="C65" i="2" a="1"/>
  <c r="C65" i="2" s="1"/>
  <c r="D65" i="2" a="1"/>
  <c r="D65" i="2" s="1"/>
  <c r="E65" i="2" a="1"/>
  <c r="E65" i="2" s="1"/>
  <c r="F65" i="2"/>
  <c r="G65" i="2"/>
  <c r="B66" i="2"/>
  <c r="C66" i="2" a="1"/>
  <c r="C66" i="2" s="1"/>
  <c r="D66" i="2" a="1"/>
  <c r="D66" i="2" s="1"/>
  <c r="E66" i="2" a="1"/>
  <c r="E66" i="2" s="1"/>
  <c r="F66" i="2"/>
  <c r="G66" i="2"/>
  <c r="B67" i="2"/>
  <c r="C67" i="2" a="1"/>
  <c r="C67" i="2" s="1"/>
  <c r="D67" i="2" a="1"/>
  <c r="D67" i="2" s="1"/>
  <c r="E67" i="2" a="1"/>
  <c r="E67" i="2" s="1"/>
  <c r="F67" i="2"/>
  <c r="G67" i="2"/>
  <c r="B68" i="2"/>
  <c r="C68" i="2" a="1"/>
  <c r="C68" i="2" s="1"/>
  <c r="D68" i="2" a="1"/>
  <c r="D68" i="2" s="1"/>
  <c r="E68" i="2" a="1"/>
  <c r="E68" i="2" s="1"/>
  <c r="F68" i="2"/>
  <c r="G68" i="2"/>
  <c r="B69" i="2"/>
  <c r="C69" i="2" a="1"/>
  <c r="C69" i="2" s="1"/>
  <c r="D69" i="2" a="1"/>
  <c r="D69" i="2" s="1"/>
  <c r="E69" i="2" a="1"/>
  <c r="E69" i="2" s="1"/>
  <c r="F69" i="2"/>
  <c r="G69" i="2"/>
  <c r="B70" i="2"/>
  <c r="C70" i="2" a="1"/>
  <c r="C70" i="2" s="1"/>
  <c r="D70" i="2" a="1"/>
  <c r="D70" i="2" s="1"/>
  <c r="E70" i="2" a="1"/>
  <c r="E70" i="2" s="1"/>
  <c r="F70" i="2"/>
  <c r="G70" i="2"/>
  <c r="B71" i="2"/>
  <c r="C71" i="2" a="1"/>
  <c r="C71" i="2" s="1"/>
  <c r="D71" i="2" a="1"/>
  <c r="D71" i="2" s="1"/>
  <c r="E71" i="2" a="1"/>
  <c r="E71" i="2" s="1"/>
  <c r="F71" i="2"/>
  <c r="G71" i="2"/>
  <c r="B72" i="2"/>
  <c r="C72" i="2" a="1"/>
  <c r="C72" i="2" s="1"/>
  <c r="D72" i="2" a="1"/>
  <c r="D72" i="2" s="1"/>
  <c r="E72" i="2" a="1"/>
  <c r="E72" i="2" s="1"/>
  <c r="F72" i="2"/>
  <c r="G72" i="2"/>
  <c r="B73" i="2"/>
  <c r="C73" i="2" a="1"/>
  <c r="C73" i="2" s="1"/>
  <c r="D73" i="2" a="1"/>
  <c r="D73" i="2" s="1"/>
  <c r="E73" i="2" a="1"/>
  <c r="E73" i="2" s="1"/>
  <c r="F73" i="2"/>
  <c r="G73" i="2"/>
  <c r="B74" i="2"/>
  <c r="C74" i="2" a="1"/>
  <c r="C74" i="2" s="1"/>
  <c r="D74" i="2" a="1"/>
  <c r="D74" i="2" s="1"/>
  <c r="E74" i="2" a="1"/>
  <c r="E74" i="2" s="1"/>
  <c r="F74" i="2"/>
  <c r="G74" i="2"/>
  <c r="B75" i="2"/>
  <c r="C75" i="2" a="1"/>
  <c r="C75" i="2" s="1"/>
  <c r="D75" i="2" a="1"/>
  <c r="D75" i="2" s="1"/>
  <c r="E75" i="2" a="1"/>
  <c r="E75" i="2" s="1"/>
  <c r="F75" i="2"/>
  <c r="G75" i="2"/>
  <c r="B76" i="2"/>
  <c r="C76" i="2" a="1"/>
  <c r="C76" i="2" s="1"/>
  <c r="D76" i="2" a="1"/>
  <c r="D76" i="2" s="1"/>
  <c r="E76" i="2" a="1"/>
  <c r="E76" i="2" s="1"/>
  <c r="F76" i="2"/>
  <c r="G76" i="2"/>
  <c r="B77" i="2"/>
  <c r="C77" i="2" a="1"/>
  <c r="C77" i="2" s="1"/>
  <c r="D77" i="2" a="1"/>
  <c r="D77" i="2" s="1"/>
  <c r="E77" i="2" a="1"/>
  <c r="E77" i="2" s="1"/>
  <c r="F77" i="2"/>
  <c r="G77" i="2"/>
  <c r="B78" i="2"/>
  <c r="C78" i="2" a="1"/>
  <c r="C78" i="2" s="1"/>
  <c r="D78" i="2" a="1"/>
  <c r="D78" i="2" s="1"/>
  <c r="E78" i="2" a="1"/>
  <c r="E78" i="2" s="1"/>
  <c r="F78" i="2"/>
  <c r="G78" i="2"/>
  <c r="B79" i="2"/>
  <c r="C79" i="2" a="1"/>
  <c r="C79" i="2" s="1"/>
  <c r="D79" i="2" a="1"/>
  <c r="D79" i="2" s="1"/>
  <c r="E79" i="2" a="1"/>
  <c r="E79" i="2" s="1"/>
  <c r="F79" i="2"/>
  <c r="G79" i="2"/>
  <c r="B80" i="2"/>
  <c r="C80" i="2" a="1"/>
  <c r="C80" i="2" s="1"/>
  <c r="D80" i="2" a="1"/>
  <c r="D80" i="2" s="1"/>
  <c r="E80" i="2" a="1"/>
  <c r="E80" i="2" s="1"/>
  <c r="F80" i="2"/>
  <c r="G80" i="2"/>
  <c r="B81" i="2"/>
  <c r="C81" i="2" a="1"/>
  <c r="C81" i="2" s="1"/>
  <c r="D81" i="2" a="1"/>
  <c r="D81" i="2" s="1"/>
  <c r="E81" i="2" a="1"/>
  <c r="E81" i="2" s="1"/>
  <c r="F81" i="2"/>
  <c r="G81" i="2"/>
  <c r="B82" i="2"/>
  <c r="C82" i="2" a="1"/>
  <c r="C82" i="2" s="1"/>
  <c r="D82" i="2" a="1"/>
  <c r="D82" i="2" s="1"/>
  <c r="E82" i="2" a="1"/>
  <c r="E82" i="2" s="1"/>
  <c r="F82" i="2"/>
  <c r="G82" i="2"/>
  <c r="B83" i="2"/>
  <c r="C83" i="2" a="1"/>
  <c r="C83" i="2" s="1"/>
  <c r="D83" i="2" a="1"/>
  <c r="D83" i="2" s="1"/>
  <c r="E83" i="2" a="1"/>
  <c r="E83" i="2" s="1"/>
  <c r="F83" i="2"/>
  <c r="G83" i="2"/>
  <c r="B84" i="2"/>
  <c r="C84" i="2" a="1"/>
  <c r="C84" i="2" s="1"/>
  <c r="D84" i="2" a="1"/>
  <c r="D84" i="2" s="1"/>
  <c r="E84" i="2" a="1"/>
  <c r="E84" i="2" s="1"/>
  <c r="F84" i="2"/>
  <c r="G84" i="2"/>
  <c r="B85" i="2"/>
  <c r="C85" i="2" a="1"/>
  <c r="C85" i="2" s="1"/>
  <c r="D85" i="2" a="1"/>
  <c r="D85" i="2" s="1"/>
  <c r="E85" i="2" a="1"/>
  <c r="E85" i="2" s="1"/>
  <c r="F85" i="2"/>
  <c r="G85" i="2"/>
  <c r="B86" i="2"/>
  <c r="C86" i="2" a="1"/>
  <c r="C86" i="2" s="1"/>
  <c r="D86" i="2" a="1"/>
  <c r="D86" i="2" s="1"/>
  <c r="E86" i="2" a="1"/>
  <c r="E86" i="2" s="1"/>
  <c r="F86" i="2"/>
  <c r="G86" i="2"/>
  <c r="B87" i="2"/>
  <c r="C87" i="2" a="1"/>
  <c r="C87" i="2" s="1"/>
  <c r="D87" i="2" a="1"/>
  <c r="D87" i="2" s="1"/>
  <c r="E87" i="2" a="1"/>
  <c r="E87" i="2" s="1"/>
  <c r="F87" i="2"/>
  <c r="G87" i="2"/>
  <c r="B88" i="2"/>
  <c r="C88" i="2" a="1"/>
  <c r="C88" i="2" s="1"/>
  <c r="D88" i="2" a="1"/>
  <c r="D88" i="2" s="1"/>
  <c r="E88" i="2" a="1"/>
  <c r="E88" i="2" s="1"/>
  <c r="F88" i="2"/>
  <c r="G88" i="2"/>
  <c r="B89" i="2"/>
  <c r="C89" i="2" a="1"/>
  <c r="C89" i="2" s="1"/>
  <c r="D89" i="2" a="1"/>
  <c r="D89" i="2" s="1"/>
  <c r="E89" i="2" a="1"/>
  <c r="E89" i="2" s="1"/>
  <c r="F89" i="2"/>
  <c r="G89" i="2"/>
  <c r="B90" i="2"/>
  <c r="C90" i="2" a="1"/>
  <c r="C90" i="2" s="1"/>
  <c r="D90" i="2" a="1"/>
  <c r="D90" i="2" s="1"/>
  <c r="E90" i="2" a="1"/>
  <c r="E90" i="2" s="1"/>
  <c r="F90" i="2"/>
  <c r="G90" i="2"/>
  <c r="B91" i="2"/>
  <c r="C91" i="2" a="1"/>
  <c r="C91" i="2" s="1"/>
  <c r="D91" i="2" a="1"/>
  <c r="D91" i="2" s="1"/>
  <c r="E91" i="2" a="1"/>
  <c r="E91" i="2" s="1"/>
  <c r="F91" i="2"/>
  <c r="G91" i="2"/>
  <c r="B92" i="2"/>
  <c r="C92" i="2" a="1"/>
  <c r="C92" i="2" s="1"/>
  <c r="D92" i="2" a="1"/>
  <c r="D92" i="2" s="1"/>
  <c r="E92" i="2" a="1"/>
  <c r="E92" i="2" s="1"/>
  <c r="F92" i="2"/>
  <c r="G92" i="2"/>
  <c r="B93" i="2"/>
  <c r="C93" i="2" a="1"/>
  <c r="C93" i="2" s="1"/>
  <c r="D93" i="2" a="1"/>
  <c r="D93" i="2" s="1"/>
  <c r="E93" i="2" a="1"/>
  <c r="E93" i="2" s="1"/>
  <c r="F93" i="2"/>
  <c r="G93" i="2"/>
  <c r="B94" i="2"/>
  <c r="C94" i="2" a="1"/>
  <c r="C94" i="2" s="1"/>
  <c r="D94" i="2" a="1"/>
  <c r="D94" i="2" s="1"/>
  <c r="E94" i="2" a="1"/>
  <c r="E94" i="2" s="1"/>
  <c r="F94" i="2"/>
  <c r="G94" i="2"/>
  <c r="B95" i="2"/>
  <c r="C95" i="2" a="1"/>
  <c r="C95" i="2" s="1"/>
  <c r="D95" i="2" a="1"/>
  <c r="D95" i="2" s="1"/>
  <c r="E95" i="2" a="1"/>
  <c r="E95" i="2" s="1"/>
  <c r="F95" i="2"/>
  <c r="G95" i="2"/>
  <c r="B96" i="2"/>
  <c r="C96" i="2" a="1"/>
  <c r="C96" i="2" s="1"/>
  <c r="D96" i="2" a="1"/>
  <c r="D96" i="2" s="1"/>
  <c r="E96" i="2" a="1"/>
  <c r="E96" i="2" s="1"/>
  <c r="F96" i="2"/>
  <c r="G96" i="2"/>
  <c r="B97" i="2"/>
  <c r="C97" i="2" a="1"/>
  <c r="C97" i="2" s="1"/>
  <c r="D97" i="2" a="1"/>
  <c r="D97" i="2" s="1"/>
  <c r="E97" i="2" a="1"/>
  <c r="E97" i="2" s="1"/>
  <c r="F97" i="2"/>
  <c r="G97" i="2"/>
  <c r="B98" i="2"/>
  <c r="C98" i="2" a="1"/>
  <c r="C98" i="2" s="1"/>
  <c r="D98" i="2" a="1"/>
  <c r="D98" i="2" s="1"/>
  <c r="E98" i="2" a="1"/>
  <c r="E98" i="2" s="1"/>
  <c r="F98" i="2"/>
  <c r="G98" i="2"/>
  <c r="B99" i="2"/>
  <c r="C99" i="2" a="1"/>
  <c r="C99" i="2" s="1"/>
  <c r="D99" i="2" a="1"/>
  <c r="D99" i="2" s="1"/>
  <c r="E99" i="2" a="1"/>
  <c r="E99" i="2" s="1"/>
  <c r="F99" i="2"/>
  <c r="G99" i="2"/>
  <c r="B100" i="2"/>
  <c r="C100" i="2" a="1"/>
  <c r="C100" i="2" s="1"/>
  <c r="D100" i="2" a="1"/>
  <c r="D100" i="2" s="1"/>
  <c r="E100" i="2" a="1"/>
  <c r="E100" i="2" s="1"/>
  <c r="F100" i="2"/>
  <c r="G100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G2" i="2"/>
  <c r="F2" i="2"/>
  <c r="E2" i="2" a="1"/>
  <c r="E2" i="2" s="1"/>
  <c r="D2" i="2" a="1"/>
  <c r="D2" i="2" s="1"/>
  <c r="C2" i="2" a="1"/>
  <c r="C2" i="2" s="1"/>
  <c r="B2" i="2"/>
  <c r="F8" i="1"/>
  <c r="F3" i="1"/>
  <c r="F4" i="1"/>
  <c r="F5" i="1"/>
  <c r="F6" i="1"/>
  <c r="F7" i="1"/>
  <c r="F2" i="1"/>
  <c r="L10" i="2" l="1"/>
  <c r="H2" i="2"/>
  <c r="H100" i="2"/>
  <c r="J100" i="2" s="1"/>
  <c r="H98" i="2"/>
  <c r="J98" i="2" s="1"/>
  <c r="H96" i="2"/>
  <c r="J96" i="2" s="1"/>
  <c r="H94" i="2"/>
  <c r="J94" i="2" s="1"/>
  <c r="H92" i="2"/>
  <c r="J92" i="2" s="1"/>
  <c r="H90" i="2"/>
  <c r="J90" i="2" s="1"/>
  <c r="H88" i="2"/>
  <c r="J88" i="2" s="1"/>
  <c r="H86" i="2"/>
  <c r="J86" i="2" s="1"/>
  <c r="H62" i="2"/>
  <c r="J62" i="2" s="1"/>
  <c r="H60" i="2"/>
  <c r="J60" i="2" s="1"/>
  <c r="H58" i="2"/>
  <c r="J58" i="2" s="1"/>
  <c r="H56" i="2"/>
  <c r="J56" i="2" s="1"/>
  <c r="H54" i="2"/>
  <c r="J54" i="2" s="1"/>
  <c r="H50" i="2"/>
  <c r="J50" i="2" s="1"/>
  <c r="H48" i="2"/>
  <c r="J48" i="2" s="1"/>
  <c r="H46" i="2"/>
  <c r="J46" i="2" s="1"/>
  <c r="H43" i="2"/>
  <c r="J43" i="2" s="1"/>
  <c r="H41" i="2"/>
  <c r="J41" i="2" s="1"/>
  <c r="H39" i="2"/>
  <c r="J39" i="2" s="1"/>
  <c r="H37" i="2"/>
  <c r="J37" i="2" s="1"/>
  <c r="H35" i="2"/>
  <c r="J35" i="2" s="1"/>
  <c r="H33" i="2"/>
  <c r="J33" i="2" s="1"/>
  <c r="H31" i="2"/>
  <c r="J31" i="2" s="1"/>
  <c r="H29" i="2"/>
  <c r="J29" i="2" s="1"/>
  <c r="H27" i="2"/>
  <c r="J27" i="2" s="1"/>
  <c r="H25" i="2"/>
  <c r="J25" i="2" s="1"/>
  <c r="H23" i="2"/>
  <c r="J23" i="2" s="1"/>
  <c r="H21" i="2"/>
  <c r="J21" i="2" s="1"/>
  <c r="H19" i="2"/>
  <c r="J19" i="2" s="1"/>
  <c r="H17" i="2"/>
  <c r="J17" i="2" s="1"/>
  <c r="H15" i="2"/>
  <c r="J15" i="2" s="1"/>
  <c r="H13" i="2"/>
  <c r="J13" i="2" s="1"/>
  <c r="H11" i="2"/>
  <c r="J11" i="2" s="1"/>
  <c r="H9" i="2"/>
  <c r="J9" i="2" s="1"/>
  <c r="H7" i="2"/>
  <c r="J7" i="2" s="1"/>
  <c r="H5" i="2"/>
  <c r="J5" i="2" s="1"/>
  <c r="H85" i="2"/>
  <c r="J85" i="2" s="1"/>
  <c r="H83" i="2"/>
  <c r="J83" i="2" s="1"/>
  <c r="H81" i="2"/>
  <c r="J81" i="2" s="1"/>
  <c r="H79" i="2"/>
  <c r="J79" i="2" s="1"/>
  <c r="H77" i="2"/>
  <c r="J77" i="2" s="1"/>
  <c r="H75" i="2"/>
  <c r="J75" i="2" s="1"/>
  <c r="H73" i="2"/>
  <c r="J73" i="2" s="1"/>
  <c r="H71" i="2"/>
  <c r="J71" i="2" s="1"/>
  <c r="H69" i="2"/>
  <c r="J69" i="2" s="1"/>
  <c r="H67" i="2"/>
  <c r="J67" i="2" s="1"/>
  <c r="H65" i="2"/>
  <c r="J65" i="2" s="1"/>
  <c r="H63" i="2"/>
  <c r="J63" i="2" s="1"/>
  <c r="H59" i="2"/>
  <c r="J59" i="2" s="1"/>
  <c r="H55" i="2"/>
  <c r="J55" i="2" s="1"/>
  <c r="H53" i="2"/>
  <c r="J53" i="2" s="1"/>
  <c r="H51" i="2"/>
  <c r="J51" i="2" s="1"/>
  <c r="H49" i="2"/>
  <c r="J49" i="2" s="1"/>
  <c r="H47" i="2"/>
  <c r="J47" i="2" s="1"/>
  <c r="H42" i="2"/>
  <c r="J42" i="2" s="1"/>
  <c r="H40" i="2"/>
  <c r="J40" i="2" s="1"/>
  <c r="H38" i="2"/>
  <c r="J38" i="2" s="1"/>
  <c r="H34" i="2"/>
  <c r="J34" i="2" s="1"/>
  <c r="H30" i="2"/>
  <c r="J30" i="2" s="1"/>
  <c r="H26" i="2"/>
  <c r="J26" i="2" s="1"/>
  <c r="H22" i="2"/>
  <c r="J22" i="2" s="1"/>
  <c r="H18" i="2"/>
  <c r="J18" i="2" s="1"/>
  <c r="H14" i="2"/>
  <c r="J14" i="2" s="1"/>
  <c r="H10" i="2"/>
  <c r="J10" i="2" s="1"/>
  <c r="H6" i="2"/>
  <c r="J6" i="2" s="1"/>
  <c r="H4" i="2"/>
  <c r="J4" i="2" s="1"/>
  <c r="H24" i="2"/>
  <c r="J24" i="2" s="1"/>
  <c r="H16" i="2"/>
  <c r="J16" i="2" s="1"/>
  <c r="H12" i="2"/>
  <c r="J12" i="2" s="1"/>
  <c r="H8" i="2"/>
  <c r="J8" i="2" s="1"/>
  <c r="H45" i="2"/>
  <c r="J45" i="2" s="1"/>
  <c r="H36" i="2"/>
  <c r="J36" i="2" s="1"/>
  <c r="H32" i="2"/>
  <c r="J32" i="2" s="1"/>
  <c r="H28" i="2"/>
  <c r="J28" i="2" s="1"/>
  <c r="H20" i="2"/>
  <c r="J20" i="2" s="1"/>
  <c r="H99" i="2"/>
  <c r="J99" i="2" s="1"/>
  <c r="H97" i="2"/>
  <c r="J97" i="2" s="1"/>
  <c r="H95" i="2"/>
  <c r="J95" i="2" s="1"/>
  <c r="H93" i="2"/>
  <c r="J93" i="2" s="1"/>
  <c r="H91" i="2"/>
  <c r="J91" i="2" s="1"/>
  <c r="H89" i="2"/>
  <c r="J89" i="2" s="1"/>
  <c r="H87" i="2"/>
  <c r="J87" i="2" s="1"/>
  <c r="H84" i="2"/>
  <c r="J84" i="2" s="1"/>
  <c r="H82" i="2"/>
  <c r="J82" i="2" s="1"/>
  <c r="H80" i="2"/>
  <c r="J80" i="2" s="1"/>
  <c r="H78" i="2"/>
  <c r="J78" i="2" s="1"/>
  <c r="H76" i="2"/>
  <c r="J76" i="2" s="1"/>
  <c r="H74" i="2"/>
  <c r="J74" i="2" s="1"/>
  <c r="H72" i="2"/>
  <c r="J72" i="2" s="1"/>
  <c r="H70" i="2"/>
  <c r="J70" i="2" s="1"/>
  <c r="H68" i="2"/>
  <c r="J68" i="2" s="1"/>
  <c r="H66" i="2"/>
  <c r="J66" i="2" s="1"/>
  <c r="H64" i="2"/>
  <c r="J64" i="2" s="1"/>
  <c r="H61" i="2"/>
  <c r="J61" i="2" s="1"/>
  <c r="H57" i="2"/>
  <c r="J57" i="2" s="1"/>
  <c r="H52" i="2"/>
  <c r="J52" i="2" s="1"/>
  <c r="H44" i="2"/>
  <c r="J44" i="2" s="1"/>
  <c r="H3" i="2"/>
  <c r="J3" i="2" s="1"/>
  <c r="B9" i="1"/>
  <c r="L6" i="2" l="1"/>
  <c r="J2" i="2"/>
  <c r="L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<sst xmlns="http://schemas.openxmlformats.org/spreadsheetml/2006/main" count="34" uniqueCount="23">
  <si>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>Date</t>
  </si>
  <si>
    <t>Produit</t>
  </si>
  <si>
    <t>Catégorie</t>
  </si>
  <si>
    <t>Quantité</t>
  </si>
  <si>
    <t>Prix_Unitaire</t>
  </si>
  <si>
    <t>Laptop</t>
  </si>
  <si>
    <t>Informatique</t>
  </si>
  <si>
    <t>Souris</t>
  </si>
  <si>
    <t>Clavier</t>
  </si>
  <si>
    <t>Casque</t>
  </si>
  <si>
    <t>Accessoires</t>
  </si>
  <si>
    <t>Écran</t>
  </si>
  <si>
    <t>Chiffres_Affaires</t>
  </si>
  <si>
    <t>Chiffre d'affaires total</t>
  </si>
  <si>
    <t>Tablette</t>
  </si>
  <si>
    <t>Vente_ID</t>
  </si>
  <si>
    <t>Vendeur</t>
  </si>
  <si>
    <t>Chiffre_Affaires</t>
  </si>
  <si>
    <t>Remise</t>
  </si>
  <si>
    <t>Montant_Net</t>
  </si>
  <si>
    <t>Chiffre d'affaires brut</t>
  </si>
  <si>
    <t>Chiffre d'affaires net</t>
  </si>
  <si>
    <t>Quantité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</si>
</sst>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70" formatCode="_-* #,##0.00\ [$CFA-280C]_-;\-* #,##0.00\ [$CFA-280C]_-;_-* &quot;-&quot;??\ [$CFA-280C]_-;_-@_-"/>
    <numFmt numFmtId="171" formatCode="_-* #,##0\ [$CFA-280C]_-;\-* #,##0\ [$CFA-280C]_-;_-* &quot;-&quot;\ [$CFA-280C]_-;_-@_-"/>
    <numFmt numFmtId="172" formatCode="_-* #,##0.0\ [$CFA-280C]_-;\-* #,##0.0\ [$CFA-280C]_-;_-* &quot;-&quot;?\ [$CFA-280C]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3"/>
      <name val="Times New Roman"/>
      <family val="1"/>
    </font>
    <font>
      <sz val="11"/>
      <color rgb="FFF9FAFB"/>
      <name val="Times New Roman"/>
      <family val="1"/>
    </font>
    <font>
      <sz val="11"/>
      <color rgb="FFF9FAFB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0" applyNumberFormat="1" applyFont="1"/>
    <xf numFmtId="0" fontId="0" fillId="0" borderId="0" xfId="0" applyNumberFormat="1"/>
    <xf numFmtId="0" fontId="0" fillId="2" borderId="1" xfId="0" applyFill="1" applyBorder="1"/>
    <xf numFmtId="0" fontId="8" fillId="0" borderId="1" xfId="0" applyFont="1" applyBorder="1"/>
    <xf numFmtId="0" fontId="7" fillId="2" borderId="1" xfId="0" applyFont="1" applyFill="1" applyBorder="1"/>
    <xf numFmtId="170" fontId="8" fillId="0" borderId="1" xfId="1" applyNumberFormat="1" applyFont="1" applyBorder="1"/>
    <xf numFmtId="171" fontId="0" fillId="0" borderId="0" xfId="0" applyNumberFormat="1"/>
    <xf numFmtId="171" fontId="5" fillId="0" borderId="0" xfId="0" applyNumberFormat="1" applyFont="1"/>
    <xf numFmtId="172" fontId="5" fillId="0" borderId="0" xfId="0" applyNumberFormat="1" applyFont="1"/>
    <xf numFmtId="172" fontId="0" fillId="0" borderId="0" xfId="0" applyNumberFormat="1"/>
  </cellXfs>
  <cellStyles count="2">
    <cellStyle name="Monétaire" xfId="1" builtinId="4"/>
    <cellStyle name="Normal" xfId="0" builtinId="0"/>
  </cellStyles>
  <dxfs count="13">
    <dxf>
      <numFmt numFmtId="172" formatCode="_-* #,##0.0\ [$CFA-280C]_-;\-* #,##0.0\ [$CFA-280C]_-;_-* &quot;-&quot;?\ [$CFA-280C]_-;_-@_-"/>
    </dxf>
    <dxf>
      <numFmt numFmtId="171" formatCode="_-* #,##0\ [$CFA-280C]_-;\-* #,##0\ [$CFA-280C]_-;_-* &quot;-&quot;\ [$CFA-280C]_-;_-@_-"/>
    </dxf>
    <dxf>
      <numFmt numFmtId="171" formatCode="_-* #,##0\ [$CFA-280C]_-;\-* #,##0\ [$CFA-280C]_-;_-* &quot;-&quot;\ [$CFA-280C]_-;_-@_-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158ED-8C9D-4DC5-80C5-4B5AA36B39F2}" name="Ventes" displayName="Ventes" ref="A1:F8" totalsRowShown="0" headerRowDxfId="6" dataDxfId="7">
  <autoFilter ref="A1:F8" xr:uid="{9F5158ED-8C9D-4DC5-80C5-4B5AA36B39F2}"/>
  <tableColumns count="6">
    <tableColumn id="1" xr3:uid="{0B924086-6A28-4C89-B360-5AC43F3BAB5D}" name="Date" dataDxfId="12"/>
    <tableColumn id="2" xr3:uid="{F5BD38C5-B6C5-4D05-A858-D1EB1FD854F1}" name="Produit" dataDxfId="11"/>
    <tableColumn id="3" xr3:uid="{485B7944-F1F1-4804-9C9F-F49CF50562C9}" name="Catégorie" dataDxfId="10"/>
    <tableColumn id="4" xr3:uid="{65AB073D-BF63-410D-B454-3B13ECDCC7F1}" name="Quantité" dataDxfId="9"/>
    <tableColumn id="5" xr3:uid="{3105216B-2AB5-4C8A-AF70-5F242346A60B}" name="Prix_Unitaire" dataDxfId="8"/>
    <tableColumn id="6" xr3:uid="{8D695BB1-A4F6-49EC-A696-B71D3FF67A4B}" name="Chiffres_Affaires" dataDxfId="5">
      <calculatedColumnFormula>Ventes[[#This Row],[Quantité]]*Ventes[[#This Row],[Prix_Unitaire]]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B5F25-59D0-4889-9FCD-CD66A4401070}" name="tblVentes" displayName="tblVentes" ref="A1:J100" totalsRowShown="0">
  <autoFilter ref="A1:J100" xr:uid="{CF5B5F25-59D0-4889-9FCD-CD66A4401070}"/>
  <tableColumns count="10">
    <tableColumn id="1" xr3:uid="{8EA08086-9E4E-4D00-9E6A-87371141DC57}" name="Date" dataDxfId="4">
      <calculatedColumnFormula>DATE(2026,9,RANDBETWEEN(1,30))</calculatedColumnFormula>
    </tableColumn>
    <tableColumn id="2" xr3:uid="{14130F04-D402-4D88-857C-70004528E39F}" name="Vente_ID">
      <calculatedColumnFormula>"V"&amp;TEXT(ROW()-1,"0000")</calculatedColumnFormula>
    </tableColumn>
    <tableColumn id="3" xr3:uid="{ECBAC027-D198-4A89-B5EE-DFDC2DA383E4}" name="Produit">
      <calculatedColumnFormula array="1">INDEX({"Laptop";"Souris";"Clavier";"Écran";"Casque";"Tablette";"Imprimante";"Disque dur";"RAM";"Carte graphique"},RANDBETWEEN(1,10))</calculatedColumnFormula>
    </tableColumn>
    <tableColumn id="4" xr3:uid="{0CD79F30-2E6B-4A20-8086-3FCDACD632A2}" name="Catégorie">
      <calculatedColumnFormula array="1">INDEX({"Informatique";"Accessoires";"Périphériques";"Stockage";"Audio"},RANDBETWEEN(1,5))</calculatedColumnFormula>
    </tableColumn>
    <tableColumn id="5" xr3:uid="{3FBCC64F-4F51-4DFF-9305-FFD4E8C3F7F5}" name="Vendeur">
      <calculatedColumnFormula array="1">INDEX({"Awa Ndiaye";"Mamadou Diop";"Fatou Fall";"Cheikh Ba";"Mariama Sow";"Ousmane Ndiaye";"Sokhna Diallo";"Abdoulaye Gueye"},RANDBETWEEN(1,8))</calculatedColumnFormula>
    </tableColumn>
    <tableColumn id="6" xr3:uid="{60D5BC1F-73C0-4FC6-B4CE-2A6416982017}" name="Quantité">
      <calculatedColumnFormula>RANDBETWEEN(1,10)</calculatedColumnFormula>
    </tableColumn>
    <tableColumn id="7" xr3:uid="{6F54EB94-0352-41D0-B363-655AE9ADCB79}" name="Prix_Unitaire" dataDxfId="2">
      <calculatedColumnFormula>RANDBETWEEN(5000,500000)</calculatedColumnFormula>
    </tableColumn>
    <tableColumn id="8" xr3:uid="{E523763F-4638-456F-BA7E-21298196466D}" name="Chiffre_Affaires" dataDxfId="1">
      <calculatedColumnFormula>tblVentes[[#This Row],[Prix_Unitaire]]*tblVentes[[#This Row],[Quantité]]</calculatedColumnFormula>
    </tableColumn>
    <tableColumn id="9" xr3:uid="{3D5DDAF7-3FAD-494E-9616-83C320AC9291}" name="Remise" dataDxfId="3">
      <calculatedColumnFormula>RAND()*0.15</calculatedColumnFormula>
    </tableColumn>
    <tableColumn id="10" xr3:uid="{E4CB6485-2E95-4939-8D9D-7AFCE9A15FAC}" name="Montant_Net" dataDxfId="0">
      <calculatedColumnFormula>tblVentes[[#This Row],[Chiffre_Affaires]]*(1-tblVentes[[#This Row],[Remise]])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6DB-D4ED-4213-9867-ADA88883240B}">
  <dimension ref="A1:F9"/>
  <sheetViews>
    <sheetView workbookViewId="0">
      <selection activeCell="F8" sqref="F8"/>
    </sheetView>
  </sheetViews>
  <sheetFormatPr baseColWidth="10" defaultRowHeight="14.25" x14ac:dyDescent="0.45"/>
  <cols>
    <col min="1" max="1" width="21.73046875" bestFit="1" customWidth="1"/>
    <col min="3" max="3" width="11.19921875" customWidth="1"/>
    <col min="5" max="5" width="14.46484375" customWidth="1"/>
    <col min="6" max="6" width="17.19921875" bestFit="1" customWidth="1"/>
    <col min="7" max="7" width="13.53125" bestFit="1" customWidth="1"/>
  </cols>
  <sheetData>
    <row r="1" spans="1: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</row>
    <row r="2" spans="1:6" x14ac:dyDescent="0.45">
      <c r="A2" s="3">
        <v>46266</v>
      </c>
      <c r="B2" s="2" t="s">
        <v>5</v>
      </c>
      <c r="C2" s="2" t="s">
        <v>6</v>
      </c>
      <c r="D2" s="2">
        <v>2</v>
      </c>
      <c r="E2" s="2">
        <v>450000</v>
      </c>
      <c r="F2" s="2">
        <f>Ventes[[#This Row],[Quantité]]*Ventes[[#This Row],[Prix_Unitaire]]</f>
        <v>900000</v>
      </c>
    </row>
    <row r="3" spans="1:6" x14ac:dyDescent="0.45">
      <c r="A3" s="3">
        <v>46267</v>
      </c>
      <c r="B3" s="2" t="s">
        <v>7</v>
      </c>
      <c r="C3" s="2" t="s">
        <v>6</v>
      </c>
      <c r="D3" s="2">
        <v>5</v>
      </c>
      <c r="E3" s="2">
        <v>15000</v>
      </c>
      <c r="F3" s="2">
        <f>Ventes[[#This Row],[Quantité]]*Ventes[[#This Row],[Prix_Unitaire]]</f>
        <v>75000</v>
      </c>
    </row>
    <row r="4" spans="1:6" x14ac:dyDescent="0.45">
      <c r="A4" s="3">
        <v>46268</v>
      </c>
      <c r="B4" s="2" t="s">
        <v>8</v>
      </c>
      <c r="C4" s="2" t="s">
        <v>6</v>
      </c>
      <c r="D4" s="2">
        <v>3</v>
      </c>
      <c r="E4" s="2">
        <v>25000</v>
      </c>
      <c r="F4" s="2">
        <f>Ventes[[#This Row],[Quantité]]*Ventes[[#This Row],[Prix_Unitaire]]</f>
        <v>75000</v>
      </c>
    </row>
    <row r="5" spans="1:6" x14ac:dyDescent="0.45">
      <c r="A5" s="3">
        <v>46269</v>
      </c>
      <c r="B5" s="2" t="s">
        <v>9</v>
      </c>
      <c r="C5" s="2" t="s">
        <v>10</v>
      </c>
      <c r="D5" s="2">
        <v>4</v>
      </c>
      <c r="E5" s="2">
        <v>30000</v>
      </c>
      <c r="F5" s="2">
        <f>Ventes[[#This Row],[Quantité]]*Ventes[[#This Row],[Prix_Unitaire]]</f>
        <v>120000</v>
      </c>
    </row>
    <row r="6" spans="1:6" x14ac:dyDescent="0.45">
      <c r="A6" s="3">
        <v>46270</v>
      </c>
      <c r="B6" s="2" t="s">
        <v>11</v>
      </c>
      <c r="C6" s="2" t="s">
        <v>6</v>
      </c>
      <c r="D6" s="2">
        <v>2</v>
      </c>
      <c r="E6" s="2">
        <v>120000</v>
      </c>
      <c r="F6" s="2">
        <f>Ventes[[#This Row],[Quantité]]*Ventes[[#This Row],[Prix_Unitaire]]</f>
        <v>240000</v>
      </c>
    </row>
    <row r="7" spans="1:6" x14ac:dyDescent="0.45">
      <c r="A7" s="3">
        <v>46271</v>
      </c>
      <c r="B7" s="2" t="s">
        <v>14</v>
      </c>
      <c r="C7" s="2" t="s">
        <v>6</v>
      </c>
      <c r="D7" s="2">
        <v>3</v>
      </c>
      <c r="E7" s="2">
        <v>95000</v>
      </c>
      <c r="F7" s="2">
        <f>Ventes[[#This Row],[Quantité]]*Ventes[[#This Row],[Prix_Unitaire]]</f>
        <v>285000</v>
      </c>
    </row>
    <row r="8" spans="1:6" x14ac:dyDescent="0.45">
      <c r="A8" s="3">
        <v>46272</v>
      </c>
      <c r="B8" s="2" t="s">
        <v>14</v>
      </c>
      <c r="C8" s="2" t="s">
        <v>6</v>
      </c>
      <c r="D8" s="2">
        <v>3</v>
      </c>
      <c r="E8" s="2">
        <v>95000</v>
      </c>
      <c r="F8" s="2">
        <f>Ventes[[#This Row],[Quantité]]*Ventes[[#This Row],[Prix_Unitaire]]</f>
        <v>285000</v>
      </c>
    </row>
    <row r="9" spans="1:6" ht="15.4" x14ac:dyDescent="0.45">
      <c r="A9" s="5" t="s">
        <v>13</v>
      </c>
      <c r="B9" s="5">
        <f>SUM(F:F)</f>
        <v>1980000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68F3-AE63-43E3-927B-46E905040BA4}">
  <dimension ref="A1:L100"/>
  <sheetViews>
    <sheetView tabSelected="1" workbookViewId="0">
      <selection activeCell="K15" sqref="K15"/>
    </sheetView>
  </sheetViews>
  <sheetFormatPr baseColWidth="10" defaultRowHeight="14.25" x14ac:dyDescent="0.45"/>
  <cols>
    <col min="3" max="3" width="13.1328125" bestFit="1" customWidth="1"/>
    <col min="4" max="4" width="12.33203125" customWidth="1"/>
    <col min="5" max="5" width="14.1328125" bestFit="1" customWidth="1"/>
    <col min="7" max="7" width="14.86328125" style="12" customWidth="1"/>
    <col min="8" max="8" width="17.796875" style="12" bestFit="1" customWidth="1"/>
    <col min="9" max="9" width="11.86328125" style="7" customWidth="1"/>
    <col min="10" max="10" width="14.59765625" style="15" bestFit="1" customWidth="1"/>
    <col min="12" max="12" width="18.9296875" bestFit="1" customWidth="1"/>
  </cols>
  <sheetData>
    <row r="1" spans="1:12" x14ac:dyDescent="0.45">
      <c r="A1" t="s">
        <v>0</v>
      </c>
      <c r="B1" t="s">
        <v>15</v>
      </c>
      <c r="C1" t="s">
        <v>1</v>
      </c>
      <c r="D1" t="s">
        <v>2</v>
      </c>
      <c r="E1" t="s">
        <v>16</v>
      </c>
      <c r="F1" t="s">
        <v>3</v>
      </c>
      <c r="G1" s="12" t="s">
        <v>4</v>
      </c>
      <c r="H1" s="13" t="s">
        <v>17</v>
      </c>
      <c r="I1" s="6" t="s">
        <v>18</v>
      </c>
      <c r="J1" s="14" t="s">
        <v>19</v>
      </c>
    </row>
    <row r="2" spans="1:12" x14ac:dyDescent="0.45">
      <c r="A2" s="1">
        <f ca="1">DATE(2026,9,RANDBETWEEN(1,30))</f>
        <v>46270</v>
      </c>
      <c r="B2" t="str">
        <f>"V"&amp;TEXT(ROW()-1,"0000")</f>
        <v>V0001</v>
      </c>
      <c r="C2" t="str" cm="1">
        <f t="array" aca="1" ref="C2" ca="1">INDEX({"Laptop";"Souris";"Clavier";"Écran";"Casque";"Tablette";"Imprimante";"Disque dur";"RAM";"Carte graphique"},RANDBETWEEN(1,10))</f>
        <v>Casque</v>
      </c>
      <c r="D2" t="str" cm="1">
        <f t="array" aca="1" ref="D2" ca="1">INDEX({"Informatique";"Accessoires";"Périphériques";"Stockage";"Audio"},RANDBETWEEN(1,5))</f>
        <v>Périphériques</v>
      </c>
      <c r="E2" t="str" cm="1">
        <f t="array" aca="1" ref="E2" ca="1">INDEX({"Awa Ndiaye";"Mamadou Diop";"Fatou Fall";"Cheikh Ba";"Mariama Sow";"Ousmane Ndiaye";"Sokhna Diallo";"Abdoulaye Gueye"},RANDBETWEEN(1,8))</f>
        <v>Fatou Fall</v>
      </c>
      <c r="F2">
        <f ca="1">RANDBETWEEN(1,10)</f>
        <v>4</v>
      </c>
      <c r="G2" s="12">
        <f ca="1">RANDBETWEEN(5000,500000)</f>
        <v>366954</v>
      </c>
      <c r="H2" s="12">
        <f ca="1">tblVentes[[#This Row],[Prix_Unitaire]]*tblVentes[[#This Row],[Quantité]]</f>
        <v>1467816</v>
      </c>
      <c r="I2" s="7">
        <f ca="1">RAND()*0.15</f>
        <v>0.12479106204550348</v>
      </c>
      <c r="J2" s="15">
        <f ca="1">tblVentes[[#This Row],[Chiffre_Affaires]]*(1-tblVentes[[#This Row],[Remise]])</f>
        <v>1284645.6824726171</v>
      </c>
    </row>
    <row r="3" spans="1:12" x14ac:dyDescent="0.45">
      <c r="A3" s="1">
        <f t="shared" ref="A3:A66" ca="1" si="0">DATE(2026,9,RANDBETWEEN(1,30))</f>
        <v>46294</v>
      </c>
      <c r="B3" t="str">
        <f t="shared" ref="B3:B66" si="1">"V"&amp;TEXT(ROW()-1,"0000")</f>
        <v>V0002</v>
      </c>
      <c r="C3" t="str" cm="1">
        <f t="array" aca="1" ref="C3" ca="1">INDEX({"Laptop";"Souris";"Clavier";"Écran";"Casque";"Tablette";"Imprimante";"Disque dur";"RAM";"Carte graphique"},RANDBETWEEN(1,10))</f>
        <v>Carte graphique</v>
      </c>
      <c r="D3" t="str" cm="1">
        <f t="array" aca="1" ref="D3" ca="1">INDEX({"Informatique";"Accessoires";"Périphériques";"Stockage";"Audio"},RANDBETWEEN(1,5))</f>
        <v>Stockage</v>
      </c>
      <c r="E3" t="str" cm="1">
        <f t="array" aca="1" ref="E3" ca="1">INDEX({"Awa Ndiaye";"Mamadou Diop";"Fatou Fall";"Cheikh Ba";"Mariama Sow";"Ousmane Ndiaye";"Sokhna Diallo";"Abdoulaye Gueye"},RANDBETWEEN(1,8))</f>
        <v>Mariama Sow</v>
      </c>
      <c r="F3">
        <f t="shared" ref="F3:F66" ca="1" si="2">RANDBETWEEN(1,10)</f>
        <v>3</v>
      </c>
      <c r="G3" s="12">
        <f t="shared" ref="G3:G66" ca="1" si="3">RANDBETWEEN(5000,500000)</f>
        <v>252592</v>
      </c>
      <c r="H3" s="12">
        <f ca="1">tblVentes[[#This Row],[Prix_Unitaire]]*tblVentes[[#This Row],[Quantité]]</f>
        <v>757776</v>
      </c>
      <c r="I3" s="7">
        <f t="shared" ref="I2:I33" ca="1" si="4">RAND()*0.15</f>
        <v>0.10851920714101507</v>
      </c>
      <c r="J3" s="15">
        <f ca="1">tblVentes[[#This Row],[Chiffre_Affaires]]*(1-tblVentes[[#This Row],[Remise]])</f>
        <v>675542.74928951019</v>
      </c>
    </row>
    <row r="4" spans="1:12" x14ac:dyDescent="0.45">
      <c r="A4" s="1">
        <f t="shared" ca="1" si="0"/>
        <v>46271</v>
      </c>
      <c r="B4" t="str">
        <f t="shared" si="1"/>
        <v>V0003</v>
      </c>
      <c r="C4" t="str" cm="1">
        <f t="array" aca="1" ref="C4" ca="1">INDEX({"Laptop";"Souris";"Clavier";"Écran";"Casque";"Tablette";"Imprimante";"Disque dur";"RAM";"Carte graphique"},RANDBETWEEN(1,10))</f>
        <v>Clavier</v>
      </c>
      <c r="D4" t="str" cm="1">
        <f t="array" aca="1" ref="D4" ca="1">INDEX({"Informatique";"Accessoires";"Périphériques";"Stockage";"Audio"},RANDBETWEEN(1,5))</f>
        <v>Informatique</v>
      </c>
      <c r="E4" t="str" cm="1">
        <f t="array" aca="1" ref="E4" ca="1">INDEX({"Awa Ndiaye";"Mamadou Diop";"Fatou Fall";"Cheikh Ba";"Mariama Sow";"Ousmane Ndiaye";"Sokhna Diallo";"Abdoulaye Gueye"},RANDBETWEEN(1,8))</f>
        <v>Sokhna Diallo</v>
      </c>
      <c r="F4">
        <f t="shared" ca="1" si="2"/>
        <v>2</v>
      </c>
      <c r="G4" s="12">
        <f t="shared" ca="1" si="3"/>
        <v>7166</v>
      </c>
      <c r="H4" s="12">
        <f ca="1">tblVentes[[#This Row],[Prix_Unitaire]]*tblVentes[[#This Row],[Quantité]]</f>
        <v>14332</v>
      </c>
      <c r="I4" s="7">
        <f t="shared" ca="1" si="4"/>
        <v>2.6964982277458974E-2</v>
      </c>
      <c r="J4" s="15">
        <f ca="1">tblVentes[[#This Row],[Chiffre_Affaires]]*(1-tblVentes[[#This Row],[Remise]])</f>
        <v>13945.537873999458</v>
      </c>
    </row>
    <row r="5" spans="1:12" x14ac:dyDescent="0.45">
      <c r="A5" s="1">
        <f t="shared" ca="1" si="0"/>
        <v>46274</v>
      </c>
      <c r="B5" t="str">
        <f t="shared" si="1"/>
        <v>V0004</v>
      </c>
      <c r="C5" t="str" cm="1">
        <f t="array" aca="1" ref="C5" ca="1">INDEX({"Laptop";"Souris";"Clavier";"Écran";"Casque";"Tablette";"Imprimante";"Disque dur";"RAM";"Carte graphique"},RANDBETWEEN(1,10))</f>
        <v>Tablette</v>
      </c>
      <c r="D5" t="str" cm="1">
        <f t="array" aca="1" ref="D5" ca="1">INDEX({"Informatique";"Accessoires";"Périphériques";"Stockage";"Audio"},RANDBETWEEN(1,5))</f>
        <v>Informatique</v>
      </c>
      <c r="E5" t="str" cm="1">
        <f t="array" aca="1" ref="E5" ca="1">INDEX({"Awa Ndiaye";"Mamadou Diop";"Fatou Fall";"Cheikh Ba";"Mariama Sow";"Ousmane Ndiaye";"Sokhna Diallo";"Abdoulaye Gueye"},RANDBETWEEN(1,8))</f>
        <v>Abdoulaye Gueye</v>
      </c>
      <c r="F5">
        <f t="shared" ca="1" si="2"/>
        <v>9</v>
      </c>
      <c r="G5" s="12">
        <f t="shared" ca="1" si="3"/>
        <v>216065</v>
      </c>
      <c r="H5" s="12">
        <f ca="1">tblVentes[[#This Row],[Prix_Unitaire]]*tblVentes[[#This Row],[Quantité]]</f>
        <v>1944585</v>
      </c>
      <c r="I5" s="7">
        <f t="shared" ca="1" si="4"/>
        <v>0.12648165699182295</v>
      </c>
      <c r="J5" s="15">
        <f ca="1">tblVentes[[#This Row],[Chiffre_Affaires]]*(1-tblVentes[[#This Row],[Remise]])</f>
        <v>1698630.667038556</v>
      </c>
      <c r="L5" s="8" t="s">
        <v>20</v>
      </c>
    </row>
    <row r="6" spans="1:12" x14ac:dyDescent="0.45">
      <c r="A6" s="1">
        <f t="shared" ca="1" si="0"/>
        <v>46282</v>
      </c>
      <c r="B6" t="str">
        <f t="shared" si="1"/>
        <v>V0005</v>
      </c>
      <c r="C6" t="str" cm="1">
        <f t="array" aca="1" ref="C6" ca="1">INDEX({"Laptop";"Souris";"Clavier";"Écran";"Casque";"Tablette";"Imprimante";"Disque dur";"RAM";"Carte graphique"},RANDBETWEEN(1,10))</f>
        <v>RAM</v>
      </c>
      <c r="D6" t="str" cm="1">
        <f t="array" aca="1" ref="D6" ca="1">INDEX({"Informatique";"Accessoires";"Périphériques";"Stockage";"Audio"},RANDBETWEEN(1,5))</f>
        <v>Stockage</v>
      </c>
      <c r="E6" t="str" cm="1">
        <f t="array" aca="1" ref="E6" ca="1">INDEX({"Awa Ndiaye";"Mamadou Diop";"Fatou Fall";"Cheikh Ba";"Mariama Sow";"Ousmane Ndiaye";"Sokhna Diallo";"Abdoulaye Gueye"},RANDBETWEEN(1,8))</f>
        <v>Mamadou Diop</v>
      </c>
      <c r="F6">
        <f t="shared" ca="1" si="2"/>
        <v>8</v>
      </c>
      <c r="G6" s="12">
        <f t="shared" ca="1" si="3"/>
        <v>35956</v>
      </c>
      <c r="H6" s="12">
        <f ca="1">tblVentes[[#This Row],[Prix_Unitaire]]*tblVentes[[#This Row],[Quantité]]</f>
        <v>287648</v>
      </c>
      <c r="I6" s="7">
        <f t="shared" ca="1" si="4"/>
        <v>1.1112967801447854E-2</v>
      </c>
      <c r="J6" s="15">
        <f ca="1">tblVentes[[#This Row],[Chiffre_Affaires]]*(1-tblVentes[[#This Row],[Remise]])</f>
        <v>284451.3770378491</v>
      </c>
      <c r="L6" s="11">
        <f ca="1">SUM(H:H)</f>
        <v>131182770</v>
      </c>
    </row>
    <row r="7" spans="1:12" x14ac:dyDescent="0.45">
      <c r="A7" s="1">
        <f t="shared" ca="1" si="0"/>
        <v>46281</v>
      </c>
      <c r="B7" t="str">
        <f t="shared" si="1"/>
        <v>V0006</v>
      </c>
      <c r="C7" t="str" cm="1">
        <f t="array" aca="1" ref="C7" ca="1">INDEX({"Laptop";"Souris";"Clavier";"Écran";"Casque";"Tablette";"Imprimante";"Disque dur";"RAM";"Carte graphique"},RANDBETWEEN(1,10))</f>
        <v>Clavier</v>
      </c>
      <c r="D7" t="str" cm="1">
        <f t="array" aca="1" ref="D7" ca="1">INDEX({"Informatique";"Accessoires";"Périphériques";"Stockage";"Audio"},RANDBETWEEN(1,5))</f>
        <v>Informatique</v>
      </c>
      <c r="E7" t="str" cm="1">
        <f t="array" aca="1" ref="E7" ca="1">INDEX({"Awa Ndiaye";"Mamadou Diop";"Fatou Fall";"Cheikh Ba";"Mariama Sow";"Ousmane Ndiaye";"Sokhna Diallo";"Abdoulaye Gueye"},RANDBETWEEN(1,8))</f>
        <v>Cheikh Ba</v>
      </c>
      <c r="F7">
        <f t="shared" ca="1" si="2"/>
        <v>9</v>
      </c>
      <c r="G7" s="12">
        <f t="shared" ca="1" si="3"/>
        <v>299860</v>
      </c>
      <c r="H7" s="12">
        <f ca="1">tblVentes[[#This Row],[Prix_Unitaire]]*tblVentes[[#This Row],[Quantité]]</f>
        <v>2698740</v>
      </c>
      <c r="I7" s="7">
        <f t="shared" ca="1" si="4"/>
        <v>0.14088755569046674</v>
      </c>
      <c r="J7" s="15">
        <f ca="1">tblVentes[[#This Row],[Chiffre_Affaires]]*(1-tblVentes[[#This Row],[Remise]])</f>
        <v>2318521.1179559096</v>
      </c>
      <c r="L7" s="10" t="s">
        <v>21</v>
      </c>
    </row>
    <row r="8" spans="1:12" x14ac:dyDescent="0.45">
      <c r="A8" s="1">
        <f t="shared" ca="1" si="0"/>
        <v>46293</v>
      </c>
      <c r="B8" t="str">
        <f t="shared" si="1"/>
        <v>V0007</v>
      </c>
      <c r="C8" t="str" cm="1">
        <f t="array" aca="1" ref="C8" ca="1">INDEX({"Laptop";"Souris";"Clavier";"Écran";"Casque";"Tablette";"Imprimante";"Disque dur";"RAM";"Carte graphique"},RANDBETWEEN(1,10))</f>
        <v>RAM</v>
      </c>
      <c r="D8" t="str" cm="1">
        <f t="array" aca="1" ref="D8" ca="1">INDEX({"Informatique";"Accessoires";"Périphériques";"Stockage";"Audio"},RANDBETWEEN(1,5))</f>
        <v>Accessoires</v>
      </c>
      <c r="E8" t="str" cm="1">
        <f t="array" aca="1" ref="E8" ca="1">INDEX({"Awa Ndiaye";"Mamadou Diop";"Fatou Fall";"Cheikh Ba";"Mariama Sow";"Ousmane Ndiaye";"Sokhna Diallo";"Abdoulaye Gueye"},RANDBETWEEN(1,8))</f>
        <v>Sokhna Diallo</v>
      </c>
      <c r="F8">
        <f t="shared" ca="1" si="2"/>
        <v>8</v>
      </c>
      <c r="G8" s="12">
        <f t="shared" ca="1" si="3"/>
        <v>46745</v>
      </c>
      <c r="H8" s="12">
        <f ca="1">tblVentes[[#This Row],[Prix_Unitaire]]*tblVentes[[#This Row],[Quantité]]</f>
        <v>373960</v>
      </c>
      <c r="I8" s="7">
        <f t="shared" ca="1" si="4"/>
        <v>3.2522380179568468E-2</v>
      </c>
      <c r="J8" s="15">
        <f ca="1">tblVentes[[#This Row],[Chiffre_Affaires]]*(1-tblVentes[[#This Row],[Remise]])</f>
        <v>361797.93070804857</v>
      </c>
      <c r="L8" s="11">
        <f ca="1">SUM(J:J)</f>
        <v>120779119.20862597</v>
      </c>
    </row>
    <row r="9" spans="1:12" x14ac:dyDescent="0.45">
      <c r="A9" s="1">
        <f t="shared" ca="1" si="0"/>
        <v>46289</v>
      </c>
      <c r="B9" t="str">
        <f t="shared" si="1"/>
        <v>V0008</v>
      </c>
      <c r="C9" t="str" cm="1">
        <f t="array" aca="1" ref="C9" ca="1">INDEX({"Laptop";"Souris";"Clavier";"Écran";"Casque";"Tablette";"Imprimante";"Disque dur";"RAM";"Carte graphique"},RANDBETWEEN(1,10))</f>
        <v>RAM</v>
      </c>
      <c r="D9" t="str" cm="1">
        <f t="array" aca="1" ref="D9" ca="1">INDEX({"Informatique";"Accessoires";"Périphériques";"Stockage";"Audio"},RANDBETWEEN(1,5))</f>
        <v>Informatique</v>
      </c>
      <c r="E9" t="str" cm="1">
        <f t="array" aca="1" ref="E9" ca="1">INDEX({"Awa Ndiaye";"Mamadou Diop";"Fatou Fall";"Cheikh Ba";"Mariama Sow";"Ousmane Ndiaye";"Sokhna Diallo";"Abdoulaye Gueye"},RANDBETWEEN(1,8))</f>
        <v>Sokhna Diallo</v>
      </c>
      <c r="F9">
        <f t="shared" ca="1" si="2"/>
        <v>8</v>
      </c>
      <c r="G9" s="12">
        <f t="shared" ca="1" si="3"/>
        <v>89251</v>
      </c>
      <c r="H9" s="12">
        <f ca="1">tblVentes[[#This Row],[Prix_Unitaire]]*tblVentes[[#This Row],[Quantité]]</f>
        <v>714008</v>
      </c>
      <c r="I9" s="7">
        <f t="shared" ca="1" si="4"/>
        <v>1.0320345635743538E-2</v>
      </c>
      <c r="J9" s="15">
        <f ca="1">tblVentes[[#This Row],[Chiffre_Affaires]]*(1-tblVentes[[#This Row],[Remise]])</f>
        <v>706639.190653314</v>
      </c>
      <c r="L9" s="8" t="s">
        <v>22</v>
      </c>
    </row>
    <row r="10" spans="1:12" x14ac:dyDescent="0.45">
      <c r="A10" s="1">
        <f t="shared" ca="1" si="0"/>
        <v>46275</v>
      </c>
      <c r="B10" t="str">
        <f t="shared" si="1"/>
        <v>V0009</v>
      </c>
      <c r="C10" t="str" cm="1">
        <f t="array" aca="1" ref="C10" ca="1">INDEX({"Laptop";"Souris";"Clavier";"Écran";"Casque";"Tablette";"Imprimante";"Disque dur";"RAM";"Carte graphique"},RANDBETWEEN(1,10))</f>
        <v>Clavier</v>
      </c>
      <c r="D10" t="str" cm="1">
        <f t="array" aca="1" ref="D10" ca="1">INDEX({"Informatique";"Accessoires";"Périphériques";"Stockage";"Audio"},RANDBETWEEN(1,5))</f>
        <v>Stockage</v>
      </c>
      <c r="E10" t="str" cm="1">
        <f t="array" aca="1" ref="E10" ca="1">INDEX({"Awa Ndiaye";"Mamadou Diop";"Fatou Fall";"Cheikh Ba";"Mariama Sow";"Ousmane Ndiaye";"Sokhna Diallo";"Abdoulaye Gueye"},RANDBETWEEN(1,8))</f>
        <v>Sokhna Diallo</v>
      </c>
      <c r="F10">
        <f t="shared" ca="1" si="2"/>
        <v>7</v>
      </c>
      <c r="G10" s="12">
        <f t="shared" ca="1" si="3"/>
        <v>231777</v>
      </c>
      <c r="H10" s="12">
        <f ca="1">tblVentes[[#This Row],[Prix_Unitaire]]*tblVentes[[#This Row],[Quantité]]</f>
        <v>1622439</v>
      </c>
      <c r="I10" s="7">
        <f t="shared" ca="1" si="4"/>
        <v>7.0994845994986899E-2</v>
      </c>
      <c r="J10" s="15">
        <f ca="1">tblVentes[[#This Row],[Chiffre_Affaires]]*(1-tblVentes[[#This Row],[Remise]])</f>
        <v>1507254.1930587394</v>
      </c>
      <c r="L10" s="9">
        <f ca="1">SUM(F:F)</f>
        <v>518</v>
      </c>
    </row>
    <row r="11" spans="1:12" x14ac:dyDescent="0.45">
      <c r="A11" s="1">
        <f t="shared" ca="1" si="0"/>
        <v>46284</v>
      </c>
      <c r="B11" t="str">
        <f t="shared" si="1"/>
        <v>V0010</v>
      </c>
      <c r="C11" t="str" cm="1">
        <f t="array" aca="1" ref="C11" ca="1">INDEX({"Laptop";"Souris";"Clavier";"Écran";"Casque";"Tablette";"Imprimante";"Disque dur";"RAM";"Carte graphique"},RANDBETWEEN(1,10))</f>
        <v>Carte graphique</v>
      </c>
      <c r="D11" t="str" cm="1">
        <f t="array" aca="1" ref="D11" ca="1">INDEX({"Informatique";"Accessoires";"Périphériques";"Stockage";"Audio"},RANDBETWEEN(1,5))</f>
        <v>Périphériques</v>
      </c>
      <c r="E11" t="str" cm="1">
        <f t="array" aca="1" ref="E11" ca="1">INDEX({"Awa Ndiaye";"Mamadou Diop";"Fatou Fall";"Cheikh Ba";"Mariama Sow";"Ousmane Ndiaye";"Sokhna Diallo";"Abdoulaye Gueye"},RANDBETWEEN(1,8))</f>
        <v>Sokhna Diallo</v>
      </c>
      <c r="F11">
        <f t="shared" ca="1" si="2"/>
        <v>7</v>
      </c>
      <c r="G11" s="12">
        <f t="shared" ca="1" si="3"/>
        <v>231429</v>
      </c>
      <c r="H11" s="12">
        <f ca="1">tblVentes[[#This Row],[Prix_Unitaire]]*tblVentes[[#This Row],[Quantité]]</f>
        <v>1620003</v>
      </c>
      <c r="I11" s="7">
        <f t="shared" ca="1" si="4"/>
        <v>6.6456836730423061E-2</v>
      </c>
      <c r="J11" s="15">
        <f ca="1">tblVentes[[#This Row],[Chiffre_Affaires]]*(1-tblVentes[[#This Row],[Remise]])</f>
        <v>1512342.7251262045</v>
      </c>
    </row>
    <row r="12" spans="1:12" x14ac:dyDescent="0.45">
      <c r="A12" s="1">
        <f t="shared" ca="1" si="0"/>
        <v>46274</v>
      </c>
      <c r="B12" t="str">
        <f t="shared" si="1"/>
        <v>V0011</v>
      </c>
      <c r="C12" t="str" cm="1">
        <f t="array" aca="1" ref="C12" ca="1">INDEX({"Laptop";"Souris";"Clavier";"Écran";"Casque";"Tablette";"Imprimante";"Disque dur";"RAM";"Carte graphique"},RANDBETWEEN(1,10))</f>
        <v>Casque</v>
      </c>
      <c r="D12" t="str" cm="1">
        <f t="array" aca="1" ref="D12" ca="1">INDEX({"Informatique";"Accessoires";"Périphériques";"Stockage";"Audio"},RANDBETWEEN(1,5))</f>
        <v>Périphériques</v>
      </c>
      <c r="E12" t="str" cm="1">
        <f t="array" aca="1" ref="E12" ca="1">INDEX({"Awa Ndiaye";"Mamadou Diop";"Fatou Fall";"Cheikh Ba";"Mariama Sow";"Ousmane Ndiaye";"Sokhna Diallo";"Abdoulaye Gueye"},RANDBETWEEN(1,8))</f>
        <v>Cheikh Ba</v>
      </c>
      <c r="F12">
        <f t="shared" ca="1" si="2"/>
        <v>9</v>
      </c>
      <c r="G12" s="12">
        <f t="shared" ca="1" si="3"/>
        <v>211959</v>
      </c>
      <c r="H12" s="12">
        <f ca="1">tblVentes[[#This Row],[Prix_Unitaire]]*tblVentes[[#This Row],[Quantité]]</f>
        <v>1907631</v>
      </c>
      <c r="I12" s="7">
        <f t="shared" ca="1" si="4"/>
        <v>0.11332076793754138</v>
      </c>
      <c r="J12" s="15">
        <f ca="1">tblVentes[[#This Row],[Chiffre_Affaires]]*(1-tblVentes[[#This Row],[Remise]])</f>
        <v>1691456.7901385399</v>
      </c>
    </row>
    <row r="13" spans="1:12" x14ac:dyDescent="0.45">
      <c r="A13" s="1">
        <f t="shared" ca="1" si="0"/>
        <v>46293</v>
      </c>
      <c r="B13" t="str">
        <f t="shared" si="1"/>
        <v>V0012</v>
      </c>
      <c r="C13" t="str" cm="1">
        <f t="array" aca="1" ref="C13" ca="1">INDEX({"Laptop";"Souris";"Clavier";"Écran";"Casque";"Tablette";"Imprimante";"Disque dur";"RAM";"Carte graphique"},RANDBETWEEN(1,10))</f>
        <v>RAM</v>
      </c>
      <c r="D13" t="str" cm="1">
        <f t="array" aca="1" ref="D13" ca="1">INDEX({"Informatique";"Accessoires";"Périphériques";"Stockage";"Audio"},RANDBETWEEN(1,5))</f>
        <v>Informatique</v>
      </c>
      <c r="E13" t="str" cm="1">
        <f t="array" aca="1" ref="E13" ca="1">INDEX({"Awa Ndiaye";"Mamadou Diop";"Fatou Fall";"Cheikh Ba";"Mariama Sow";"Ousmane Ndiaye";"Sokhna Diallo";"Abdoulaye Gueye"},RANDBETWEEN(1,8))</f>
        <v>Cheikh Ba</v>
      </c>
      <c r="F13">
        <f t="shared" ca="1" si="2"/>
        <v>2</v>
      </c>
      <c r="G13" s="12">
        <f t="shared" ca="1" si="3"/>
        <v>184863</v>
      </c>
      <c r="H13" s="12">
        <f ca="1">tblVentes[[#This Row],[Prix_Unitaire]]*tblVentes[[#This Row],[Quantité]]</f>
        <v>369726</v>
      </c>
      <c r="I13" s="7">
        <f t="shared" ca="1" si="4"/>
        <v>6.1949719669692122E-2</v>
      </c>
      <c r="J13" s="15">
        <f ca="1">tblVentes[[#This Row],[Chiffre_Affaires]]*(1-tblVentes[[#This Row],[Remise]])</f>
        <v>346821.57794540341</v>
      </c>
    </row>
    <row r="14" spans="1:12" x14ac:dyDescent="0.45">
      <c r="A14" s="1">
        <f t="shared" ca="1" si="0"/>
        <v>46282</v>
      </c>
      <c r="B14" t="str">
        <f t="shared" si="1"/>
        <v>V0013</v>
      </c>
      <c r="C14" t="str" cm="1">
        <f t="array" aca="1" ref="C14" ca="1">INDEX({"Laptop";"Souris";"Clavier";"Écran";"Casque";"Tablette";"Imprimante";"Disque dur";"RAM";"Carte graphique"},RANDBETWEEN(1,10))</f>
        <v>Laptop</v>
      </c>
      <c r="D14" t="str" cm="1">
        <f t="array" aca="1" ref="D14" ca="1">INDEX({"Informatique";"Accessoires";"Périphériques";"Stockage";"Audio"},RANDBETWEEN(1,5))</f>
        <v>Stockage</v>
      </c>
      <c r="E14" t="str" cm="1">
        <f t="array" aca="1" ref="E14" ca="1">INDEX({"Awa Ndiaye";"Mamadou Diop";"Fatou Fall";"Cheikh Ba";"Mariama Sow";"Ousmane Ndiaye";"Sokhna Diallo";"Abdoulaye Gueye"},RANDBETWEEN(1,8))</f>
        <v>Sokhna Diallo</v>
      </c>
      <c r="F14">
        <f t="shared" ca="1" si="2"/>
        <v>8</v>
      </c>
      <c r="G14" s="12">
        <f t="shared" ca="1" si="3"/>
        <v>228047</v>
      </c>
      <c r="H14" s="12">
        <f ca="1">tblVentes[[#This Row],[Prix_Unitaire]]*tblVentes[[#This Row],[Quantité]]</f>
        <v>1824376</v>
      </c>
      <c r="I14" s="7">
        <f t="shared" ca="1" si="4"/>
        <v>0.13078156892347714</v>
      </c>
      <c r="J14" s="15">
        <f ca="1">tblVentes[[#This Row],[Chiffre_Affaires]]*(1-tblVentes[[#This Row],[Remise]])</f>
        <v>1585781.2444136625</v>
      </c>
    </row>
    <row r="15" spans="1:12" x14ac:dyDescent="0.45">
      <c r="A15" s="1">
        <f t="shared" ca="1" si="0"/>
        <v>46273</v>
      </c>
      <c r="B15" t="str">
        <f t="shared" si="1"/>
        <v>V0014</v>
      </c>
      <c r="C15" t="str" cm="1">
        <f t="array" aca="1" ref="C15" ca="1">INDEX({"Laptop";"Souris";"Clavier";"Écran";"Casque";"Tablette";"Imprimante";"Disque dur";"RAM";"Carte graphique"},RANDBETWEEN(1,10))</f>
        <v>Disque dur</v>
      </c>
      <c r="D15" t="str" cm="1">
        <f t="array" aca="1" ref="D15" ca="1">INDEX({"Informatique";"Accessoires";"Périphériques";"Stockage";"Audio"},RANDBETWEEN(1,5))</f>
        <v>Informatique</v>
      </c>
      <c r="E15" t="str" cm="1">
        <f t="array" aca="1" ref="E15" ca="1">INDEX({"Awa Ndiaye";"Mamadou Diop";"Fatou Fall";"Cheikh Ba";"Mariama Sow";"Ousmane Ndiaye";"Sokhna Diallo";"Abdoulaye Gueye"},RANDBETWEEN(1,8))</f>
        <v>Cheikh Ba</v>
      </c>
      <c r="F15">
        <f t="shared" ca="1" si="2"/>
        <v>3</v>
      </c>
      <c r="G15" s="12">
        <f t="shared" ca="1" si="3"/>
        <v>291660</v>
      </c>
      <c r="H15" s="12">
        <f ca="1">tblVentes[[#This Row],[Prix_Unitaire]]*tblVentes[[#This Row],[Quantité]]</f>
        <v>874980</v>
      </c>
      <c r="I15" s="7">
        <f t="shared" ca="1" si="4"/>
        <v>8.5886942017563472E-2</v>
      </c>
      <c r="J15" s="15">
        <f ca="1">tblVentes[[#This Row],[Chiffre_Affaires]]*(1-tblVentes[[#This Row],[Remise]])</f>
        <v>799830.64347347233</v>
      </c>
    </row>
    <row r="16" spans="1:12" x14ac:dyDescent="0.45">
      <c r="A16" s="1">
        <f t="shared" ca="1" si="0"/>
        <v>46275</v>
      </c>
      <c r="B16" t="str">
        <f t="shared" si="1"/>
        <v>V0015</v>
      </c>
      <c r="C16" t="str" cm="1">
        <f t="array" aca="1" ref="C16" ca="1">INDEX({"Laptop";"Souris";"Clavier";"Écran";"Casque";"Tablette";"Imprimante";"Disque dur";"RAM";"Carte graphique"},RANDBETWEEN(1,10))</f>
        <v>Écran</v>
      </c>
      <c r="D16" t="str" cm="1">
        <f t="array" aca="1" ref="D16" ca="1">INDEX({"Informatique";"Accessoires";"Périphériques";"Stockage";"Audio"},RANDBETWEEN(1,5))</f>
        <v>Stockage</v>
      </c>
      <c r="E16" t="str" cm="1">
        <f t="array" aca="1" ref="E16" ca="1">INDEX({"Awa Ndiaye";"Mamadou Diop";"Fatou Fall";"Cheikh Ba";"Mariama Sow";"Ousmane Ndiaye";"Sokhna Diallo";"Abdoulaye Gueye"},RANDBETWEEN(1,8))</f>
        <v>Mariama Sow</v>
      </c>
      <c r="F16">
        <f t="shared" ca="1" si="2"/>
        <v>5</v>
      </c>
      <c r="G16" s="12">
        <f t="shared" ca="1" si="3"/>
        <v>22054</v>
      </c>
      <c r="H16" s="12">
        <f ca="1">tblVentes[[#This Row],[Prix_Unitaire]]*tblVentes[[#This Row],[Quantité]]</f>
        <v>110270</v>
      </c>
      <c r="I16" s="7">
        <f t="shared" ca="1" si="4"/>
        <v>0.11747310723454914</v>
      </c>
      <c r="J16" s="15">
        <f ca="1">tblVentes[[#This Row],[Chiffre_Affaires]]*(1-tblVentes[[#This Row],[Remise]])</f>
        <v>97316.240465246257</v>
      </c>
    </row>
    <row r="17" spans="1:10" x14ac:dyDescent="0.45">
      <c r="A17" s="1">
        <f t="shared" ca="1" si="0"/>
        <v>46281</v>
      </c>
      <c r="B17" t="str">
        <f t="shared" si="1"/>
        <v>V0016</v>
      </c>
      <c r="C17" t="str" cm="1">
        <f t="array" aca="1" ref="C17" ca="1">INDEX({"Laptop";"Souris";"Clavier";"Écran";"Casque";"Tablette";"Imprimante";"Disque dur";"RAM";"Carte graphique"},RANDBETWEEN(1,10))</f>
        <v>Carte graphique</v>
      </c>
      <c r="D17" t="str" cm="1">
        <f t="array" aca="1" ref="D17" ca="1">INDEX({"Informatique";"Accessoires";"Périphériques";"Stockage";"Audio"},RANDBETWEEN(1,5))</f>
        <v>Stockage</v>
      </c>
      <c r="E17" t="str" cm="1">
        <f t="array" aca="1" ref="E17" ca="1">INDEX({"Awa Ndiaye";"Mamadou Diop";"Fatou Fall";"Cheikh Ba";"Mariama Sow";"Ousmane Ndiaye";"Sokhna Diallo";"Abdoulaye Gueye"},RANDBETWEEN(1,8))</f>
        <v>Ousmane Ndiaye</v>
      </c>
      <c r="F17">
        <f t="shared" ca="1" si="2"/>
        <v>6</v>
      </c>
      <c r="G17" s="12">
        <f t="shared" ca="1" si="3"/>
        <v>480305</v>
      </c>
      <c r="H17" s="12">
        <f ca="1">tblVentes[[#This Row],[Prix_Unitaire]]*tblVentes[[#This Row],[Quantité]]</f>
        <v>2881830</v>
      </c>
      <c r="I17" s="7">
        <f t="shared" ca="1" si="4"/>
        <v>2.4265600989219881E-2</v>
      </c>
      <c r="J17" s="15">
        <f ca="1">tblVentes[[#This Row],[Chiffre_Affaires]]*(1-tblVentes[[#This Row],[Remise]])</f>
        <v>2811900.6631012363</v>
      </c>
    </row>
    <row r="18" spans="1:10" x14ac:dyDescent="0.45">
      <c r="A18" s="1">
        <f t="shared" ca="1" si="0"/>
        <v>46280</v>
      </c>
      <c r="B18" t="str">
        <f t="shared" si="1"/>
        <v>V0017</v>
      </c>
      <c r="C18" t="str" cm="1">
        <f t="array" aca="1" ref="C18" ca="1">INDEX({"Laptop";"Souris";"Clavier";"Écran";"Casque";"Tablette";"Imprimante";"Disque dur";"RAM";"Carte graphique"},RANDBETWEEN(1,10))</f>
        <v>Disque dur</v>
      </c>
      <c r="D18" t="str" cm="1">
        <f t="array" aca="1" ref="D18" ca="1">INDEX({"Informatique";"Accessoires";"Périphériques";"Stockage";"Audio"},RANDBETWEEN(1,5))</f>
        <v>Accessoires</v>
      </c>
      <c r="E18" t="str" cm="1">
        <f t="array" aca="1" ref="E18" ca="1">INDEX({"Awa Ndiaye";"Mamadou Diop";"Fatou Fall";"Cheikh Ba";"Mariama Sow";"Ousmane Ndiaye";"Sokhna Diallo";"Abdoulaye Gueye"},RANDBETWEEN(1,8))</f>
        <v>Fatou Fall</v>
      </c>
      <c r="F18">
        <f t="shared" ca="1" si="2"/>
        <v>4</v>
      </c>
      <c r="G18" s="12">
        <f t="shared" ca="1" si="3"/>
        <v>46982</v>
      </c>
      <c r="H18" s="12">
        <f ca="1">tblVentes[[#This Row],[Prix_Unitaire]]*tblVentes[[#This Row],[Quantité]]</f>
        <v>187928</v>
      </c>
      <c r="I18" s="7">
        <f t="shared" ca="1" si="4"/>
        <v>0.13592239975435016</v>
      </c>
      <c r="J18" s="15">
        <f ca="1">tblVentes[[#This Row],[Chiffre_Affaires]]*(1-tblVentes[[#This Row],[Remise]])</f>
        <v>162384.37525896449</v>
      </c>
    </row>
    <row r="19" spans="1:10" x14ac:dyDescent="0.45">
      <c r="A19" s="1">
        <f t="shared" ca="1" si="0"/>
        <v>46273</v>
      </c>
      <c r="B19" t="str">
        <f t="shared" si="1"/>
        <v>V0018</v>
      </c>
      <c r="C19" t="str" cm="1">
        <f t="array" aca="1" ref="C19" ca="1">INDEX({"Laptop";"Souris";"Clavier";"Écran";"Casque";"Tablette";"Imprimante";"Disque dur";"RAM";"Carte graphique"},RANDBETWEEN(1,10))</f>
        <v>Laptop</v>
      </c>
      <c r="D19" t="str" cm="1">
        <f t="array" aca="1" ref="D19" ca="1">INDEX({"Informatique";"Accessoires";"Périphériques";"Stockage";"Audio"},RANDBETWEEN(1,5))</f>
        <v>Stockage</v>
      </c>
      <c r="E19" t="str" cm="1">
        <f t="array" aca="1" ref="E19" ca="1">INDEX({"Awa Ndiaye";"Mamadou Diop";"Fatou Fall";"Cheikh Ba";"Mariama Sow";"Ousmane Ndiaye";"Sokhna Diallo";"Abdoulaye Gueye"},RANDBETWEEN(1,8))</f>
        <v>Abdoulaye Gueye</v>
      </c>
      <c r="F19">
        <f t="shared" ca="1" si="2"/>
        <v>5</v>
      </c>
      <c r="G19" s="12">
        <f t="shared" ca="1" si="3"/>
        <v>165917</v>
      </c>
      <c r="H19" s="12">
        <f ca="1">tblVentes[[#This Row],[Prix_Unitaire]]*tblVentes[[#This Row],[Quantité]]</f>
        <v>829585</v>
      </c>
      <c r="I19" s="7">
        <f t="shared" ca="1" si="4"/>
        <v>3.3144356239930312E-2</v>
      </c>
      <c r="J19" s="15">
        <f ca="1">tblVentes[[#This Row],[Chiffre_Affaires]]*(1-tblVentes[[#This Row],[Remise]])</f>
        <v>802088.93922869745</v>
      </c>
    </row>
    <row r="20" spans="1:10" x14ac:dyDescent="0.45">
      <c r="A20" s="1">
        <f t="shared" ca="1" si="0"/>
        <v>46276</v>
      </c>
      <c r="B20" t="str">
        <f t="shared" si="1"/>
        <v>V0019</v>
      </c>
      <c r="C20" t="str" cm="1">
        <f t="array" aca="1" ref="C20" ca="1">INDEX({"Laptop";"Souris";"Clavier";"Écran";"Casque";"Tablette";"Imprimante";"Disque dur";"RAM";"Carte graphique"},RANDBETWEEN(1,10))</f>
        <v>Casque</v>
      </c>
      <c r="D20" t="str" cm="1">
        <f t="array" aca="1" ref="D20" ca="1">INDEX({"Informatique";"Accessoires";"Périphériques";"Stockage";"Audio"},RANDBETWEEN(1,5))</f>
        <v>Périphériques</v>
      </c>
      <c r="E20" t="str" cm="1">
        <f t="array" aca="1" ref="E20" ca="1">INDEX({"Awa Ndiaye";"Mamadou Diop";"Fatou Fall";"Cheikh Ba";"Mariama Sow";"Ousmane Ndiaye";"Sokhna Diallo";"Abdoulaye Gueye"},RANDBETWEEN(1,8))</f>
        <v>Mamadou Diop</v>
      </c>
      <c r="F20">
        <f t="shared" ca="1" si="2"/>
        <v>10</v>
      </c>
      <c r="G20" s="12">
        <f t="shared" ca="1" si="3"/>
        <v>124866</v>
      </c>
      <c r="H20" s="12">
        <f ca="1">tblVentes[[#This Row],[Prix_Unitaire]]*tblVentes[[#This Row],[Quantité]]</f>
        <v>1248660</v>
      </c>
      <c r="I20" s="7">
        <f t="shared" ca="1" si="4"/>
        <v>6.2911274717018734E-3</v>
      </c>
      <c r="J20" s="15">
        <f ca="1">tblVentes[[#This Row],[Chiffre_Affaires]]*(1-tblVentes[[#This Row],[Remise]])</f>
        <v>1240804.5207711847</v>
      </c>
    </row>
    <row r="21" spans="1:10" x14ac:dyDescent="0.45">
      <c r="A21" s="1">
        <f t="shared" ca="1" si="0"/>
        <v>46279</v>
      </c>
      <c r="B21" t="str">
        <f t="shared" si="1"/>
        <v>V0020</v>
      </c>
      <c r="C21" t="str" cm="1">
        <f t="array" aca="1" ref="C21" ca="1">INDEX({"Laptop";"Souris";"Clavier";"Écran";"Casque";"Tablette";"Imprimante";"Disque dur";"RAM";"Carte graphique"},RANDBETWEEN(1,10))</f>
        <v>Écran</v>
      </c>
      <c r="D21" t="str" cm="1">
        <f t="array" aca="1" ref="D21" ca="1">INDEX({"Informatique";"Accessoires";"Périphériques";"Stockage";"Audio"},RANDBETWEEN(1,5))</f>
        <v>Audio</v>
      </c>
      <c r="E21" t="str" cm="1">
        <f t="array" aca="1" ref="E21" ca="1">INDEX({"Awa Ndiaye";"Mamadou Diop";"Fatou Fall";"Cheikh Ba";"Mariama Sow";"Ousmane Ndiaye";"Sokhna Diallo";"Abdoulaye Gueye"},RANDBETWEEN(1,8))</f>
        <v>Cheikh Ba</v>
      </c>
      <c r="F21">
        <f t="shared" ca="1" si="2"/>
        <v>10</v>
      </c>
      <c r="G21" s="12">
        <f t="shared" ca="1" si="3"/>
        <v>301043</v>
      </c>
      <c r="H21" s="12">
        <f ca="1">tblVentes[[#This Row],[Prix_Unitaire]]*tblVentes[[#This Row],[Quantité]]</f>
        <v>3010430</v>
      </c>
      <c r="I21" s="7">
        <f t="shared" ca="1" si="4"/>
        <v>5.181444427972539E-2</v>
      </c>
      <c r="J21" s="15">
        <f ca="1">tblVentes[[#This Row],[Chiffre_Affaires]]*(1-tblVentes[[#This Row],[Remise]])</f>
        <v>2854446.2425069865</v>
      </c>
    </row>
    <row r="22" spans="1:10" x14ac:dyDescent="0.45">
      <c r="A22" s="1">
        <f t="shared" ca="1" si="0"/>
        <v>46293</v>
      </c>
      <c r="B22" t="str">
        <f t="shared" si="1"/>
        <v>V0021</v>
      </c>
      <c r="C22" t="str" cm="1">
        <f t="array" aca="1" ref="C22" ca="1">INDEX({"Laptop";"Souris";"Clavier";"Écran";"Casque";"Tablette";"Imprimante";"Disque dur";"RAM";"Carte graphique"},RANDBETWEEN(1,10))</f>
        <v>Écran</v>
      </c>
      <c r="D22" t="str" cm="1">
        <f t="array" aca="1" ref="D22" ca="1">INDEX({"Informatique";"Accessoires";"Périphériques";"Stockage";"Audio"},RANDBETWEEN(1,5))</f>
        <v>Stockage</v>
      </c>
      <c r="E22" t="str" cm="1">
        <f t="array" aca="1" ref="E22" ca="1">INDEX({"Awa Ndiaye";"Mamadou Diop";"Fatou Fall";"Cheikh Ba";"Mariama Sow";"Ousmane Ndiaye";"Sokhna Diallo";"Abdoulaye Gueye"},RANDBETWEEN(1,8))</f>
        <v>Cheikh Ba</v>
      </c>
      <c r="F22">
        <f t="shared" ca="1" si="2"/>
        <v>8</v>
      </c>
      <c r="G22" s="12">
        <f t="shared" ca="1" si="3"/>
        <v>339304</v>
      </c>
      <c r="H22" s="12">
        <f ca="1">tblVentes[[#This Row],[Prix_Unitaire]]*tblVentes[[#This Row],[Quantité]]</f>
        <v>2714432</v>
      </c>
      <c r="I22" s="7">
        <f t="shared" ca="1" si="4"/>
        <v>6.9039752781379068E-2</v>
      </c>
      <c r="J22" s="15">
        <f ca="1">tblVentes[[#This Row],[Chiffre_Affaires]]*(1-tblVentes[[#This Row],[Remise]])</f>
        <v>2527028.2857781355</v>
      </c>
    </row>
    <row r="23" spans="1:10" x14ac:dyDescent="0.45">
      <c r="A23" s="1">
        <f t="shared" ca="1" si="0"/>
        <v>46292</v>
      </c>
      <c r="B23" t="str">
        <f t="shared" si="1"/>
        <v>V0022</v>
      </c>
      <c r="C23" t="str" cm="1">
        <f t="array" aca="1" ref="C23" ca="1">INDEX({"Laptop";"Souris";"Clavier";"Écran";"Casque";"Tablette";"Imprimante";"Disque dur";"RAM";"Carte graphique"},RANDBETWEEN(1,10))</f>
        <v>Disque dur</v>
      </c>
      <c r="D23" t="str" cm="1">
        <f t="array" aca="1" ref="D23" ca="1">INDEX({"Informatique";"Accessoires";"Périphériques";"Stockage";"Audio"},RANDBETWEEN(1,5))</f>
        <v>Informatique</v>
      </c>
      <c r="E23" t="str" cm="1">
        <f t="array" aca="1" ref="E23" ca="1">INDEX({"Awa Ndiaye";"Mamadou Diop";"Fatou Fall";"Cheikh Ba";"Mariama Sow";"Ousmane Ndiaye";"Sokhna Diallo";"Abdoulaye Gueye"},RANDBETWEEN(1,8))</f>
        <v>Cheikh Ba</v>
      </c>
      <c r="F23">
        <f t="shared" ca="1" si="2"/>
        <v>8</v>
      </c>
      <c r="G23" s="12">
        <f t="shared" ca="1" si="3"/>
        <v>336631</v>
      </c>
      <c r="H23" s="12">
        <f ca="1">tblVentes[[#This Row],[Prix_Unitaire]]*tblVentes[[#This Row],[Quantité]]</f>
        <v>2693048</v>
      </c>
      <c r="I23" s="7">
        <f t="shared" ca="1" si="4"/>
        <v>0.12307848812545262</v>
      </c>
      <c r="J23" s="15">
        <f ca="1">tblVentes[[#This Row],[Chiffre_Affaires]]*(1-tblVentes[[#This Row],[Remise]])</f>
        <v>2361591.723710726</v>
      </c>
    </row>
    <row r="24" spans="1:10" x14ac:dyDescent="0.45">
      <c r="A24" s="1">
        <f t="shared" ca="1" si="0"/>
        <v>46278</v>
      </c>
      <c r="B24" t="str">
        <f t="shared" si="1"/>
        <v>V0023</v>
      </c>
      <c r="C24" t="str" cm="1">
        <f t="array" aca="1" ref="C24" ca="1">INDEX({"Laptop";"Souris";"Clavier";"Écran";"Casque";"Tablette";"Imprimante";"Disque dur";"RAM";"Carte graphique"},RANDBETWEEN(1,10))</f>
        <v>RAM</v>
      </c>
      <c r="D24" t="str" cm="1">
        <f t="array" aca="1" ref="D24" ca="1">INDEX({"Informatique";"Accessoires";"Périphériques";"Stockage";"Audio"},RANDBETWEEN(1,5))</f>
        <v>Informatique</v>
      </c>
      <c r="E24" t="str" cm="1">
        <f t="array" aca="1" ref="E24" ca="1">INDEX({"Awa Ndiaye";"Mamadou Diop";"Fatou Fall";"Cheikh Ba";"Mariama Sow";"Ousmane Ndiaye";"Sokhna Diallo";"Abdoulaye Gueye"},RANDBETWEEN(1,8))</f>
        <v>Ousmane Ndiaye</v>
      </c>
      <c r="F24">
        <f t="shared" ca="1" si="2"/>
        <v>1</v>
      </c>
      <c r="G24" s="12">
        <f t="shared" ca="1" si="3"/>
        <v>29407</v>
      </c>
      <c r="H24" s="12">
        <f ca="1">tblVentes[[#This Row],[Prix_Unitaire]]*tblVentes[[#This Row],[Quantité]]</f>
        <v>29407</v>
      </c>
      <c r="I24" s="7">
        <f t="shared" ca="1" si="4"/>
        <v>5.5339568786528286E-2</v>
      </c>
      <c r="J24" s="15">
        <f ca="1">tblVentes[[#This Row],[Chiffre_Affaires]]*(1-tblVentes[[#This Row],[Remise]])</f>
        <v>27779.629300694563</v>
      </c>
    </row>
    <row r="25" spans="1:10" x14ac:dyDescent="0.45">
      <c r="A25" s="1">
        <f t="shared" ca="1" si="0"/>
        <v>46269</v>
      </c>
      <c r="B25" t="str">
        <f t="shared" si="1"/>
        <v>V0024</v>
      </c>
      <c r="C25" t="str" cm="1">
        <f t="array" aca="1" ref="C25" ca="1">INDEX({"Laptop";"Souris";"Clavier";"Écran";"Casque";"Tablette";"Imprimante";"Disque dur";"RAM";"Carte graphique"},RANDBETWEEN(1,10))</f>
        <v>Écran</v>
      </c>
      <c r="D25" t="str" cm="1">
        <f t="array" aca="1" ref="D25" ca="1">INDEX({"Informatique";"Accessoires";"Périphériques";"Stockage";"Audio"},RANDBETWEEN(1,5))</f>
        <v>Périphériques</v>
      </c>
      <c r="E25" t="str" cm="1">
        <f t="array" aca="1" ref="E25" ca="1">INDEX({"Awa Ndiaye";"Mamadou Diop";"Fatou Fall";"Cheikh Ba";"Mariama Sow";"Ousmane Ndiaye";"Sokhna Diallo";"Abdoulaye Gueye"},RANDBETWEEN(1,8))</f>
        <v>Ousmane Ndiaye</v>
      </c>
      <c r="F25">
        <f t="shared" ca="1" si="2"/>
        <v>3</v>
      </c>
      <c r="G25" s="12">
        <f t="shared" ca="1" si="3"/>
        <v>135579</v>
      </c>
      <c r="H25" s="12">
        <f ca="1">tblVentes[[#This Row],[Prix_Unitaire]]*tblVentes[[#This Row],[Quantité]]</f>
        <v>406737</v>
      </c>
      <c r="I25" s="7">
        <f t="shared" ca="1" si="4"/>
        <v>0.13365558110672193</v>
      </c>
      <c r="J25" s="15">
        <f ca="1">tblVentes[[#This Row],[Chiffre_Affaires]]*(1-tblVentes[[#This Row],[Remise]])</f>
        <v>352374.32990739524</v>
      </c>
    </row>
    <row r="26" spans="1:10" x14ac:dyDescent="0.45">
      <c r="A26" s="1">
        <f t="shared" ca="1" si="0"/>
        <v>46274</v>
      </c>
      <c r="B26" t="str">
        <f t="shared" si="1"/>
        <v>V0025</v>
      </c>
      <c r="C26" t="str" cm="1">
        <f t="array" aca="1" ref="C26" ca="1">INDEX({"Laptop";"Souris";"Clavier";"Écran";"Casque";"Tablette";"Imprimante";"Disque dur";"RAM";"Carte graphique"},RANDBETWEEN(1,10))</f>
        <v>Casque</v>
      </c>
      <c r="D26" t="str" cm="1">
        <f t="array" aca="1" ref="D26" ca="1">INDEX({"Informatique";"Accessoires";"Périphériques";"Stockage";"Audio"},RANDBETWEEN(1,5))</f>
        <v>Accessoires</v>
      </c>
      <c r="E26" t="str" cm="1">
        <f t="array" aca="1" ref="E26" ca="1">INDEX({"Awa Ndiaye";"Mamadou Diop";"Fatou Fall";"Cheikh Ba";"Mariama Sow";"Ousmane Ndiaye";"Sokhna Diallo";"Abdoulaye Gueye"},RANDBETWEEN(1,8))</f>
        <v>Fatou Fall</v>
      </c>
      <c r="F26">
        <f t="shared" ca="1" si="2"/>
        <v>6</v>
      </c>
      <c r="G26" s="12">
        <f t="shared" ca="1" si="3"/>
        <v>88789</v>
      </c>
      <c r="H26" s="12">
        <f ca="1">tblVentes[[#This Row],[Prix_Unitaire]]*tblVentes[[#This Row],[Quantité]]</f>
        <v>532734</v>
      </c>
      <c r="I26" s="7">
        <f t="shared" ca="1" si="4"/>
        <v>3.5933795948752151E-2</v>
      </c>
      <c r="J26" s="15">
        <f ca="1">tblVentes[[#This Row],[Chiffre_Affaires]]*(1-tblVentes[[#This Row],[Remise]])</f>
        <v>513590.84514903749</v>
      </c>
    </row>
    <row r="27" spans="1:10" x14ac:dyDescent="0.45">
      <c r="A27" s="1">
        <f t="shared" ca="1" si="0"/>
        <v>46283</v>
      </c>
      <c r="B27" t="str">
        <f t="shared" si="1"/>
        <v>V0026</v>
      </c>
      <c r="C27" t="str" cm="1">
        <f t="array" aca="1" ref="C27" ca="1">INDEX({"Laptop";"Souris";"Clavier";"Écran";"Casque";"Tablette";"Imprimante";"Disque dur";"RAM";"Carte graphique"},RANDBETWEEN(1,10))</f>
        <v>Tablette</v>
      </c>
      <c r="D27" t="str" cm="1">
        <f t="array" aca="1" ref="D27" ca="1">INDEX({"Informatique";"Accessoires";"Périphériques";"Stockage";"Audio"},RANDBETWEEN(1,5))</f>
        <v>Stockage</v>
      </c>
      <c r="E27" t="str" cm="1">
        <f t="array" aca="1" ref="E27" ca="1">INDEX({"Awa Ndiaye";"Mamadou Diop";"Fatou Fall";"Cheikh Ba";"Mariama Sow";"Ousmane Ndiaye";"Sokhna Diallo";"Abdoulaye Gueye"},RANDBETWEEN(1,8))</f>
        <v>Awa Ndiaye</v>
      </c>
      <c r="F27">
        <f t="shared" ca="1" si="2"/>
        <v>8</v>
      </c>
      <c r="G27" s="12">
        <f t="shared" ca="1" si="3"/>
        <v>324288</v>
      </c>
      <c r="H27" s="12">
        <f ca="1">tblVentes[[#This Row],[Prix_Unitaire]]*tblVentes[[#This Row],[Quantité]]</f>
        <v>2594304</v>
      </c>
      <c r="I27" s="7">
        <f t="shared" ca="1" si="4"/>
        <v>0.12334773813325689</v>
      </c>
      <c r="J27" s="15">
        <f ca="1">tblVentes[[#This Row],[Chiffre_Affaires]]*(1-tblVentes[[#This Row],[Remise]])</f>
        <v>2274302.4695699392</v>
      </c>
    </row>
    <row r="28" spans="1:10" x14ac:dyDescent="0.45">
      <c r="A28" s="1">
        <f t="shared" ca="1" si="0"/>
        <v>46277</v>
      </c>
      <c r="B28" t="str">
        <f t="shared" si="1"/>
        <v>V0027</v>
      </c>
      <c r="C28" t="str" cm="1">
        <f t="array" aca="1" ref="C28" ca="1">INDEX({"Laptop";"Souris";"Clavier";"Écran";"Casque";"Tablette";"Imprimante";"Disque dur";"RAM";"Carte graphique"},RANDBETWEEN(1,10))</f>
        <v>Souris</v>
      </c>
      <c r="D28" t="str" cm="1">
        <f t="array" aca="1" ref="D28" ca="1">INDEX({"Informatique";"Accessoires";"Périphériques";"Stockage";"Audio"},RANDBETWEEN(1,5))</f>
        <v>Périphériques</v>
      </c>
      <c r="E28" t="str" cm="1">
        <f t="array" aca="1" ref="E28" ca="1">INDEX({"Awa Ndiaye";"Mamadou Diop";"Fatou Fall";"Cheikh Ba";"Mariama Sow";"Ousmane Ndiaye";"Sokhna Diallo";"Abdoulaye Gueye"},RANDBETWEEN(1,8))</f>
        <v>Cheikh Ba</v>
      </c>
      <c r="F28">
        <f t="shared" ca="1" si="2"/>
        <v>7</v>
      </c>
      <c r="G28" s="12">
        <f t="shared" ca="1" si="3"/>
        <v>74901</v>
      </c>
      <c r="H28" s="12">
        <f ca="1">tblVentes[[#This Row],[Prix_Unitaire]]*tblVentes[[#This Row],[Quantité]]</f>
        <v>524307</v>
      </c>
      <c r="I28" s="7">
        <f t="shared" ca="1" si="4"/>
        <v>0.10212677792341156</v>
      </c>
      <c r="J28" s="15">
        <f ca="1">tblVentes[[#This Row],[Chiffre_Affaires]]*(1-tblVentes[[#This Row],[Remise]])</f>
        <v>470761.21544730989</v>
      </c>
    </row>
    <row r="29" spans="1:10" x14ac:dyDescent="0.45">
      <c r="A29" s="1">
        <f t="shared" ca="1" si="0"/>
        <v>46268</v>
      </c>
      <c r="B29" t="str">
        <f t="shared" si="1"/>
        <v>V0028</v>
      </c>
      <c r="C29" t="str" cm="1">
        <f t="array" aca="1" ref="C29" ca="1">INDEX({"Laptop";"Souris";"Clavier";"Écran";"Casque";"Tablette";"Imprimante";"Disque dur";"RAM";"Carte graphique"},RANDBETWEEN(1,10))</f>
        <v>Écran</v>
      </c>
      <c r="D29" t="str" cm="1">
        <f t="array" aca="1" ref="D29" ca="1">INDEX({"Informatique";"Accessoires";"Périphériques";"Stockage";"Audio"},RANDBETWEEN(1,5))</f>
        <v>Audio</v>
      </c>
      <c r="E29" t="str" cm="1">
        <f t="array" aca="1" ref="E29" ca="1">INDEX({"Awa Ndiaye";"Mamadou Diop";"Fatou Fall";"Cheikh Ba";"Mariama Sow";"Ousmane Ndiaye";"Sokhna Diallo";"Abdoulaye Gueye"},RANDBETWEEN(1,8))</f>
        <v>Awa Ndiaye</v>
      </c>
      <c r="F29">
        <f t="shared" ca="1" si="2"/>
        <v>3</v>
      </c>
      <c r="G29" s="12">
        <f t="shared" ca="1" si="3"/>
        <v>224018</v>
      </c>
      <c r="H29" s="12">
        <f ca="1">tblVentes[[#This Row],[Prix_Unitaire]]*tblVentes[[#This Row],[Quantité]]</f>
        <v>672054</v>
      </c>
      <c r="I29" s="7">
        <f t="shared" ca="1" si="4"/>
        <v>9.3673354981186341E-3</v>
      </c>
      <c r="J29" s="15">
        <f ca="1">tblVentes[[#This Row],[Chiffre_Affaires]]*(1-tblVentes[[#This Row],[Remise]])</f>
        <v>665758.6447091474</v>
      </c>
    </row>
    <row r="30" spans="1:10" x14ac:dyDescent="0.45">
      <c r="A30" s="1">
        <f t="shared" ca="1" si="0"/>
        <v>46291</v>
      </c>
      <c r="B30" t="str">
        <f t="shared" si="1"/>
        <v>V0029</v>
      </c>
      <c r="C30" t="str" cm="1">
        <f t="array" aca="1" ref="C30" ca="1">INDEX({"Laptop";"Souris";"Clavier";"Écran";"Casque";"Tablette";"Imprimante";"Disque dur";"RAM";"Carte graphique"},RANDBETWEEN(1,10))</f>
        <v>Souris</v>
      </c>
      <c r="D30" t="str" cm="1">
        <f t="array" aca="1" ref="D30" ca="1">INDEX({"Informatique";"Accessoires";"Périphériques";"Stockage";"Audio"},RANDBETWEEN(1,5))</f>
        <v>Périphériques</v>
      </c>
      <c r="E30" t="str" cm="1">
        <f t="array" aca="1" ref="E30" ca="1">INDEX({"Awa Ndiaye";"Mamadou Diop";"Fatou Fall";"Cheikh Ba";"Mariama Sow";"Ousmane Ndiaye";"Sokhna Diallo";"Abdoulaye Gueye"},RANDBETWEEN(1,8))</f>
        <v>Sokhna Diallo</v>
      </c>
      <c r="F30">
        <f t="shared" ca="1" si="2"/>
        <v>1</v>
      </c>
      <c r="G30" s="12">
        <f t="shared" ca="1" si="3"/>
        <v>298055</v>
      </c>
      <c r="H30" s="12">
        <f ca="1">tblVentes[[#This Row],[Prix_Unitaire]]*tblVentes[[#This Row],[Quantité]]</f>
        <v>298055</v>
      </c>
      <c r="I30" s="7">
        <f t="shared" ca="1" si="4"/>
        <v>0.11808127193249993</v>
      </c>
      <c r="J30" s="15">
        <f ca="1">tblVentes[[#This Row],[Chiffre_Affaires]]*(1-tblVentes[[#This Row],[Remise]])</f>
        <v>262860.28649415873</v>
      </c>
    </row>
    <row r="31" spans="1:10" x14ac:dyDescent="0.45">
      <c r="A31" s="1">
        <f t="shared" ca="1" si="0"/>
        <v>46273</v>
      </c>
      <c r="B31" t="str">
        <f t="shared" si="1"/>
        <v>V0030</v>
      </c>
      <c r="C31" t="str" cm="1">
        <f t="array" aca="1" ref="C31" ca="1">INDEX({"Laptop";"Souris";"Clavier";"Écran";"Casque";"Tablette";"Imprimante";"Disque dur";"RAM";"Carte graphique"},RANDBETWEEN(1,10))</f>
        <v>Écran</v>
      </c>
      <c r="D31" t="str" cm="1">
        <f t="array" aca="1" ref="D31" ca="1">INDEX({"Informatique";"Accessoires";"Périphériques";"Stockage";"Audio"},RANDBETWEEN(1,5))</f>
        <v>Accessoires</v>
      </c>
      <c r="E31" t="str" cm="1">
        <f t="array" aca="1" ref="E31" ca="1">INDEX({"Awa Ndiaye";"Mamadou Diop";"Fatou Fall";"Cheikh Ba";"Mariama Sow";"Ousmane Ndiaye";"Sokhna Diallo";"Abdoulaye Gueye"},RANDBETWEEN(1,8))</f>
        <v>Fatou Fall</v>
      </c>
      <c r="F31">
        <f t="shared" ca="1" si="2"/>
        <v>2</v>
      </c>
      <c r="G31" s="12">
        <f t="shared" ca="1" si="3"/>
        <v>344273</v>
      </c>
      <c r="H31" s="12">
        <f ca="1">tblVentes[[#This Row],[Prix_Unitaire]]*tblVentes[[#This Row],[Quantité]]</f>
        <v>688546</v>
      </c>
      <c r="I31" s="7">
        <f t="shared" ca="1" si="4"/>
        <v>4.5125444669438415E-2</v>
      </c>
      <c r="J31" s="15">
        <f ca="1">tblVentes[[#This Row],[Chiffre_Affaires]]*(1-tblVentes[[#This Row],[Remise]])</f>
        <v>657475.05557463679</v>
      </c>
    </row>
    <row r="32" spans="1:10" x14ac:dyDescent="0.45">
      <c r="A32" s="1">
        <f t="shared" ca="1" si="0"/>
        <v>46286</v>
      </c>
      <c r="B32" t="str">
        <f t="shared" si="1"/>
        <v>V0031</v>
      </c>
      <c r="C32" t="str" cm="1">
        <f t="array" aca="1" ref="C32" ca="1">INDEX({"Laptop";"Souris";"Clavier";"Écran";"Casque";"Tablette";"Imprimante";"Disque dur";"RAM";"Carte graphique"},RANDBETWEEN(1,10))</f>
        <v>Casque</v>
      </c>
      <c r="D32" t="str" cm="1">
        <f t="array" aca="1" ref="D32" ca="1">INDEX({"Informatique";"Accessoires";"Périphériques";"Stockage";"Audio"},RANDBETWEEN(1,5))</f>
        <v>Accessoires</v>
      </c>
      <c r="E32" t="str" cm="1">
        <f t="array" aca="1" ref="E32" ca="1">INDEX({"Awa Ndiaye";"Mamadou Diop";"Fatou Fall";"Cheikh Ba";"Mariama Sow";"Ousmane Ndiaye";"Sokhna Diallo";"Abdoulaye Gueye"},RANDBETWEEN(1,8))</f>
        <v>Cheikh Ba</v>
      </c>
      <c r="F32">
        <f t="shared" ca="1" si="2"/>
        <v>2</v>
      </c>
      <c r="G32" s="12">
        <f t="shared" ca="1" si="3"/>
        <v>366577</v>
      </c>
      <c r="H32" s="12">
        <f ca="1">tblVentes[[#This Row],[Prix_Unitaire]]*tblVentes[[#This Row],[Quantité]]</f>
        <v>733154</v>
      </c>
      <c r="I32" s="7">
        <f t="shared" ca="1" si="4"/>
        <v>9.9652770981007444E-2</v>
      </c>
      <c r="J32" s="15">
        <f ca="1">tblVentes[[#This Row],[Chiffre_Affaires]]*(1-tblVentes[[#This Row],[Remise]])</f>
        <v>660093.17234419042</v>
      </c>
    </row>
    <row r="33" spans="1:10" x14ac:dyDescent="0.45">
      <c r="A33" s="1">
        <f t="shared" ca="1" si="0"/>
        <v>46290</v>
      </c>
      <c r="B33" t="str">
        <f t="shared" si="1"/>
        <v>V0032</v>
      </c>
      <c r="C33" t="str" cm="1">
        <f t="array" aca="1" ref="C33" ca="1">INDEX({"Laptop";"Souris";"Clavier";"Écran";"Casque";"Tablette";"Imprimante";"Disque dur";"RAM";"Carte graphique"},RANDBETWEEN(1,10))</f>
        <v>Écran</v>
      </c>
      <c r="D33" t="str" cm="1">
        <f t="array" aca="1" ref="D33" ca="1">INDEX({"Informatique";"Accessoires";"Périphériques";"Stockage";"Audio"},RANDBETWEEN(1,5))</f>
        <v>Audio</v>
      </c>
      <c r="E33" t="str" cm="1">
        <f t="array" aca="1" ref="E33" ca="1">INDEX({"Awa Ndiaye";"Mamadou Diop";"Fatou Fall";"Cheikh Ba";"Mariama Sow";"Ousmane Ndiaye";"Sokhna Diallo";"Abdoulaye Gueye"},RANDBETWEEN(1,8))</f>
        <v>Sokhna Diallo</v>
      </c>
      <c r="F33">
        <f t="shared" ca="1" si="2"/>
        <v>2</v>
      </c>
      <c r="G33" s="12">
        <f t="shared" ca="1" si="3"/>
        <v>246807</v>
      </c>
      <c r="H33" s="12">
        <f ca="1">tblVentes[[#This Row],[Prix_Unitaire]]*tblVentes[[#This Row],[Quantité]]</f>
        <v>493614</v>
      </c>
      <c r="I33" s="7">
        <f t="shared" ca="1" si="4"/>
        <v>4.4522612945388618E-2</v>
      </c>
      <c r="J33" s="15">
        <f ca="1">tblVentes[[#This Row],[Chiffre_Affaires]]*(1-tblVentes[[#This Row],[Remise]])</f>
        <v>471637.01493357494</v>
      </c>
    </row>
    <row r="34" spans="1:10" x14ac:dyDescent="0.45">
      <c r="A34" s="1">
        <f t="shared" ca="1" si="0"/>
        <v>46292</v>
      </c>
      <c r="B34" t="str">
        <f t="shared" si="1"/>
        <v>V0033</v>
      </c>
      <c r="C34" t="str" cm="1">
        <f t="array" aca="1" ref="C34" ca="1">INDEX({"Laptop";"Souris";"Clavier";"Écran";"Casque";"Tablette";"Imprimante";"Disque dur";"RAM";"Carte graphique"},RANDBETWEEN(1,10))</f>
        <v>Clavier</v>
      </c>
      <c r="D34" t="str" cm="1">
        <f t="array" aca="1" ref="D34" ca="1">INDEX({"Informatique";"Accessoires";"Périphériques";"Stockage";"Audio"},RANDBETWEEN(1,5))</f>
        <v>Accessoires</v>
      </c>
      <c r="E34" t="str" cm="1">
        <f t="array" aca="1" ref="E34" ca="1">INDEX({"Awa Ndiaye";"Mamadou Diop";"Fatou Fall";"Cheikh Ba";"Mariama Sow";"Ousmane Ndiaye";"Sokhna Diallo";"Abdoulaye Gueye"},RANDBETWEEN(1,8))</f>
        <v>Mariama Sow</v>
      </c>
      <c r="F34">
        <f t="shared" ca="1" si="2"/>
        <v>3</v>
      </c>
      <c r="G34" s="12">
        <f t="shared" ca="1" si="3"/>
        <v>185059</v>
      </c>
      <c r="H34" s="12">
        <f ca="1">tblVentes[[#This Row],[Prix_Unitaire]]*tblVentes[[#This Row],[Quantité]]</f>
        <v>555177</v>
      </c>
      <c r="I34" s="7">
        <f t="shared" ref="I34:I65" ca="1" si="5">RAND()*0.15</f>
        <v>0.1036780881761163</v>
      </c>
      <c r="J34" s="15">
        <f ca="1">tblVentes[[#This Row],[Chiffre_Affaires]]*(1-tblVentes[[#This Row],[Remise]])</f>
        <v>497617.31004064827</v>
      </c>
    </row>
    <row r="35" spans="1:10" x14ac:dyDescent="0.45">
      <c r="A35" s="1">
        <f t="shared" ca="1" si="0"/>
        <v>46287</v>
      </c>
      <c r="B35" t="str">
        <f t="shared" si="1"/>
        <v>V0034</v>
      </c>
      <c r="C35" t="str" cm="1">
        <f t="array" aca="1" ref="C35" ca="1">INDEX({"Laptop";"Souris";"Clavier";"Écran";"Casque";"Tablette";"Imprimante";"Disque dur";"RAM";"Carte graphique"},RANDBETWEEN(1,10))</f>
        <v>Imprimante</v>
      </c>
      <c r="D35" t="str" cm="1">
        <f t="array" aca="1" ref="D35" ca="1">INDEX({"Informatique";"Accessoires";"Périphériques";"Stockage";"Audio"},RANDBETWEEN(1,5))</f>
        <v>Accessoires</v>
      </c>
      <c r="E35" t="str" cm="1">
        <f t="array" aca="1" ref="E35" ca="1">INDEX({"Awa Ndiaye";"Mamadou Diop";"Fatou Fall";"Cheikh Ba";"Mariama Sow";"Ousmane Ndiaye";"Sokhna Diallo";"Abdoulaye Gueye"},RANDBETWEEN(1,8))</f>
        <v>Awa Ndiaye</v>
      </c>
      <c r="F35">
        <f t="shared" ca="1" si="2"/>
        <v>3</v>
      </c>
      <c r="G35" s="12">
        <f t="shared" ca="1" si="3"/>
        <v>370218</v>
      </c>
      <c r="H35" s="12">
        <f ca="1">tblVentes[[#This Row],[Prix_Unitaire]]*tblVentes[[#This Row],[Quantité]]</f>
        <v>1110654</v>
      </c>
      <c r="I35" s="7">
        <f t="shared" ca="1" si="5"/>
        <v>3.6982956386012719E-2</v>
      </c>
      <c r="J35" s="15">
        <f ca="1">tblVentes[[#This Row],[Chiffre_Affaires]]*(1-tblVentes[[#This Row],[Remise]])</f>
        <v>1069578.7315580496</v>
      </c>
    </row>
    <row r="36" spans="1:10" x14ac:dyDescent="0.45">
      <c r="A36" s="1">
        <f t="shared" ca="1" si="0"/>
        <v>46287</v>
      </c>
      <c r="B36" t="str">
        <f t="shared" si="1"/>
        <v>V0035</v>
      </c>
      <c r="C36" t="str" cm="1">
        <f t="array" aca="1" ref="C36" ca="1">INDEX({"Laptop";"Souris";"Clavier";"Écran";"Casque";"Tablette";"Imprimante";"Disque dur";"RAM";"Carte graphique"},RANDBETWEEN(1,10))</f>
        <v>RAM</v>
      </c>
      <c r="D36" t="str" cm="1">
        <f t="array" aca="1" ref="D36" ca="1">INDEX({"Informatique";"Accessoires";"Périphériques";"Stockage";"Audio"},RANDBETWEEN(1,5))</f>
        <v>Stockage</v>
      </c>
      <c r="E36" t="str" cm="1">
        <f t="array" aca="1" ref="E36" ca="1">INDEX({"Awa Ndiaye";"Mamadou Diop";"Fatou Fall";"Cheikh Ba";"Mariama Sow";"Ousmane Ndiaye";"Sokhna Diallo";"Abdoulaye Gueye"},RANDBETWEEN(1,8))</f>
        <v>Cheikh Ba</v>
      </c>
      <c r="F36">
        <f t="shared" ca="1" si="2"/>
        <v>4</v>
      </c>
      <c r="G36" s="12">
        <f t="shared" ca="1" si="3"/>
        <v>482361</v>
      </c>
      <c r="H36" s="12">
        <f ca="1">tblVentes[[#This Row],[Prix_Unitaire]]*tblVentes[[#This Row],[Quantité]]</f>
        <v>1929444</v>
      </c>
      <c r="I36" s="7">
        <f t="shared" ca="1" si="5"/>
        <v>0.10438210488899549</v>
      </c>
      <c r="J36" s="15">
        <f ca="1">tblVentes[[#This Row],[Chiffre_Affaires]]*(1-tblVentes[[#This Row],[Remise]])</f>
        <v>1728044.5740145571</v>
      </c>
    </row>
    <row r="37" spans="1:10" x14ac:dyDescent="0.45">
      <c r="A37" s="1">
        <f t="shared" ca="1" si="0"/>
        <v>46267</v>
      </c>
      <c r="B37" t="str">
        <f t="shared" si="1"/>
        <v>V0036</v>
      </c>
      <c r="C37" t="str" cm="1">
        <f t="array" aca="1" ref="C37" ca="1">INDEX({"Laptop";"Souris";"Clavier";"Écran";"Casque";"Tablette";"Imprimante";"Disque dur";"RAM";"Carte graphique"},RANDBETWEEN(1,10))</f>
        <v>Carte graphique</v>
      </c>
      <c r="D37" t="str" cm="1">
        <f t="array" aca="1" ref="D37" ca="1">INDEX({"Informatique";"Accessoires";"Périphériques";"Stockage";"Audio"},RANDBETWEEN(1,5))</f>
        <v>Audio</v>
      </c>
      <c r="E37" t="str" cm="1">
        <f t="array" aca="1" ref="E37" ca="1">INDEX({"Awa Ndiaye";"Mamadou Diop";"Fatou Fall";"Cheikh Ba";"Mariama Sow";"Ousmane Ndiaye";"Sokhna Diallo";"Abdoulaye Gueye"},RANDBETWEEN(1,8))</f>
        <v>Mariama Sow</v>
      </c>
      <c r="F37">
        <f t="shared" ca="1" si="2"/>
        <v>4</v>
      </c>
      <c r="G37" s="12">
        <f t="shared" ca="1" si="3"/>
        <v>213032</v>
      </c>
      <c r="H37" s="12">
        <f ca="1">tblVentes[[#This Row],[Prix_Unitaire]]*tblVentes[[#This Row],[Quantité]]</f>
        <v>852128</v>
      </c>
      <c r="I37" s="7">
        <f t="shared" ca="1" si="5"/>
        <v>0.10452809652989602</v>
      </c>
      <c r="J37" s="15">
        <f ca="1">tblVentes[[#This Row],[Chiffre_Affaires]]*(1-tblVentes[[#This Row],[Remise]])</f>
        <v>763056.68216017273</v>
      </c>
    </row>
    <row r="38" spans="1:10" x14ac:dyDescent="0.45">
      <c r="A38" s="1">
        <f t="shared" ca="1" si="0"/>
        <v>46288</v>
      </c>
      <c r="B38" t="str">
        <f t="shared" si="1"/>
        <v>V0037</v>
      </c>
      <c r="C38" t="str" cm="1">
        <f t="array" aca="1" ref="C38" ca="1">INDEX({"Laptop";"Souris";"Clavier";"Écran";"Casque";"Tablette";"Imprimante";"Disque dur";"RAM";"Carte graphique"},RANDBETWEEN(1,10))</f>
        <v>Carte graphique</v>
      </c>
      <c r="D38" t="str" cm="1">
        <f t="array" aca="1" ref="D38" ca="1">INDEX({"Informatique";"Accessoires";"Périphériques";"Stockage";"Audio"},RANDBETWEEN(1,5))</f>
        <v>Informatique</v>
      </c>
      <c r="E38" t="str" cm="1">
        <f t="array" aca="1" ref="E38" ca="1">INDEX({"Awa Ndiaye";"Mamadou Diop";"Fatou Fall";"Cheikh Ba";"Mariama Sow";"Ousmane Ndiaye";"Sokhna Diallo";"Abdoulaye Gueye"},RANDBETWEEN(1,8))</f>
        <v>Mariama Sow</v>
      </c>
      <c r="F38">
        <f t="shared" ca="1" si="2"/>
        <v>5</v>
      </c>
      <c r="G38" s="12">
        <f t="shared" ca="1" si="3"/>
        <v>393974</v>
      </c>
      <c r="H38" s="12">
        <f ca="1">tblVentes[[#This Row],[Prix_Unitaire]]*tblVentes[[#This Row],[Quantité]]</f>
        <v>1969870</v>
      </c>
      <c r="I38" s="7">
        <f t="shared" ca="1" si="5"/>
        <v>0.10617699591634587</v>
      </c>
      <c r="J38" s="15">
        <f ca="1">tblVentes[[#This Row],[Chiffre_Affaires]]*(1-tblVentes[[#This Row],[Remise]])</f>
        <v>1760715.1210542677</v>
      </c>
    </row>
    <row r="39" spans="1:10" x14ac:dyDescent="0.45">
      <c r="A39" s="1">
        <f t="shared" ca="1" si="0"/>
        <v>46275</v>
      </c>
      <c r="B39" t="str">
        <f t="shared" si="1"/>
        <v>V0038</v>
      </c>
      <c r="C39" t="str" cm="1">
        <f t="array" aca="1" ref="C39" ca="1">INDEX({"Laptop";"Souris";"Clavier";"Écran";"Casque";"Tablette";"Imprimante";"Disque dur";"RAM";"Carte graphique"},RANDBETWEEN(1,10))</f>
        <v>Disque dur</v>
      </c>
      <c r="D39" t="str" cm="1">
        <f t="array" aca="1" ref="D39" ca="1">INDEX({"Informatique";"Accessoires";"Périphériques";"Stockage";"Audio"},RANDBETWEEN(1,5))</f>
        <v>Accessoires</v>
      </c>
      <c r="E39" t="str" cm="1">
        <f t="array" aca="1" ref="E39" ca="1">INDEX({"Awa Ndiaye";"Mamadou Diop";"Fatou Fall";"Cheikh Ba";"Mariama Sow";"Ousmane Ndiaye";"Sokhna Diallo";"Abdoulaye Gueye"},RANDBETWEEN(1,8))</f>
        <v>Fatou Fall</v>
      </c>
      <c r="F39">
        <f t="shared" ca="1" si="2"/>
        <v>9</v>
      </c>
      <c r="G39" s="12">
        <f t="shared" ca="1" si="3"/>
        <v>245031</v>
      </c>
      <c r="H39" s="12">
        <f ca="1">tblVentes[[#This Row],[Prix_Unitaire]]*tblVentes[[#This Row],[Quantité]]</f>
        <v>2205279</v>
      </c>
      <c r="I39" s="7">
        <f t="shared" ca="1" si="5"/>
        <v>0.12017179176869966</v>
      </c>
      <c r="J39" s="15">
        <f ca="1">tblVentes[[#This Row],[Chiffre_Affaires]]*(1-tblVentes[[#This Row],[Remise]])</f>
        <v>1940266.6712201138</v>
      </c>
    </row>
    <row r="40" spans="1:10" x14ac:dyDescent="0.45">
      <c r="A40" s="1">
        <f t="shared" ca="1" si="0"/>
        <v>46279</v>
      </c>
      <c r="B40" t="str">
        <f t="shared" si="1"/>
        <v>V0039</v>
      </c>
      <c r="C40" t="str" cm="1">
        <f t="array" aca="1" ref="C40" ca="1">INDEX({"Laptop";"Souris";"Clavier";"Écran";"Casque";"Tablette";"Imprimante";"Disque dur";"RAM";"Carte graphique"},RANDBETWEEN(1,10))</f>
        <v>Imprimante</v>
      </c>
      <c r="D40" t="str" cm="1">
        <f t="array" aca="1" ref="D40" ca="1">INDEX({"Informatique";"Accessoires";"Périphériques";"Stockage";"Audio"},RANDBETWEEN(1,5))</f>
        <v>Périphériques</v>
      </c>
      <c r="E40" t="str" cm="1">
        <f t="array" aca="1" ref="E40" ca="1">INDEX({"Awa Ndiaye";"Mamadou Diop";"Fatou Fall";"Cheikh Ba";"Mariama Sow";"Ousmane Ndiaye";"Sokhna Diallo";"Abdoulaye Gueye"},RANDBETWEEN(1,8))</f>
        <v>Ousmane Ndiaye</v>
      </c>
      <c r="F40">
        <f t="shared" ca="1" si="2"/>
        <v>8</v>
      </c>
      <c r="G40" s="12">
        <f t="shared" ca="1" si="3"/>
        <v>45287</v>
      </c>
      <c r="H40" s="12">
        <f ca="1">tblVentes[[#This Row],[Prix_Unitaire]]*tblVentes[[#This Row],[Quantité]]</f>
        <v>362296</v>
      </c>
      <c r="I40" s="7">
        <f t="shared" ca="1" si="5"/>
        <v>5.5505349620233679E-2</v>
      </c>
      <c r="J40" s="15">
        <f ca="1">tblVentes[[#This Row],[Chiffre_Affaires]]*(1-tblVentes[[#This Row],[Remise]])</f>
        <v>342186.63385398779</v>
      </c>
    </row>
    <row r="41" spans="1:10" x14ac:dyDescent="0.45">
      <c r="A41" s="1">
        <f t="shared" ca="1" si="0"/>
        <v>46290</v>
      </c>
      <c r="B41" t="str">
        <f t="shared" si="1"/>
        <v>V0040</v>
      </c>
      <c r="C41" t="str" cm="1">
        <f t="array" aca="1" ref="C41" ca="1">INDEX({"Laptop";"Souris";"Clavier";"Écran";"Casque";"Tablette";"Imprimante";"Disque dur";"RAM";"Carte graphique"},RANDBETWEEN(1,10))</f>
        <v>Écran</v>
      </c>
      <c r="D41" t="str" cm="1">
        <f t="array" aca="1" ref="D41" ca="1">INDEX({"Informatique";"Accessoires";"Périphériques";"Stockage";"Audio"},RANDBETWEEN(1,5))</f>
        <v>Informatique</v>
      </c>
      <c r="E41" t="str" cm="1">
        <f t="array" aca="1" ref="E41" ca="1">INDEX({"Awa Ndiaye";"Mamadou Diop";"Fatou Fall";"Cheikh Ba";"Mariama Sow";"Ousmane Ndiaye";"Sokhna Diallo";"Abdoulaye Gueye"},RANDBETWEEN(1,8))</f>
        <v>Cheikh Ba</v>
      </c>
      <c r="F41">
        <f t="shared" ca="1" si="2"/>
        <v>10</v>
      </c>
      <c r="G41" s="12">
        <f t="shared" ca="1" si="3"/>
        <v>17878</v>
      </c>
      <c r="H41" s="12">
        <f ca="1">tblVentes[[#This Row],[Prix_Unitaire]]*tblVentes[[#This Row],[Quantité]]</f>
        <v>178780</v>
      </c>
      <c r="I41" s="7">
        <f t="shared" ca="1" si="5"/>
        <v>6.8707510260488214E-2</v>
      </c>
      <c r="J41" s="15">
        <f ca="1">tblVentes[[#This Row],[Chiffre_Affaires]]*(1-tblVentes[[#This Row],[Remise]])</f>
        <v>166496.47131562993</v>
      </c>
    </row>
    <row r="42" spans="1:10" x14ac:dyDescent="0.45">
      <c r="A42" s="1">
        <f t="shared" ca="1" si="0"/>
        <v>46285</v>
      </c>
      <c r="B42" t="str">
        <f t="shared" si="1"/>
        <v>V0041</v>
      </c>
      <c r="C42" t="str" cm="1">
        <f t="array" aca="1" ref="C42" ca="1">INDEX({"Laptop";"Souris";"Clavier";"Écran";"Casque";"Tablette";"Imprimante";"Disque dur";"RAM";"Carte graphique"},RANDBETWEEN(1,10))</f>
        <v>Carte graphique</v>
      </c>
      <c r="D42" t="str" cm="1">
        <f t="array" aca="1" ref="D42" ca="1">INDEX({"Informatique";"Accessoires";"Périphériques";"Stockage";"Audio"},RANDBETWEEN(1,5))</f>
        <v>Stockage</v>
      </c>
      <c r="E42" t="str" cm="1">
        <f t="array" aca="1" ref="E42" ca="1">INDEX({"Awa Ndiaye";"Mamadou Diop";"Fatou Fall";"Cheikh Ba";"Mariama Sow";"Ousmane Ndiaye";"Sokhna Diallo";"Abdoulaye Gueye"},RANDBETWEEN(1,8))</f>
        <v>Awa Ndiaye</v>
      </c>
      <c r="F42">
        <f t="shared" ca="1" si="2"/>
        <v>6</v>
      </c>
      <c r="G42" s="12">
        <f t="shared" ca="1" si="3"/>
        <v>88816</v>
      </c>
      <c r="H42" s="12">
        <f ca="1">tblVentes[[#This Row],[Prix_Unitaire]]*tblVentes[[#This Row],[Quantité]]</f>
        <v>532896</v>
      </c>
      <c r="I42" s="7">
        <f t="shared" ca="1" si="5"/>
        <v>0.13643168871706726</v>
      </c>
      <c r="J42" s="15">
        <f ca="1">tblVentes[[#This Row],[Chiffre_Affaires]]*(1-tblVentes[[#This Row],[Remise]])</f>
        <v>460192.09880942974</v>
      </c>
    </row>
    <row r="43" spans="1:10" x14ac:dyDescent="0.45">
      <c r="A43" s="1">
        <f t="shared" ca="1" si="0"/>
        <v>46287</v>
      </c>
      <c r="B43" t="str">
        <f t="shared" si="1"/>
        <v>V0042</v>
      </c>
      <c r="C43" t="str" cm="1">
        <f t="array" aca="1" ref="C43" ca="1">INDEX({"Laptop";"Souris";"Clavier";"Écran";"Casque";"Tablette";"Imprimante";"Disque dur";"RAM";"Carte graphique"},RANDBETWEEN(1,10))</f>
        <v>Laptop</v>
      </c>
      <c r="D43" t="str" cm="1">
        <f t="array" aca="1" ref="D43" ca="1">INDEX({"Informatique";"Accessoires";"Périphériques";"Stockage";"Audio"},RANDBETWEEN(1,5))</f>
        <v>Audio</v>
      </c>
      <c r="E43" t="str" cm="1">
        <f t="array" aca="1" ref="E43" ca="1">INDEX({"Awa Ndiaye";"Mamadou Diop";"Fatou Fall";"Cheikh Ba";"Mariama Sow";"Ousmane Ndiaye";"Sokhna Diallo";"Abdoulaye Gueye"},RANDBETWEEN(1,8))</f>
        <v>Sokhna Diallo</v>
      </c>
      <c r="F43">
        <f t="shared" ca="1" si="2"/>
        <v>4</v>
      </c>
      <c r="G43" s="12">
        <f t="shared" ca="1" si="3"/>
        <v>113378</v>
      </c>
      <c r="H43" s="12">
        <f ca="1">tblVentes[[#This Row],[Prix_Unitaire]]*tblVentes[[#This Row],[Quantité]]</f>
        <v>453512</v>
      </c>
      <c r="I43" s="7">
        <f t="shared" ca="1" si="5"/>
        <v>0.13950818653689484</v>
      </c>
      <c r="J43" s="15">
        <f ca="1">tblVentes[[#This Row],[Chiffre_Affaires]]*(1-tblVentes[[#This Row],[Remise]])</f>
        <v>390243.36330727977</v>
      </c>
    </row>
    <row r="44" spans="1:10" x14ac:dyDescent="0.45">
      <c r="A44" s="1">
        <f t="shared" ca="1" si="0"/>
        <v>46277</v>
      </c>
      <c r="B44" t="str">
        <f t="shared" si="1"/>
        <v>V0043</v>
      </c>
      <c r="C44" t="str" cm="1">
        <f t="array" aca="1" ref="C44" ca="1">INDEX({"Laptop";"Souris";"Clavier";"Écran";"Casque";"Tablette";"Imprimante";"Disque dur";"RAM";"Carte graphique"},RANDBETWEEN(1,10))</f>
        <v>Carte graphique</v>
      </c>
      <c r="D44" t="str" cm="1">
        <f t="array" aca="1" ref="D44" ca="1">INDEX({"Informatique";"Accessoires";"Périphériques";"Stockage";"Audio"},RANDBETWEEN(1,5))</f>
        <v>Stockage</v>
      </c>
      <c r="E44" t="str" cm="1">
        <f t="array" aca="1" ref="E44" ca="1">INDEX({"Awa Ndiaye";"Mamadou Diop";"Fatou Fall";"Cheikh Ba";"Mariama Sow";"Ousmane Ndiaye";"Sokhna Diallo";"Abdoulaye Gueye"},RANDBETWEEN(1,8))</f>
        <v>Cheikh Ba</v>
      </c>
      <c r="F44">
        <f t="shared" ca="1" si="2"/>
        <v>3</v>
      </c>
      <c r="G44" s="12">
        <f t="shared" ca="1" si="3"/>
        <v>78224</v>
      </c>
      <c r="H44" s="12">
        <f ca="1">tblVentes[[#This Row],[Prix_Unitaire]]*tblVentes[[#This Row],[Quantité]]</f>
        <v>234672</v>
      </c>
      <c r="I44" s="7">
        <f t="shared" ca="1" si="5"/>
        <v>2.5696944115886244E-2</v>
      </c>
      <c r="J44" s="15">
        <f ca="1">tblVentes[[#This Row],[Chiffre_Affaires]]*(1-tblVentes[[#This Row],[Remise]])</f>
        <v>228641.64673043674</v>
      </c>
    </row>
    <row r="45" spans="1:10" x14ac:dyDescent="0.45">
      <c r="A45" s="1">
        <f t="shared" ca="1" si="0"/>
        <v>46274</v>
      </c>
      <c r="B45" t="str">
        <f t="shared" si="1"/>
        <v>V0044</v>
      </c>
      <c r="C45" t="str" cm="1">
        <f t="array" aca="1" ref="C45" ca="1">INDEX({"Laptop";"Souris";"Clavier";"Écran";"Casque";"Tablette";"Imprimante";"Disque dur";"RAM";"Carte graphique"},RANDBETWEEN(1,10))</f>
        <v>Tablette</v>
      </c>
      <c r="D45" t="str" cm="1">
        <f t="array" aca="1" ref="D45" ca="1">INDEX({"Informatique";"Accessoires";"Périphériques";"Stockage";"Audio"},RANDBETWEEN(1,5))</f>
        <v>Audio</v>
      </c>
      <c r="E45" t="str" cm="1">
        <f t="array" aca="1" ref="E45" ca="1">INDEX({"Awa Ndiaye";"Mamadou Diop";"Fatou Fall";"Cheikh Ba";"Mariama Sow";"Ousmane Ndiaye";"Sokhna Diallo";"Abdoulaye Gueye"},RANDBETWEEN(1,8))</f>
        <v>Ousmane Ndiaye</v>
      </c>
      <c r="F45">
        <f t="shared" ca="1" si="2"/>
        <v>9</v>
      </c>
      <c r="G45" s="12">
        <f t="shared" ca="1" si="3"/>
        <v>461008</v>
      </c>
      <c r="H45" s="12">
        <f ca="1">tblVentes[[#This Row],[Prix_Unitaire]]*tblVentes[[#This Row],[Quantité]]</f>
        <v>4149072</v>
      </c>
      <c r="I45" s="7">
        <f t="shared" ca="1" si="5"/>
        <v>0.13655868889500491</v>
      </c>
      <c r="J45" s="15">
        <f ca="1">tblVentes[[#This Row],[Chiffre_Affaires]]*(1-tblVentes[[#This Row],[Remise]])</f>
        <v>3582480.1675490243</v>
      </c>
    </row>
    <row r="46" spans="1:10" x14ac:dyDescent="0.45">
      <c r="A46" s="1">
        <f t="shared" ca="1" si="0"/>
        <v>46282</v>
      </c>
      <c r="B46" t="str">
        <f t="shared" si="1"/>
        <v>V0045</v>
      </c>
      <c r="C46" t="str" cm="1">
        <f t="array" aca="1" ref="C46" ca="1">INDEX({"Laptop";"Souris";"Clavier";"Écran";"Casque";"Tablette";"Imprimante";"Disque dur";"RAM";"Carte graphique"},RANDBETWEEN(1,10))</f>
        <v>Tablette</v>
      </c>
      <c r="D46" t="str" cm="1">
        <f t="array" aca="1" ref="D46" ca="1">INDEX({"Informatique";"Accessoires";"Périphériques";"Stockage";"Audio"},RANDBETWEEN(1,5))</f>
        <v>Accessoires</v>
      </c>
      <c r="E46" t="str" cm="1">
        <f t="array" aca="1" ref="E46" ca="1">INDEX({"Awa Ndiaye";"Mamadou Diop";"Fatou Fall";"Cheikh Ba";"Mariama Sow";"Ousmane Ndiaye";"Sokhna Diallo";"Abdoulaye Gueye"},RANDBETWEEN(1,8))</f>
        <v>Ousmane Ndiaye</v>
      </c>
      <c r="F46">
        <f t="shared" ca="1" si="2"/>
        <v>4</v>
      </c>
      <c r="G46" s="12">
        <f t="shared" ca="1" si="3"/>
        <v>128689</v>
      </c>
      <c r="H46" s="12">
        <f ca="1">tblVentes[[#This Row],[Prix_Unitaire]]*tblVentes[[#This Row],[Quantité]]</f>
        <v>514756</v>
      </c>
      <c r="I46" s="7">
        <f t="shared" ca="1" si="5"/>
        <v>0.11195122703084021</v>
      </c>
      <c r="J46" s="15">
        <f ca="1">tblVentes[[#This Row],[Chiffre_Affaires]]*(1-tblVentes[[#This Row],[Remise]])</f>
        <v>457128.43417851278</v>
      </c>
    </row>
    <row r="47" spans="1:10" x14ac:dyDescent="0.45">
      <c r="A47" s="1">
        <f t="shared" ca="1" si="0"/>
        <v>46285</v>
      </c>
      <c r="B47" t="str">
        <f t="shared" si="1"/>
        <v>V0046</v>
      </c>
      <c r="C47" t="str" cm="1">
        <f t="array" aca="1" ref="C47" ca="1">INDEX({"Laptop";"Souris";"Clavier";"Écran";"Casque";"Tablette";"Imprimante";"Disque dur";"RAM";"Carte graphique"},RANDBETWEEN(1,10))</f>
        <v>Clavier</v>
      </c>
      <c r="D47" t="str" cm="1">
        <f t="array" aca="1" ref="D47" ca="1">INDEX({"Informatique";"Accessoires";"Périphériques";"Stockage";"Audio"},RANDBETWEEN(1,5))</f>
        <v>Accessoires</v>
      </c>
      <c r="E47" t="str" cm="1">
        <f t="array" aca="1" ref="E47" ca="1">INDEX({"Awa Ndiaye";"Mamadou Diop";"Fatou Fall";"Cheikh Ba";"Mariama Sow";"Ousmane Ndiaye";"Sokhna Diallo";"Abdoulaye Gueye"},RANDBETWEEN(1,8))</f>
        <v>Awa Ndiaye</v>
      </c>
      <c r="F47">
        <f t="shared" ca="1" si="2"/>
        <v>10</v>
      </c>
      <c r="G47" s="12">
        <f t="shared" ca="1" si="3"/>
        <v>472753</v>
      </c>
      <c r="H47" s="12">
        <f ca="1">tblVentes[[#This Row],[Prix_Unitaire]]*tblVentes[[#This Row],[Quantité]]</f>
        <v>4727530</v>
      </c>
      <c r="I47" s="7">
        <f t="shared" ca="1" si="5"/>
        <v>7.2618148324220963E-2</v>
      </c>
      <c r="J47" s="15">
        <f ca="1">tblVentes[[#This Row],[Chiffre_Affaires]]*(1-tblVentes[[#This Row],[Remise]])</f>
        <v>4384225.5252527958</v>
      </c>
    </row>
    <row r="48" spans="1:10" x14ac:dyDescent="0.45">
      <c r="A48" s="1">
        <f t="shared" ca="1" si="0"/>
        <v>46276</v>
      </c>
      <c r="B48" t="str">
        <f t="shared" si="1"/>
        <v>V0047</v>
      </c>
      <c r="C48" t="str" cm="1">
        <f t="array" aca="1" ref="C48" ca="1">INDEX({"Laptop";"Souris";"Clavier";"Écran";"Casque";"Tablette";"Imprimante";"Disque dur";"RAM";"Carte graphique"},RANDBETWEEN(1,10))</f>
        <v>Tablette</v>
      </c>
      <c r="D48" t="str" cm="1">
        <f t="array" aca="1" ref="D48" ca="1">INDEX({"Informatique";"Accessoires";"Périphériques";"Stockage";"Audio"},RANDBETWEEN(1,5))</f>
        <v>Informatique</v>
      </c>
      <c r="E48" t="str" cm="1">
        <f t="array" aca="1" ref="E48" ca="1">INDEX({"Awa Ndiaye";"Mamadou Diop";"Fatou Fall";"Cheikh Ba";"Mariama Sow";"Ousmane Ndiaye";"Sokhna Diallo";"Abdoulaye Gueye"},RANDBETWEEN(1,8))</f>
        <v>Mamadou Diop</v>
      </c>
      <c r="F48">
        <f t="shared" ca="1" si="2"/>
        <v>7</v>
      </c>
      <c r="G48" s="12">
        <f t="shared" ca="1" si="3"/>
        <v>156188</v>
      </c>
      <c r="H48" s="12">
        <f ca="1">tblVentes[[#This Row],[Prix_Unitaire]]*tblVentes[[#This Row],[Quantité]]</f>
        <v>1093316</v>
      </c>
      <c r="I48" s="7">
        <f t="shared" ca="1" si="5"/>
        <v>3.2832318903571377E-2</v>
      </c>
      <c r="J48" s="15">
        <f ca="1">tblVentes[[#This Row],[Chiffre_Affaires]]*(1-tblVentes[[#This Row],[Remise]])</f>
        <v>1057419.9004256229</v>
      </c>
    </row>
    <row r="49" spans="1:10" x14ac:dyDescent="0.45">
      <c r="A49" s="1">
        <f t="shared" ca="1" si="0"/>
        <v>46292</v>
      </c>
      <c r="B49" t="str">
        <f t="shared" si="1"/>
        <v>V0048</v>
      </c>
      <c r="C49" t="str" cm="1">
        <f t="array" aca="1" ref="C49" ca="1">INDEX({"Laptop";"Souris";"Clavier";"Écran";"Casque";"Tablette";"Imprimante";"Disque dur";"RAM";"Carte graphique"},RANDBETWEEN(1,10))</f>
        <v>Imprimante</v>
      </c>
      <c r="D49" t="str" cm="1">
        <f t="array" aca="1" ref="D49" ca="1">INDEX({"Informatique";"Accessoires";"Périphériques";"Stockage";"Audio"},RANDBETWEEN(1,5))</f>
        <v>Informatique</v>
      </c>
      <c r="E49" t="str" cm="1">
        <f t="array" aca="1" ref="E49" ca="1">INDEX({"Awa Ndiaye";"Mamadou Diop";"Fatou Fall";"Cheikh Ba";"Mariama Sow";"Ousmane Ndiaye";"Sokhna Diallo";"Abdoulaye Gueye"},RANDBETWEEN(1,8))</f>
        <v>Ousmane Ndiaye</v>
      </c>
      <c r="F49">
        <f t="shared" ca="1" si="2"/>
        <v>7</v>
      </c>
      <c r="G49" s="12">
        <f t="shared" ca="1" si="3"/>
        <v>393495</v>
      </c>
      <c r="H49" s="12">
        <f ca="1">tblVentes[[#This Row],[Prix_Unitaire]]*tblVentes[[#This Row],[Quantité]]</f>
        <v>2754465</v>
      </c>
      <c r="I49" s="7">
        <f t="shared" ca="1" si="5"/>
        <v>0.10613834331753515</v>
      </c>
      <c r="J49" s="15">
        <f ca="1">tblVentes[[#This Row],[Chiffre_Affaires]]*(1-tblVentes[[#This Row],[Remise]])</f>
        <v>2462110.6481738654</v>
      </c>
    </row>
    <row r="50" spans="1:10" x14ac:dyDescent="0.45">
      <c r="A50" s="1">
        <f t="shared" ca="1" si="0"/>
        <v>46283</v>
      </c>
      <c r="B50" t="str">
        <f t="shared" si="1"/>
        <v>V0049</v>
      </c>
      <c r="C50" t="str" cm="1">
        <f t="array" aca="1" ref="C50" ca="1">INDEX({"Laptop";"Souris";"Clavier";"Écran";"Casque";"Tablette";"Imprimante";"Disque dur";"RAM";"Carte graphique"},RANDBETWEEN(1,10))</f>
        <v>Disque dur</v>
      </c>
      <c r="D50" t="str" cm="1">
        <f t="array" aca="1" ref="D50" ca="1">INDEX({"Informatique";"Accessoires";"Périphériques";"Stockage";"Audio"},RANDBETWEEN(1,5))</f>
        <v>Stockage</v>
      </c>
      <c r="E50" t="str" cm="1">
        <f t="array" aca="1" ref="E50" ca="1">INDEX({"Awa Ndiaye";"Mamadou Diop";"Fatou Fall";"Cheikh Ba";"Mariama Sow";"Ousmane Ndiaye";"Sokhna Diallo";"Abdoulaye Gueye"},RANDBETWEEN(1,8))</f>
        <v>Cheikh Ba</v>
      </c>
      <c r="F50">
        <f t="shared" ca="1" si="2"/>
        <v>5</v>
      </c>
      <c r="G50" s="12">
        <f t="shared" ca="1" si="3"/>
        <v>409043</v>
      </c>
      <c r="H50" s="12">
        <f ca="1">tblVentes[[#This Row],[Prix_Unitaire]]*tblVentes[[#This Row],[Quantité]]</f>
        <v>2045215</v>
      </c>
      <c r="I50" s="7">
        <f t="shared" ca="1" si="5"/>
        <v>0.12990282093220157</v>
      </c>
      <c r="J50" s="15">
        <f ca="1">tblVentes[[#This Row],[Chiffre_Affaires]]*(1-tblVentes[[#This Row],[Remise]])</f>
        <v>1779535.8020871475</v>
      </c>
    </row>
    <row r="51" spans="1:10" x14ac:dyDescent="0.45">
      <c r="A51" s="1">
        <f t="shared" ca="1" si="0"/>
        <v>46276</v>
      </c>
      <c r="B51" t="str">
        <f t="shared" si="1"/>
        <v>V0050</v>
      </c>
      <c r="C51" t="str" cm="1">
        <f t="array" aca="1" ref="C51" ca="1">INDEX({"Laptop";"Souris";"Clavier";"Écran";"Casque";"Tablette";"Imprimante";"Disque dur";"RAM";"Carte graphique"},RANDBETWEEN(1,10))</f>
        <v>RAM</v>
      </c>
      <c r="D51" t="str" cm="1">
        <f t="array" aca="1" ref="D51" ca="1">INDEX({"Informatique";"Accessoires";"Périphériques";"Stockage";"Audio"},RANDBETWEEN(1,5))</f>
        <v>Périphériques</v>
      </c>
      <c r="E51" t="str" cm="1">
        <f t="array" aca="1" ref="E51" ca="1">INDEX({"Awa Ndiaye";"Mamadou Diop";"Fatou Fall";"Cheikh Ba";"Mariama Sow";"Ousmane Ndiaye";"Sokhna Diallo";"Abdoulaye Gueye"},RANDBETWEEN(1,8))</f>
        <v>Abdoulaye Gueye</v>
      </c>
      <c r="F51">
        <f t="shared" ca="1" si="2"/>
        <v>2</v>
      </c>
      <c r="G51" s="12">
        <f t="shared" ca="1" si="3"/>
        <v>291010</v>
      </c>
      <c r="H51" s="12">
        <f ca="1">tblVentes[[#This Row],[Prix_Unitaire]]*tblVentes[[#This Row],[Quantité]]</f>
        <v>582020</v>
      </c>
      <c r="I51" s="7">
        <f t="shared" ca="1" si="5"/>
        <v>0.10370608747850614</v>
      </c>
      <c r="J51" s="15">
        <f ca="1">tblVentes[[#This Row],[Chiffre_Affaires]]*(1-tblVentes[[#This Row],[Remise]])</f>
        <v>521660.98296575982</v>
      </c>
    </row>
    <row r="52" spans="1:10" x14ac:dyDescent="0.45">
      <c r="A52" s="1">
        <f t="shared" ca="1" si="0"/>
        <v>46274</v>
      </c>
      <c r="B52" t="str">
        <f t="shared" si="1"/>
        <v>V0051</v>
      </c>
      <c r="C52" t="str" cm="1">
        <f t="array" aca="1" ref="C52" ca="1">INDEX({"Laptop";"Souris";"Clavier";"Écran";"Casque";"Tablette";"Imprimante";"Disque dur";"RAM";"Carte graphique"},RANDBETWEEN(1,10))</f>
        <v>Disque dur</v>
      </c>
      <c r="D52" t="str" cm="1">
        <f t="array" aca="1" ref="D52" ca="1">INDEX({"Informatique";"Accessoires";"Périphériques";"Stockage";"Audio"},RANDBETWEEN(1,5))</f>
        <v>Accessoires</v>
      </c>
      <c r="E52" t="str" cm="1">
        <f t="array" aca="1" ref="E52" ca="1">INDEX({"Awa Ndiaye";"Mamadou Diop";"Fatou Fall";"Cheikh Ba";"Mariama Sow";"Ousmane Ndiaye";"Sokhna Diallo";"Abdoulaye Gueye"},RANDBETWEEN(1,8))</f>
        <v>Mamadou Diop</v>
      </c>
      <c r="F52">
        <f t="shared" ca="1" si="2"/>
        <v>4</v>
      </c>
      <c r="G52" s="12">
        <f t="shared" ca="1" si="3"/>
        <v>313965</v>
      </c>
      <c r="H52" s="12">
        <f ca="1">tblVentes[[#This Row],[Prix_Unitaire]]*tblVentes[[#This Row],[Quantité]]</f>
        <v>1255860</v>
      </c>
      <c r="I52" s="7">
        <f t="shared" ca="1" si="5"/>
        <v>0.11690483467213647</v>
      </c>
      <c r="J52" s="15">
        <f ca="1">tblVentes[[#This Row],[Chiffre_Affaires]]*(1-tblVentes[[#This Row],[Remise]])</f>
        <v>1109043.8943286508</v>
      </c>
    </row>
    <row r="53" spans="1:10" x14ac:dyDescent="0.45">
      <c r="A53" s="1">
        <f t="shared" ca="1" si="0"/>
        <v>46286</v>
      </c>
      <c r="B53" t="str">
        <f t="shared" si="1"/>
        <v>V0052</v>
      </c>
      <c r="C53" t="str" cm="1">
        <f t="array" aca="1" ref="C53" ca="1">INDEX({"Laptop";"Souris";"Clavier";"Écran";"Casque";"Tablette";"Imprimante";"Disque dur";"RAM";"Carte graphique"},RANDBETWEEN(1,10))</f>
        <v>Carte graphique</v>
      </c>
      <c r="D53" t="str" cm="1">
        <f t="array" aca="1" ref="D53" ca="1">INDEX({"Informatique";"Accessoires";"Périphériques";"Stockage";"Audio"},RANDBETWEEN(1,5))</f>
        <v>Périphériques</v>
      </c>
      <c r="E53" t="str" cm="1">
        <f t="array" aca="1" ref="E53" ca="1">INDEX({"Awa Ndiaye";"Mamadou Diop";"Fatou Fall";"Cheikh Ba";"Mariama Sow";"Ousmane Ndiaye";"Sokhna Diallo";"Abdoulaye Gueye"},RANDBETWEEN(1,8))</f>
        <v>Fatou Fall</v>
      </c>
      <c r="F53">
        <f t="shared" ca="1" si="2"/>
        <v>6</v>
      </c>
      <c r="G53" s="12">
        <f t="shared" ca="1" si="3"/>
        <v>77559</v>
      </c>
      <c r="H53" s="12">
        <f ca="1">tblVentes[[#This Row],[Prix_Unitaire]]*tblVentes[[#This Row],[Quantité]]</f>
        <v>465354</v>
      </c>
      <c r="I53" s="7">
        <f t="shared" ca="1" si="5"/>
        <v>0.10075617205207772</v>
      </c>
      <c r="J53" s="15">
        <f ca="1">tblVentes[[#This Row],[Chiffre_Affaires]]*(1-tblVentes[[#This Row],[Remise]])</f>
        <v>418466.7123108774</v>
      </c>
    </row>
    <row r="54" spans="1:10" x14ac:dyDescent="0.45">
      <c r="A54" s="1">
        <f t="shared" ca="1" si="0"/>
        <v>46276</v>
      </c>
      <c r="B54" t="str">
        <f t="shared" si="1"/>
        <v>V0053</v>
      </c>
      <c r="C54" t="str" cm="1">
        <f t="array" aca="1" ref="C54" ca="1">INDEX({"Laptop";"Souris";"Clavier";"Écran";"Casque";"Tablette";"Imprimante";"Disque dur";"RAM";"Carte graphique"},RANDBETWEEN(1,10))</f>
        <v>Clavier</v>
      </c>
      <c r="D54" t="str" cm="1">
        <f t="array" aca="1" ref="D54" ca="1">INDEX({"Informatique";"Accessoires";"Périphériques";"Stockage";"Audio"},RANDBETWEEN(1,5))</f>
        <v>Stockage</v>
      </c>
      <c r="E54" t="str" cm="1">
        <f t="array" aca="1" ref="E54" ca="1">INDEX({"Awa Ndiaye";"Mamadou Diop";"Fatou Fall";"Cheikh Ba";"Mariama Sow";"Ousmane Ndiaye";"Sokhna Diallo";"Abdoulaye Gueye"},RANDBETWEEN(1,8))</f>
        <v>Fatou Fall</v>
      </c>
      <c r="F54">
        <f t="shared" ca="1" si="2"/>
        <v>1</v>
      </c>
      <c r="G54" s="12">
        <f t="shared" ca="1" si="3"/>
        <v>239346</v>
      </c>
      <c r="H54" s="12">
        <f ca="1">tblVentes[[#This Row],[Prix_Unitaire]]*tblVentes[[#This Row],[Quantité]]</f>
        <v>239346</v>
      </c>
      <c r="I54" s="7">
        <f t="shared" ca="1" si="5"/>
        <v>0.11184282627774203</v>
      </c>
      <c r="J54" s="15">
        <f ca="1">tblVentes[[#This Row],[Chiffre_Affaires]]*(1-tblVentes[[#This Row],[Remise]])</f>
        <v>212576.86690172757</v>
      </c>
    </row>
    <row r="55" spans="1:10" x14ac:dyDescent="0.45">
      <c r="A55" s="1">
        <f t="shared" ca="1" si="0"/>
        <v>46280</v>
      </c>
      <c r="B55" t="str">
        <f t="shared" si="1"/>
        <v>V0054</v>
      </c>
      <c r="C55" t="str" cm="1">
        <f t="array" aca="1" ref="C55" ca="1">INDEX({"Laptop";"Souris";"Clavier";"Écran";"Casque";"Tablette";"Imprimante";"Disque dur";"RAM";"Carte graphique"},RANDBETWEEN(1,10))</f>
        <v>Carte graphique</v>
      </c>
      <c r="D55" t="str" cm="1">
        <f t="array" aca="1" ref="D55" ca="1">INDEX({"Informatique";"Accessoires";"Périphériques";"Stockage";"Audio"},RANDBETWEEN(1,5))</f>
        <v>Informatique</v>
      </c>
      <c r="E55" t="str" cm="1">
        <f t="array" aca="1" ref="E55" ca="1">INDEX({"Awa Ndiaye";"Mamadou Diop";"Fatou Fall";"Cheikh Ba";"Mariama Sow";"Ousmane Ndiaye";"Sokhna Diallo";"Abdoulaye Gueye"},RANDBETWEEN(1,8))</f>
        <v>Cheikh Ba</v>
      </c>
      <c r="F55">
        <f t="shared" ca="1" si="2"/>
        <v>3</v>
      </c>
      <c r="G55" s="12">
        <f t="shared" ca="1" si="3"/>
        <v>291267</v>
      </c>
      <c r="H55" s="12">
        <f ca="1">tblVentes[[#This Row],[Prix_Unitaire]]*tblVentes[[#This Row],[Quantité]]</f>
        <v>873801</v>
      </c>
      <c r="I55" s="7">
        <f t="shared" ca="1" si="5"/>
        <v>3.3911042247445546E-2</v>
      </c>
      <c r="J55" s="15">
        <f ca="1">tblVentes[[#This Row],[Chiffre_Affaires]]*(1-tblVentes[[#This Row],[Remise]])</f>
        <v>844169.49737313983</v>
      </c>
    </row>
    <row r="56" spans="1:10" x14ac:dyDescent="0.45">
      <c r="A56" s="1">
        <f t="shared" ca="1" si="0"/>
        <v>46286</v>
      </c>
      <c r="B56" t="str">
        <f t="shared" si="1"/>
        <v>V0055</v>
      </c>
      <c r="C56" t="str" cm="1">
        <f t="array" aca="1" ref="C56" ca="1">INDEX({"Laptop";"Souris";"Clavier";"Écran";"Casque";"Tablette";"Imprimante";"Disque dur";"RAM";"Carte graphique"},RANDBETWEEN(1,10))</f>
        <v>Laptop</v>
      </c>
      <c r="D56" t="str" cm="1">
        <f t="array" aca="1" ref="D56" ca="1">INDEX({"Informatique";"Accessoires";"Périphériques";"Stockage";"Audio"},RANDBETWEEN(1,5))</f>
        <v>Périphériques</v>
      </c>
      <c r="E56" t="str" cm="1">
        <f t="array" aca="1" ref="E56" ca="1">INDEX({"Awa Ndiaye";"Mamadou Diop";"Fatou Fall";"Cheikh Ba";"Mariama Sow";"Ousmane Ndiaye";"Sokhna Diallo";"Abdoulaye Gueye"},RANDBETWEEN(1,8))</f>
        <v>Mariama Sow</v>
      </c>
      <c r="F56">
        <f t="shared" ca="1" si="2"/>
        <v>8</v>
      </c>
      <c r="G56" s="12">
        <f t="shared" ca="1" si="3"/>
        <v>239798</v>
      </c>
      <c r="H56" s="12">
        <f ca="1">tblVentes[[#This Row],[Prix_Unitaire]]*tblVentes[[#This Row],[Quantité]]</f>
        <v>1918384</v>
      </c>
      <c r="I56" s="7">
        <f t="shared" ca="1" si="5"/>
        <v>0.13783261361312515</v>
      </c>
      <c r="J56" s="15">
        <f ca="1">tblVentes[[#This Row],[Chiffre_Affaires]]*(1-tblVentes[[#This Row],[Remise]])</f>
        <v>1653968.1193663985</v>
      </c>
    </row>
    <row r="57" spans="1:10" x14ac:dyDescent="0.45">
      <c r="A57" s="1">
        <f t="shared" ca="1" si="0"/>
        <v>46283</v>
      </c>
      <c r="B57" t="str">
        <f t="shared" si="1"/>
        <v>V0056</v>
      </c>
      <c r="C57" t="str" cm="1">
        <f t="array" aca="1" ref="C57" ca="1">INDEX({"Laptop";"Souris";"Clavier";"Écran";"Casque";"Tablette";"Imprimante";"Disque dur";"RAM";"Carte graphique"},RANDBETWEEN(1,10))</f>
        <v>RAM</v>
      </c>
      <c r="D57" t="str" cm="1">
        <f t="array" aca="1" ref="D57" ca="1">INDEX({"Informatique";"Accessoires";"Périphériques";"Stockage";"Audio"},RANDBETWEEN(1,5))</f>
        <v>Audio</v>
      </c>
      <c r="E57" t="str" cm="1">
        <f t="array" aca="1" ref="E57" ca="1">INDEX({"Awa Ndiaye";"Mamadou Diop";"Fatou Fall";"Cheikh Ba";"Mariama Sow";"Ousmane Ndiaye";"Sokhna Diallo";"Abdoulaye Gueye"},RANDBETWEEN(1,8))</f>
        <v>Ousmane Ndiaye</v>
      </c>
      <c r="F57">
        <f t="shared" ca="1" si="2"/>
        <v>3</v>
      </c>
      <c r="G57" s="12">
        <f t="shared" ca="1" si="3"/>
        <v>343258</v>
      </c>
      <c r="H57" s="12">
        <f ca="1">tblVentes[[#This Row],[Prix_Unitaire]]*tblVentes[[#This Row],[Quantité]]</f>
        <v>1029774</v>
      </c>
      <c r="I57" s="7">
        <f t="shared" ca="1" si="5"/>
        <v>0.13748905351860244</v>
      </c>
      <c r="J57" s="15">
        <f ca="1">tblVentes[[#This Row],[Chiffre_Affaires]]*(1-tblVentes[[#This Row],[Remise]])</f>
        <v>888191.34740193468</v>
      </c>
    </row>
    <row r="58" spans="1:10" x14ac:dyDescent="0.45">
      <c r="A58" s="1">
        <f t="shared" ca="1" si="0"/>
        <v>46281</v>
      </c>
      <c r="B58" t="str">
        <f t="shared" si="1"/>
        <v>V0057</v>
      </c>
      <c r="C58" t="str" cm="1">
        <f t="array" aca="1" ref="C58" ca="1">INDEX({"Laptop";"Souris";"Clavier";"Écran";"Casque";"Tablette";"Imprimante";"Disque dur";"RAM";"Carte graphique"},RANDBETWEEN(1,10))</f>
        <v>RAM</v>
      </c>
      <c r="D58" t="str" cm="1">
        <f t="array" aca="1" ref="D58" ca="1">INDEX({"Informatique";"Accessoires";"Périphériques";"Stockage";"Audio"},RANDBETWEEN(1,5))</f>
        <v>Accessoires</v>
      </c>
      <c r="E58" t="str" cm="1">
        <f t="array" aca="1" ref="E58" ca="1">INDEX({"Awa Ndiaye";"Mamadou Diop";"Fatou Fall";"Cheikh Ba";"Mariama Sow";"Ousmane Ndiaye";"Sokhna Diallo";"Abdoulaye Gueye"},RANDBETWEEN(1,8))</f>
        <v>Cheikh Ba</v>
      </c>
      <c r="F58">
        <f t="shared" ca="1" si="2"/>
        <v>2</v>
      </c>
      <c r="G58" s="12">
        <f t="shared" ca="1" si="3"/>
        <v>361137</v>
      </c>
      <c r="H58" s="12">
        <f ca="1">tblVentes[[#This Row],[Prix_Unitaire]]*tblVentes[[#This Row],[Quantité]]</f>
        <v>722274</v>
      </c>
      <c r="I58" s="7">
        <f t="shared" ca="1" si="5"/>
        <v>4.7329230682456265E-2</v>
      </c>
      <c r="J58" s="15">
        <f ca="1">tblVentes[[#This Row],[Chiffre_Affaires]]*(1-tblVentes[[#This Row],[Remise]])</f>
        <v>688089.3272380596</v>
      </c>
    </row>
    <row r="59" spans="1:10" x14ac:dyDescent="0.45">
      <c r="A59" s="1">
        <f t="shared" ca="1" si="0"/>
        <v>46291</v>
      </c>
      <c r="B59" t="str">
        <f t="shared" si="1"/>
        <v>V0058</v>
      </c>
      <c r="C59" t="str" cm="1">
        <f t="array" aca="1" ref="C59" ca="1">INDEX({"Laptop";"Souris";"Clavier";"Écran";"Casque";"Tablette";"Imprimante";"Disque dur";"RAM";"Carte graphique"},RANDBETWEEN(1,10))</f>
        <v>RAM</v>
      </c>
      <c r="D59" t="str" cm="1">
        <f t="array" aca="1" ref="D59" ca="1">INDEX({"Informatique";"Accessoires";"Périphériques";"Stockage";"Audio"},RANDBETWEEN(1,5))</f>
        <v>Accessoires</v>
      </c>
      <c r="E59" t="str" cm="1">
        <f t="array" aca="1" ref="E59" ca="1">INDEX({"Awa Ndiaye";"Mamadou Diop";"Fatou Fall";"Cheikh Ba";"Mariama Sow";"Ousmane Ndiaye";"Sokhna Diallo";"Abdoulaye Gueye"},RANDBETWEEN(1,8))</f>
        <v>Awa Ndiaye</v>
      </c>
      <c r="F59">
        <f t="shared" ca="1" si="2"/>
        <v>1</v>
      </c>
      <c r="G59" s="12">
        <f t="shared" ca="1" si="3"/>
        <v>382108</v>
      </c>
      <c r="H59" s="12">
        <f ca="1">tblVentes[[#This Row],[Prix_Unitaire]]*tblVentes[[#This Row],[Quantité]]</f>
        <v>382108</v>
      </c>
      <c r="I59" s="7">
        <f t="shared" ca="1" si="5"/>
        <v>9.4571365001801286E-2</v>
      </c>
      <c r="J59" s="15">
        <f ca="1">tblVentes[[#This Row],[Chiffre_Affaires]]*(1-tblVentes[[#This Row],[Remise]])</f>
        <v>345971.5248618917</v>
      </c>
    </row>
    <row r="60" spans="1:10" x14ac:dyDescent="0.45">
      <c r="A60" s="1">
        <f t="shared" ca="1" si="0"/>
        <v>46292</v>
      </c>
      <c r="B60" t="str">
        <f t="shared" si="1"/>
        <v>V0059</v>
      </c>
      <c r="C60" t="str" cm="1">
        <f t="array" aca="1" ref="C60" ca="1">INDEX({"Laptop";"Souris";"Clavier";"Écran";"Casque";"Tablette";"Imprimante";"Disque dur";"RAM";"Carte graphique"},RANDBETWEEN(1,10))</f>
        <v>Disque dur</v>
      </c>
      <c r="D60" t="str" cm="1">
        <f t="array" aca="1" ref="D60" ca="1">INDEX({"Informatique";"Accessoires";"Périphériques";"Stockage";"Audio"},RANDBETWEEN(1,5))</f>
        <v>Accessoires</v>
      </c>
      <c r="E60" t="str" cm="1">
        <f t="array" aca="1" ref="E60" ca="1">INDEX({"Awa Ndiaye";"Mamadou Diop";"Fatou Fall";"Cheikh Ba";"Mariama Sow";"Ousmane Ndiaye";"Sokhna Diallo";"Abdoulaye Gueye"},RANDBETWEEN(1,8))</f>
        <v>Mariama Sow</v>
      </c>
      <c r="F60">
        <f t="shared" ca="1" si="2"/>
        <v>7</v>
      </c>
      <c r="G60" s="12">
        <f t="shared" ca="1" si="3"/>
        <v>378299</v>
      </c>
      <c r="H60" s="12">
        <f ca="1">tblVentes[[#This Row],[Prix_Unitaire]]*tblVentes[[#This Row],[Quantité]]</f>
        <v>2648093</v>
      </c>
      <c r="I60" s="7">
        <f t="shared" ca="1" si="5"/>
        <v>7.9197754052699174E-2</v>
      </c>
      <c r="J60" s="15">
        <f ca="1">tblVentes[[#This Row],[Chiffre_Affaires]]*(1-tblVentes[[#This Row],[Remise]])</f>
        <v>2438369.9818773256</v>
      </c>
    </row>
    <row r="61" spans="1:10" x14ac:dyDescent="0.45">
      <c r="A61" s="1">
        <f t="shared" ca="1" si="0"/>
        <v>46294</v>
      </c>
      <c r="B61" t="str">
        <f t="shared" si="1"/>
        <v>V0060</v>
      </c>
      <c r="C61" t="str" cm="1">
        <f t="array" aca="1" ref="C61" ca="1">INDEX({"Laptop";"Souris";"Clavier";"Écran";"Casque";"Tablette";"Imprimante";"Disque dur";"RAM";"Carte graphique"},RANDBETWEEN(1,10))</f>
        <v>Laptop</v>
      </c>
      <c r="D61" t="str" cm="1">
        <f t="array" aca="1" ref="D61" ca="1">INDEX({"Informatique";"Accessoires";"Périphériques";"Stockage";"Audio"},RANDBETWEEN(1,5))</f>
        <v>Périphériques</v>
      </c>
      <c r="E61" t="str" cm="1">
        <f t="array" aca="1" ref="E61" ca="1">INDEX({"Awa Ndiaye";"Mamadou Diop";"Fatou Fall";"Cheikh Ba";"Mariama Sow";"Ousmane Ndiaye";"Sokhna Diallo";"Abdoulaye Gueye"},RANDBETWEEN(1,8))</f>
        <v>Mamadou Diop</v>
      </c>
      <c r="F61">
        <f t="shared" ca="1" si="2"/>
        <v>7</v>
      </c>
      <c r="G61" s="12">
        <f t="shared" ca="1" si="3"/>
        <v>415890</v>
      </c>
      <c r="H61" s="12">
        <f ca="1">tblVentes[[#This Row],[Prix_Unitaire]]*tblVentes[[#This Row],[Quantité]]</f>
        <v>2911230</v>
      </c>
      <c r="I61" s="7">
        <f t="shared" ca="1" si="5"/>
        <v>3.3980202764812444E-2</v>
      </c>
      <c r="J61" s="15">
        <f ca="1">tblVentes[[#This Row],[Chiffre_Affaires]]*(1-tblVentes[[#This Row],[Remise]])</f>
        <v>2812305.8143049954</v>
      </c>
    </row>
    <row r="62" spans="1:10" x14ac:dyDescent="0.45">
      <c r="A62" s="1">
        <f t="shared" ca="1" si="0"/>
        <v>46275</v>
      </c>
      <c r="B62" t="str">
        <f t="shared" si="1"/>
        <v>V0061</v>
      </c>
      <c r="C62" t="str" cm="1">
        <f t="array" aca="1" ref="C62" ca="1">INDEX({"Laptop";"Souris";"Clavier";"Écran";"Casque";"Tablette";"Imprimante";"Disque dur";"RAM";"Carte graphique"},RANDBETWEEN(1,10))</f>
        <v>RAM</v>
      </c>
      <c r="D62" t="str" cm="1">
        <f t="array" aca="1" ref="D62" ca="1">INDEX({"Informatique";"Accessoires";"Périphériques";"Stockage";"Audio"},RANDBETWEEN(1,5))</f>
        <v>Audio</v>
      </c>
      <c r="E62" t="str" cm="1">
        <f t="array" aca="1" ref="E62" ca="1">INDEX({"Awa Ndiaye";"Mamadou Diop";"Fatou Fall";"Cheikh Ba";"Mariama Sow";"Ousmane Ndiaye";"Sokhna Diallo";"Abdoulaye Gueye"},RANDBETWEEN(1,8))</f>
        <v>Mamadou Diop</v>
      </c>
      <c r="F62">
        <f t="shared" ca="1" si="2"/>
        <v>3</v>
      </c>
      <c r="G62" s="12">
        <f t="shared" ca="1" si="3"/>
        <v>24797</v>
      </c>
      <c r="H62" s="12">
        <f ca="1">tblVentes[[#This Row],[Prix_Unitaire]]*tblVentes[[#This Row],[Quantité]]</f>
        <v>74391</v>
      </c>
      <c r="I62" s="7">
        <f t="shared" ca="1" si="5"/>
        <v>4.3782260997321888E-2</v>
      </c>
      <c r="J62" s="15">
        <f ca="1">tblVentes[[#This Row],[Chiffre_Affaires]]*(1-tblVentes[[#This Row],[Remise]])</f>
        <v>71133.99382214823</v>
      </c>
    </row>
    <row r="63" spans="1:10" x14ac:dyDescent="0.45">
      <c r="A63" s="1">
        <f t="shared" ca="1" si="0"/>
        <v>46276</v>
      </c>
      <c r="B63" t="str">
        <f t="shared" si="1"/>
        <v>V0062</v>
      </c>
      <c r="C63" t="str" cm="1">
        <f t="array" aca="1" ref="C63" ca="1">INDEX({"Laptop";"Souris";"Clavier";"Écran";"Casque";"Tablette";"Imprimante";"Disque dur";"RAM";"Carte graphique"},RANDBETWEEN(1,10))</f>
        <v>Laptop</v>
      </c>
      <c r="D63" t="str" cm="1">
        <f t="array" aca="1" ref="D63" ca="1">INDEX({"Informatique";"Accessoires";"Périphériques";"Stockage";"Audio"},RANDBETWEEN(1,5))</f>
        <v>Stockage</v>
      </c>
      <c r="E63" t="str" cm="1">
        <f t="array" aca="1" ref="E63" ca="1">INDEX({"Awa Ndiaye";"Mamadou Diop";"Fatou Fall";"Cheikh Ba";"Mariama Sow";"Ousmane Ndiaye";"Sokhna Diallo";"Abdoulaye Gueye"},RANDBETWEEN(1,8))</f>
        <v>Abdoulaye Gueye</v>
      </c>
      <c r="F63">
        <f t="shared" ca="1" si="2"/>
        <v>4</v>
      </c>
      <c r="G63" s="12">
        <f t="shared" ca="1" si="3"/>
        <v>365399</v>
      </c>
      <c r="H63" s="12">
        <f ca="1">tblVentes[[#This Row],[Prix_Unitaire]]*tblVentes[[#This Row],[Quantité]]</f>
        <v>1461596</v>
      </c>
      <c r="I63" s="7">
        <f t="shared" ca="1" si="5"/>
        <v>1.169570797074787E-3</v>
      </c>
      <c r="J63" s="15">
        <f ca="1">tblVentes[[#This Row],[Chiffre_Affaires]]*(1-tblVentes[[#This Row],[Remise]])</f>
        <v>1459886.5600012788</v>
      </c>
    </row>
    <row r="64" spans="1:10" x14ac:dyDescent="0.45">
      <c r="A64" s="1">
        <f t="shared" ca="1" si="0"/>
        <v>46272</v>
      </c>
      <c r="B64" t="str">
        <f t="shared" si="1"/>
        <v>V0063</v>
      </c>
      <c r="C64" t="str" cm="1">
        <f t="array" aca="1" ref="C64" ca="1">INDEX({"Laptop";"Souris";"Clavier";"Écran";"Casque";"Tablette";"Imprimante";"Disque dur";"RAM";"Carte graphique"},RANDBETWEEN(1,10))</f>
        <v>Imprimante</v>
      </c>
      <c r="D64" t="str" cm="1">
        <f t="array" aca="1" ref="D64" ca="1">INDEX({"Informatique";"Accessoires";"Périphériques";"Stockage";"Audio"},RANDBETWEEN(1,5))</f>
        <v>Stockage</v>
      </c>
      <c r="E64" t="str" cm="1">
        <f t="array" aca="1" ref="E64" ca="1">INDEX({"Awa Ndiaye";"Mamadou Diop";"Fatou Fall";"Cheikh Ba";"Mariama Sow";"Ousmane Ndiaye";"Sokhna Diallo";"Abdoulaye Gueye"},RANDBETWEEN(1,8))</f>
        <v>Sokhna Diallo</v>
      </c>
      <c r="F64">
        <f t="shared" ca="1" si="2"/>
        <v>3</v>
      </c>
      <c r="G64" s="12">
        <f t="shared" ca="1" si="3"/>
        <v>459845</v>
      </c>
      <c r="H64" s="12">
        <f ca="1">tblVentes[[#This Row],[Prix_Unitaire]]*tblVentes[[#This Row],[Quantité]]</f>
        <v>1379535</v>
      </c>
      <c r="I64" s="7">
        <f t="shared" ca="1" si="5"/>
        <v>9.2350636681092502E-2</v>
      </c>
      <c r="J64" s="15">
        <f ca="1">tblVentes[[#This Row],[Chiffre_Affaires]]*(1-tblVentes[[#This Row],[Remise]])</f>
        <v>1252134.0644261492</v>
      </c>
    </row>
    <row r="65" spans="1:10" x14ac:dyDescent="0.45">
      <c r="A65" s="1">
        <f t="shared" ca="1" si="0"/>
        <v>46291</v>
      </c>
      <c r="B65" t="str">
        <f t="shared" si="1"/>
        <v>V0064</v>
      </c>
      <c r="C65" t="str" cm="1">
        <f t="array" aca="1" ref="C65" ca="1">INDEX({"Laptop";"Souris";"Clavier";"Écran";"Casque";"Tablette";"Imprimante";"Disque dur";"RAM";"Carte graphique"},RANDBETWEEN(1,10))</f>
        <v>Imprimante</v>
      </c>
      <c r="D65" t="str" cm="1">
        <f t="array" aca="1" ref="D65" ca="1">INDEX({"Informatique";"Accessoires";"Périphériques";"Stockage";"Audio"},RANDBETWEEN(1,5))</f>
        <v>Périphériques</v>
      </c>
      <c r="E65" t="str" cm="1">
        <f t="array" aca="1" ref="E65" ca="1">INDEX({"Awa Ndiaye";"Mamadou Diop";"Fatou Fall";"Cheikh Ba";"Mariama Sow";"Ousmane Ndiaye";"Sokhna Diallo";"Abdoulaye Gueye"},RANDBETWEEN(1,8))</f>
        <v>Mariama Sow</v>
      </c>
      <c r="F65">
        <f t="shared" ca="1" si="2"/>
        <v>6</v>
      </c>
      <c r="G65" s="12">
        <f t="shared" ca="1" si="3"/>
        <v>349291</v>
      </c>
      <c r="H65" s="12">
        <f ca="1">tblVentes[[#This Row],[Prix_Unitaire]]*tblVentes[[#This Row],[Quantité]]</f>
        <v>2095746</v>
      </c>
      <c r="I65" s="7">
        <f t="shared" ca="1" si="5"/>
        <v>1.8242576055747122E-2</v>
      </c>
      <c r="J65" s="15">
        <f ca="1">tblVentes[[#This Row],[Chiffre_Affaires]]*(1-tblVentes[[#This Row],[Remise]])</f>
        <v>2057514.1942014722</v>
      </c>
    </row>
    <row r="66" spans="1:10" x14ac:dyDescent="0.45">
      <c r="A66" s="1">
        <f t="shared" ca="1" si="0"/>
        <v>46280</v>
      </c>
      <c r="B66" t="str">
        <f t="shared" si="1"/>
        <v>V0065</v>
      </c>
      <c r="C66" t="str" cm="1">
        <f t="array" aca="1" ref="C66" ca="1">INDEX({"Laptop";"Souris";"Clavier";"Écran";"Casque";"Tablette";"Imprimante";"Disque dur";"RAM";"Carte graphique"},RANDBETWEEN(1,10))</f>
        <v>Tablette</v>
      </c>
      <c r="D66" t="str" cm="1">
        <f t="array" aca="1" ref="D66" ca="1">INDEX({"Informatique";"Accessoires";"Périphériques";"Stockage";"Audio"},RANDBETWEEN(1,5))</f>
        <v>Audio</v>
      </c>
      <c r="E66" t="str" cm="1">
        <f t="array" aca="1" ref="E66" ca="1">INDEX({"Awa Ndiaye";"Mamadou Diop";"Fatou Fall";"Cheikh Ba";"Mariama Sow";"Ousmane Ndiaye";"Sokhna Diallo";"Abdoulaye Gueye"},RANDBETWEEN(1,8))</f>
        <v>Sokhna Diallo</v>
      </c>
      <c r="F66">
        <f t="shared" ca="1" si="2"/>
        <v>2</v>
      </c>
      <c r="G66" s="12">
        <f t="shared" ca="1" si="3"/>
        <v>295535</v>
      </c>
      <c r="H66" s="12">
        <f ca="1">tblVentes[[#This Row],[Prix_Unitaire]]*tblVentes[[#This Row],[Quantité]]</f>
        <v>591070</v>
      </c>
      <c r="I66" s="7">
        <f t="shared" ref="I66:I100" ca="1" si="6">RAND()*0.15</f>
        <v>4.2686355947417244E-2</v>
      </c>
      <c r="J66" s="15">
        <f ca="1">tblVentes[[#This Row],[Chiffre_Affaires]]*(1-tblVentes[[#This Row],[Remise]])</f>
        <v>565839.37559016014</v>
      </c>
    </row>
    <row r="67" spans="1:10" x14ac:dyDescent="0.45">
      <c r="A67" s="1">
        <f t="shared" ref="A67:A100" ca="1" si="7">DATE(2026,9,RANDBETWEEN(1,30))</f>
        <v>46289</v>
      </c>
      <c r="B67" t="str">
        <f t="shared" ref="B67:B100" si="8">"V"&amp;TEXT(ROW()-1,"0000")</f>
        <v>V0066</v>
      </c>
      <c r="C67" t="str" cm="1">
        <f t="array" aca="1" ref="C67" ca="1">INDEX({"Laptop";"Souris";"Clavier";"Écran";"Casque";"Tablette";"Imprimante";"Disque dur";"RAM";"Carte graphique"},RANDBETWEEN(1,10))</f>
        <v>Clavier</v>
      </c>
      <c r="D67" t="str" cm="1">
        <f t="array" aca="1" ref="D67" ca="1">INDEX({"Informatique";"Accessoires";"Périphériques";"Stockage";"Audio"},RANDBETWEEN(1,5))</f>
        <v>Informatique</v>
      </c>
      <c r="E67" t="str" cm="1">
        <f t="array" aca="1" ref="E67" ca="1">INDEX({"Awa Ndiaye";"Mamadou Diop";"Fatou Fall";"Cheikh Ba";"Mariama Sow";"Ousmane Ndiaye";"Sokhna Diallo";"Abdoulaye Gueye"},RANDBETWEEN(1,8))</f>
        <v>Cheikh Ba</v>
      </c>
      <c r="F67">
        <f t="shared" ref="F67:F100" ca="1" si="9">RANDBETWEEN(1,10)</f>
        <v>2</v>
      </c>
      <c r="G67" s="12">
        <f t="shared" ref="G67:G100" ca="1" si="10">RANDBETWEEN(5000,500000)</f>
        <v>395517</v>
      </c>
      <c r="H67" s="12">
        <f ca="1">tblVentes[[#This Row],[Prix_Unitaire]]*tblVentes[[#This Row],[Quantité]]</f>
        <v>791034</v>
      </c>
      <c r="I67" s="7">
        <f t="shared" ca="1" si="6"/>
        <v>0.11747044214138207</v>
      </c>
      <c r="J67" s="15">
        <f ca="1">tblVentes[[#This Row],[Chiffre_Affaires]]*(1-tblVentes[[#This Row],[Remise]])</f>
        <v>698110.88627113402</v>
      </c>
    </row>
    <row r="68" spans="1:10" x14ac:dyDescent="0.45">
      <c r="A68" s="1">
        <f t="shared" ca="1" si="7"/>
        <v>46271</v>
      </c>
      <c r="B68" t="str">
        <f t="shared" si="8"/>
        <v>V0067</v>
      </c>
      <c r="C68" t="str" cm="1">
        <f t="array" aca="1" ref="C68" ca="1">INDEX({"Laptop";"Souris";"Clavier";"Écran";"Casque";"Tablette";"Imprimante";"Disque dur";"RAM";"Carte graphique"},RANDBETWEEN(1,10))</f>
        <v>Écran</v>
      </c>
      <c r="D68" t="str" cm="1">
        <f t="array" aca="1" ref="D68" ca="1">INDEX({"Informatique";"Accessoires";"Périphériques";"Stockage";"Audio"},RANDBETWEEN(1,5))</f>
        <v>Informatique</v>
      </c>
      <c r="E68" t="str" cm="1">
        <f t="array" aca="1" ref="E68" ca="1">INDEX({"Awa Ndiaye";"Mamadou Diop";"Fatou Fall";"Cheikh Ba";"Mariama Sow";"Ousmane Ndiaye";"Sokhna Diallo";"Abdoulaye Gueye"},RANDBETWEEN(1,8))</f>
        <v>Awa Ndiaye</v>
      </c>
      <c r="F68">
        <f t="shared" ca="1" si="9"/>
        <v>8</v>
      </c>
      <c r="G68" s="12">
        <f t="shared" ca="1" si="10"/>
        <v>427127</v>
      </c>
      <c r="H68" s="12">
        <f ca="1">tblVentes[[#This Row],[Prix_Unitaire]]*tblVentes[[#This Row],[Quantité]]</f>
        <v>3417016</v>
      </c>
      <c r="I68" s="7">
        <f t="shared" ca="1" si="6"/>
        <v>2.7537086801038318E-2</v>
      </c>
      <c r="J68" s="15">
        <f ca="1">tblVentes[[#This Row],[Chiffre_Affaires]]*(1-tblVentes[[#This Row],[Remise]])</f>
        <v>3322921.3338074633</v>
      </c>
    </row>
    <row r="69" spans="1:10" x14ac:dyDescent="0.45">
      <c r="A69" s="1">
        <f t="shared" ca="1" si="7"/>
        <v>46272</v>
      </c>
      <c r="B69" t="str">
        <f t="shared" si="8"/>
        <v>V0068</v>
      </c>
      <c r="C69" t="str" cm="1">
        <f t="array" aca="1" ref="C69" ca="1">INDEX({"Laptop";"Souris";"Clavier";"Écran";"Casque";"Tablette";"Imprimante";"Disque dur";"RAM";"Carte graphique"},RANDBETWEEN(1,10))</f>
        <v>Tablette</v>
      </c>
      <c r="D69" t="str" cm="1">
        <f t="array" aca="1" ref="D69" ca="1">INDEX({"Informatique";"Accessoires";"Périphériques";"Stockage";"Audio"},RANDBETWEEN(1,5))</f>
        <v>Stockage</v>
      </c>
      <c r="E69" t="str" cm="1">
        <f t="array" aca="1" ref="E69" ca="1">INDEX({"Awa Ndiaye";"Mamadou Diop";"Fatou Fall";"Cheikh Ba";"Mariama Sow";"Ousmane Ndiaye";"Sokhna Diallo";"Abdoulaye Gueye"},RANDBETWEEN(1,8))</f>
        <v>Awa Ndiaye</v>
      </c>
      <c r="F69">
        <f t="shared" ca="1" si="9"/>
        <v>7</v>
      </c>
      <c r="G69" s="12">
        <f t="shared" ca="1" si="10"/>
        <v>252848</v>
      </c>
      <c r="H69" s="12">
        <f ca="1">tblVentes[[#This Row],[Prix_Unitaire]]*tblVentes[[#This Row],[Quantité]]</f>
        <v>1769936</v>
      </c>
      <c r="I69" s="7">
        <f t="shared" ca="1" si="6"/>
        <v>5.4255192371842072E-2</v>
      </c>
      <c r="J69" s="15">
        <f ca="1">tblVentes[[#This Row],[Chiffre_Affaires]]*(1-tblVentes[[#This Row],[Remise]])</f>
        <v>1673907.7818341514</v>
      </c>
    </row>
    <row r="70" spans="1:10" x14ac:dyDescent="0.45">
      <c r="A70" s="1">
        <f t="shared" ca="1" si="7"/>
        <v>46266</v>
      </c>
      <c r="B70" t="str">
        <f t="shared" si="8"/>
        <v>V0069</v>
      </c>
      <c r="C70" t="str" cm="1">
        <f t="array" aca="1" ref="C70" ca="1">INDEX({"Laptop";"Souris";"Clavier";"Écran";"Casque";"Tablette";"Imprimante";"Disque dur";"RAM";"Carte graphique"},RANDBETWEEN(1,10))</f>
        <v>Imprimante</v>
      </c>
      <c r="D70" t="str" cm="1">
        <f t="array" aca="1" ref="D70" ca="1">INDEX({"Informatique";"Accessoires";"Périphériques";"Stockage";"Audio"},RANDBETWEEN(1,5))</f>
        <v>Stockage</v>
      </c>
      <c r="E70" t="str" cm="1">
        <f t="array" aca="1" ref="E70" ca="1">INDEX({"Awa Ndiaye";"Mamadou Diop";"Fatou Fall";"Cheikh Ba";"Mariama Sow";"Ousmane Ndiaye";"Sokhna Diallo";"Abdoulaye Gueye"},RANDBETWEEN(1,8))</f>
        <v>Awa Ndiaye</v>
      </c>
      <c r="F70">
        <f t="shared" ca="1" si="9"/>
        <v>3</v>
      </c>
      <c r="G70" s="12">
        <f t="shared" ca="1" si="10"/>
        <v>20043</v>
      </c>
      <c r="H70" s="12">
        <f ca="1">tblVentes[[#This Row],[Prix_Unitaire]]*tblVentes[[#This Row],[Quantité]]</f>
        <v>60129</v>
      </c>
      <c r="I70" s="7">
        <f t="shared" ca="1" si="6"/>
        <v>7.8743651695076744E-2</v>
      </c>
      <c r="J70" s="15">
        <f ca="1">tblVentes[[#This Row],[Chiffre_Affaires]]*(1-tblVentes[[#This Row],[Remise]])</f>
        <v>55394.222967226728</v>
      </c>
    </row>
    <row r="71" spans="1:10" x14ac:dyDescent="0.45">
      <c r="A71" s="1">
        <f t="shared" ca="1" si="7"/>
        <v>46278</v>
      </c>
      <c r="B71" t="str">
        <f t="shared" si="8"/>
        <v>V0070</v>
      </c>
      <c r="C71" t="str" cm="1">
        <f t="array" aca="1" ref="C71" ca="1">INDEX({"Laptop";"Souris";"Clavier";"Écran";"Casque";"Tablette";"Imprimante";"Disque dur";"RAM";"Carte graphique"},RANDBETWEEN(1,10))</f>
        <v>Tablette</v>
      </c>
      <c r="D71" t="str" cm="1">
        <f t="array" aca="1" ref="D71" ca="1">INDEX({"Informatique";"Accessoires";"Périphériques";"Stockage";"Audio"},RANDBETWEEN(1,5))</f>
        <v>Informatique</v>
      </c>
      <c r="E71" t="str" cm="1">
        <f t="array" aca="1" ref="E71" ca="1">INDEX({"Awa Ndiaye";"Mamadou Diop";"Fatou Fall";"Cheikh Ba";"Mariama Sow";"Ousmane Ndiaye";"Sokhna Diallo";"Abdoulaye Gueye"},RANDBETWEEN(1,8))</f>
        <v>Mamadou Diop</v>
      </c>
      <c r="F71">
        <f t="shared" ca="1" si="9"/>
        <v>2</v>
      </c>
      <c r="G71" s="12">
        <f t="shared" ca="1" si="10"/>
        <v>479104</v>
      </c>
      <c r="H71" s="12">
        <f ca="1">tblVentes[[#This Row],[Prix_Unitaire]]*tblVentes[[#This Row],[Quantité]]</f>
        <v>958208</v>
      </c>
      <c r="I71" s="7">
        <f t="shared" ca="1" si="6"/>
        <v>0.11236556745073223</v>
      </c>
      <c r="J71" s="15">
        <f ca="1">tblVentes[[#This Row],[Chiffre_Affaires]]*(1-tblVentes[[#This Row],[Remise]])</f>
        <v>850538.41434416873</v>
      </c>
    </row>
    <row r="72" spans="1:10" x14ac:dyDescent="0.45">
      <c r="A72" s="1">
        <f t="shared" ca="1" si="7"/>
        <v>46269</v>
      </c>
      <c r="B72" t="str">
        <f t="shared" si="8"/>
        <v>V0071</v>
      </c>
      <c r="C72" t="str" cm="1">
        <f t="array" aca="1" ref="C72" ca="1">INDEX({"Laptop";"Souris";"Clavier";"Écran";"Casque";"Tablette";"Imprimante";"Disque dur";"RAM";"Carte graphique"},RANDBETWEEN(1,10))</f>
        <v>Clavier</v>
      </c>
      <c r="D72" t="str" cm="1">
        <f t="array" aca="1" ref="D72" ca="1">INDEX({"Informatique";"Accessoires";"Périphériques";"Stockage";"Audio"},RANDBETWEEN(1,5))</f>
        <v>Périphériques</v>
      </c>
      <c r="E72" t="str" cm="1">
        <f t="array" aca="1" ref="E72" ca="1">INDEX({"Awa Ndiaye";"Mamadou Diop";"Fatou Fall";"Cheikh Ba";"Mariama Sow";"Ousmane Ndiaye";"Sokhna Diallo";"Abdoulaye Gueye"},RANDBETWEEN(1,8))</f>
        <v>Fatou Fall</v>
      </c>
      <c r="F72">
        <f t="shared" ca="1" si="9"/>
        <v>6</v>
      </c>
      <c r="G72" s="12">
        <f t="shared" ca="1" si="10"/>
        <v>250234</v>
      </c>
      <c r="H72" s="12">
        <f ca="1">tblVentes[[#This Row],[Prix_Unitaire]]*tblVentes[[#This Row],[Quantité]]</f>
        <v>1501404</v>
      </c>
      <c r="I72" s="7">
        <f t="shared" ca="1" si="6"/>
        <v>0.1124497538882117</v>
      </c>
      <c r="J72" s="15">
        <f ca="1">tblVentes[[#This Row],[Chiffre_Affaires]]*(1-tblVentes[[#This Row],[Remise]])</f>
        <v>1332571.4897132234</v>
      </c>
    </row>
    <row r="73" spans="1:10" x14ac:dyDescent="0.45">
      <c r="A73" s="1">
        <f t="shared" ca="1" si="7"/>
        <v>46286</v>
      </c>
      <c r="B73" t="str">
        <f t="shared" si="8"/>
        <v>V0072</v>
      </c>
      <c r="C73" t="str" cm="1">
        <f t="array" aca="1" ref="C73" ca="1">INDEX({"Laptop";"Souris";"Clavier";"Écran";"Casque";"Tablette";"Imprimante";"Disque dur";"RAM";"Carte graphique"},RANDBETWEEN(1,10))</f>
        <v>Laptop</v>
      </c>
      <c r="D73" t="str" cm="1">
        <f t="array" aca="1" ref="D73" ca="1">INDEX({"Informatique";"Accessoires";"Périphériques";"Stockage";"Audio"},RANDBETWEEN(1,5))</f>
        <v>Stockage</v>
      </c>
      <c r="E73" t="str" cm="1">
        <f t="array" aca="1" ref="E73" ca="1">INDEX({"Awa Ndiaye";"Mamadou Diop";"Fatou Fall";"Cheikh Ba";"Mariama Sow";"Ousmane Ndiaye";"Sokhna Diallo";"Abdoulaye Gueye"},RANDBETWEEN(1,8))</f>
        <v>Mariama Sow</v>
      </c>
      <c r="F73">
        <f t="shared" ca="1" si="9"/>
        <v>5</v>
      </c>
      <c r="G73" s="12">
        <f t="shared" ca="1" si="10"/>
        <v>200079</v>
      </c>
      <c r="H73" s="12">
        <f ca="1">tblVentes[[#This Row],[Prix_Unitaire]]*tblVentes[[#This Row],[Quantité]]</f>
        <v>1000395</v>
      </c>
      <c r="I73" s="7">
        <f t="shared" ca="1" si="6"/>
        <v>5.255723374230916E-2</v>
      </c>
      <c r="J73" s="15">
        <f ca="1">tblVentes[[#This Row],[Chiffre_Affaires]]*(1-tblVentes[[#This Row],[Remise]])</f>
        <v>947817.00615036266</v>
      </c>
    </row>
    <row r="74" spans="1:10" x14ac:dyDescent="0.45">
      <c r="A74" s="1">
        <f t="shared" ca="1" si="7"/>
        <v>46269</v>
      </c>
      <c r="B74" t="str">
        <f t="shared" si="8"/>
        <v>V0073</v>
      </c>
      <c r="C74" t="str" cm="1">
        <f t="array" aca="1" ref="C74" ca="1">INDEX({"Laptop";"Souris";"Clavier";"Écran";"Casque";"Tablette";"Imprimante";"Disque dur";"RAM";"Carte graphique"},RANDBETWEEN(1,10))</f>
        <v>Casque</v>
      </c>
      <c r="D74" t="str" cm="1">
        <f t="array" aca="1" ref="D74" ca="1">INDEX({"Informatique";"Accessoires";"Périphériques";"Stockage";"Audio"},RANDBETWEEN(1,5))</f>
        <v>Stockage</v>
      </c>
      <c r="E74" t="str" cm="1">
        <f t="array" aca="1" ref="E74" ca="1">INDEX({"Awa Ndiaye";"Mamadou Diop";"Fatou Fall";"Cheikh Ba";"Mariama Sow";"Ousmane Ndiaye";"Sokhna Diallo";"Abdoulaye Gueye"},RANDBETWEEN(1,8))</f>
        <v>Mamadou Diop</v>
      </c>
      <c r="F74">
        <f t="shared" ca="1" si="9"/>
        <v>1</v>
      </c>
      <c r="G74" s="12">
        <f t="shared" ca="1" si="10"/>
        <v>165427</v>
      </c>
      <c r="H74" s="12">
        <f ca="1">tblVentes[[#This Row],[Prix_Unitaire]]*tblVentes[[#This Row],[Quantité]]</f>
        <v>165427</v>
      </c>
      <c r="I74" s="7">
        <f t="shared" ca="1" si="6"/>
        <v>2.2904331947625037E-2</v>
      </c>
      <c r="J74" s="15">
        <f ca="1">tblVentes[[#This Row],[Chiffre_Affaires]]*(1-tblVentes[[#This Row],[Remise]])</f>
        <v>161638.00507890023</v>
      </c>
    </row>
    <row r="75" spans="1:10" x14ac:dyDescent="0.45">
      <c r="A75" s="1">
        <f t="shared" ca="1" si="7"/>
        <v>46292</v>
      </c>
      <c r="B75" t="str">
        <f t="shared" si="8"/>
        <v>V0074</v>
      </c>
      <c r="C75" t="str" cm="1">
        <f t="array" aca="1" ref="C75" ca="1">INDEX({"Laptop";"Souris";"Clavier";"Écran";"Casque";"Tablette";"Imprimante";"Disque dur";"RAM";"Carte graphique"},RANDBETWEEN(1,10))</f>
        <v>Souris</v>
      </c>
      <c r="D75" t="str" cm="1">
        <f t="array" aca="1" ref="D75" ca="1">INDEX({"Informatique";"Accessoires";"Périphériques";"Stockage";"Audio"},RANDBETWEEN(1,5))</f>
        <v>Informatique</v>
      </c>
      <c r="E75" t="str" cm="1">
        <f t="array" aca="1" ref="E75" ca="1">INDEX({"Awa Ndiaye";"Mamadou Diop";"Fatou Fall";"Cheikh Ba";"Mariama Sow";"Ousmane Ndiaye";"Sokhna Diallo";"Abdoulaye Gueye"},RANDBETWEEN(1,8))</f>
        <v>Fatou Fall</v>
      </c>
      <c r="F75">
        <f t="shared" ca="1" si="9"/>
        <v>10</v>
      </c>
      <c r="G75" s="12">
        <f t="shared" ca="1" si="10"/>
        <v>354060</v>
      </c>
      <c r="H75" s="12">
        <f ca="1">tblVentes[[#This Row],[Prix_Unitaire]]*tblVentes[[#This Row],[Quantité]]</f>
        <v>3540600</v>
      </c>
      <c r="I75" s="7">
        <f t="shared" ca="1" si="6"/>
        <v>4.5769008910233416E-2</v>
      </c>
      <c r="J75" s="15">
        <f ca="1">tblVentes[[#This Row],[Chiffre_Affaires]]*(1-tblVentes[[#This Row],[Remise]])</f>
        <v>3378550.2470524278</v>
      </c>
    </row>
    <row r="76" spans="1:10" x14ac:dyDescent="0.45">
      <c r="A76" s="1">
        <f t="shared" ca="1" si="7"/>
        <v>46282</v>
      </c>
      <c r="B76" t="str">
        <f t="shared" si="8"/>
        <v>V0075</v>
      </c>
      <c r="C76" t="str" cm="1">
        <f t="array" aca="1" ref="C76" ca="1">INDEX({"Laptop";"Souris";"Clavier";"Écran";"Casque";"Tablette";"Imprimante";"Disque dur";"RAM";"Carte graphique"},RANDBETWEEN(1,10))</f>
        <v>Casque</v>
      </c>
      <c r="D76" t="str" cm="1">
        <f t="array" aca="1" ref="D76" ca="1">INDEX({"Informatique";"Accessoires";"Périphériques";"Stockage";"Audio"},RANDBETWEEN(1,5))</f>
        <v>Informatique</v>
      </c>
      <c r="E76" t="str" cm="1">
        <f t="array" aca="1" ref="E76" ca="1">INDEX({"Awa Ndiaye";"Mamadou Diop";"Fatou Fall";"Cheikh Ba";"Mariama Sow";"Ousmane Ndiaye";"Sokhna Diallo";"Abdoulaye Gueye"},RANDBETWEEN(1,8))</f>
        <v>Mariama Sow</v>
      </c>
      <c r="F76">
        <f t="shared" ca="1" si="9"/>
        <v>10</v>
      </c>
      <c r="G76" s="12">
        <f t="shared" ca="1" si="10"/>
        <v>197932</v>
      </c>
      <c r="H76" s="12">
        <f ca="1">tblVentes[[#This Row],[Prix_Unitaire]]*tblVentes[[#This Row],[Quantité]]</f>
        <v>1979320</v>
      </c>
      <c r="I76" s="7">
        <f t="shared" ca="1" si="6"/>
        <v>9.8991904236315501E-2</v>
      </c>
      <c r="J76" s="15">
        <f ca="1">tblVentes[[#This Row],[Chiffre_Affaires]]*(1-tblVentes[[#This Row],[Remise]])</f>
        <v>1783383.3441069759</v>
      </c>
    </row>
    <row r="77" spans="1:10" x14ac:dyDescent="0.45">
      <c r="A77" s="1">
        <f t="shared" ca="1" si="7"/>
        <v>46283</v>
      </c>
      <c r="B77" t="str">
        <f t="shared" si="8"/>
        <v>V0076</v>
      </c>
      <c r="C77" t="str" cm="1">
        <f t="array" aca="1" ref="C77" ca="1">INDEX({"Laptop";"Souris";"Clavier";"Écran";"Casque";"Tablette";"Imprimante";"Disque dur";"RAM";"Carte graphique"},RANDBETWEEN(1,10))</f>
        <v>Carte graphique</v>
      </c>
      <c r="D77" t="str" cm="1">
        <f t="array" aca="1" ref="D77" ca="1">INDEX({"Informatique";"Accessoires";"Périphériques";"Stockage";"Audio"},RANDBETWEEN(1,5))</f>
        <v>Informatique</v>
      </c>
      <c r="E77" t="str" cm="1">
        <f t="array" aca="1" ref="E77" ca="1">INDEX({"Awa Ndiaye";"Mamadou Diop";"Fatou Fall";"Cheikh Ba";"Mariama Sow";"Ousmane Ndiaye";"Sokhna Diallo";"Abdoulaye Gueye"},RANDBETWEEN(1,8))</f>
        <v>Ousmane Ndiaye</v>
      </c>
      <c r="F77">
        <f t="shared" ca="1" si="9"/>
        <v>5</v>
      </c>
      <c r="G77" s="12">
        <f t="shared" ca="1" si="10"/>
        <v>477174</v>
      </c>
      <c r="H77" s="12">
        <f ca="1">tblVentes[[#This Row],[Prix_Unitaire]]*tblVentes[[#This Row],[Quantité]]</f>
        <v>2385870</v>
      </c>
      <c r="I77" s="7">
        <f t="shared" ca="1" si="6"/>
        <v>0.13491092076681963</v>
      </c>
      <c r="J77" s="15">
        <f ca="1">tblVentes[[#This Row],[Chiffre_Affaires]]*(1-tblVentes[[#This Row],[Remise]])</f>
        <v>2063990.0814700681</v>
      </c>
    </row>
    <row r="78" spans="1:10" x14ac:dyDescent="0.45">
      <c r="A78" s="1">
        <f t="shared" ca="1" si="7"/>
        <v>46288</v>
      </c>
      <c r="B78" t="str">
        <f t="shared" si="8"/>
        <v>V0077</v>
      </c>
      <c r="C78" t="str" cm="1">
        <f t="array" aca="1" ref="C78" ca="1">INDEX({"Laptop";"Souris";"Clavier";"Écran";"Casque";"Tablette";"Imprimante";"Disque dur";"RAM";"Carte graphique"},RANDBETWEEN(1,10))</f>
        <v>Disque dur</v>
      </c>
      <c r="D78" t="str" cm="1">
        <f t="array" aca="1" ref="D78" ca="1">INDEX({"Informatique";"Accessoires";"Périphériques";"Stockage";"Audio"},RANDBETWEEN(1,5))</f>
        <v>Informatique</v>
      </c>
      <c r="E78" t="str" cm="1">
        <f t="array" aca="1" ref="E78" ca="1">INDEX({"Awa Ndiaye";"Mamadou Diop";"Fatou Fall";"Cheikh Ba";"Mariama Sow";"Ousmane Ndiaye";"Sokhna Diallo";"Abdoulaye Gueye"},RANDBETWEEN(1,8))</f>
        <v>Awa Ndiaye</v>
      </c>
      <c r="F78">
        <f t="shared" ca="1" si="9"/>
        <v>3</v>
      </c>
      <c r="G78" s="12">
        <f t="shared" ca="1" si="10"/>
        <v>382179</v>
      </c>
      <c r="H78" s="12">
        <f ca="1">tblVentes[[#This Row],[Prix_Unitaire]]*tblVentes[[#This Row],[Quantité]]</f>
        <v>1146537</v>
      </c>
      <c r="I78" s="7">
        <f t="shared" ca="1" si="6"/>
        <v>0.13499080039076577</v>
      </c>
      <c r="J78" s="15">
        <f ca="1">tblVentes[[#This Row],[Chiffre_Affaires]]*(1-tblVentes[[#This Row],[Remise]])</f>
        <v>991765.05269237247</v>
      </c>
    </row>
    <row r="79" spans="1:10" x14ac:dyDescent="0.45">
      <c r="A79" s="1">
        <f t="shared" ca="1" si="7"/>
        <v>46277</v>
      </c>
      <c r="B79" t="str">
        <f t="shared" si="8"/>
        <v>V0078</v>
      </c>
      <c r="C79" t="str" cm="1">
        <f t="array" aca="1" ref="C79" ca="1">INDEX({"Laptop";"Souris";"Clavier";"Écran";"Casque";"Tablette";"Imprimante";"Disque dur";"RAM";"Carte graphique"},RANDBETWEEN(1,10))</f>
        <v>Casque</v>
      </c>
      <c r="D79" t="str" cm="1">
        <f t="array" aca="1" ref="D79" ca="1">INDEX({"Informatique";"Accessoires";"Périphériques";"Stockage";"Audio"},RANDBETWEEN(1,5))</f>
        <v>Périphériques</v>
      </c>
      <c r="E79" t="str" cm="1">
        <f t="array" aca="1" ref="E79" ca="1">INDEX({"Awa Ndiaye";"Mamadou Diop";"Fatou Fall";"Cheikh Ba";"Mariama Sow";"Ousmane Ndiaye";"Sokhna Diallo";"Abdoulaye Gueye"},RANDBETWEEN(1,8))</f>
        <v>Fatou Fall</v>
      </c>
      <c r="F79">
        <f t="shared" ca="1" si="9"/>
        <v>6</v>
      </c>
      <c r="G79" s="12">
        <f t="shared" ca="1" si="10"/>
        <v>333072</v>
      </c>
      <c r="H79" s="12">
        <f ca="1">tblVentes[[#This Row],[Prix_Unitaire]]*tblVentes[[#This Row],[Quantité]]</f>
        <v>1998432</v>
      </c>
      <c r="I79" s="7">
        <f t="shared" ca="1" si="6"/>
        <v>0.12071052054420012</v>
      </c>
      <c r="J79" s="15">
        <f ca="1">tblVentes[[#This Row],[Chiffre_Affaires]]*(1-tblVentes[[#This Row],[Remise]])</f>
        <v>1757200.2330078131</v>
      </c>
    </row>
    <row r="80" spans="1:10" x14ac:dyDescent="0.45">
      <c r="A80" s="1">
        <f t="shared" ca="1" si="7"/>
        <v>46295</v>
      </c>
      <c r="B80" t="str">
        <f t="shared" si="8"/>
        <v>V0079</v>
      </c>
      <c r="C80" t="str" cm="1">
        <f t="array" aca="1" ref="C80" ca="1">INDEX({"Laptop";"Souris";"Clavier";"Écran";"Casque";"Tablette";"Imprimante";"Disque dur";"RAM";"Carte graphique"},RANDBETWEEN(1,10))</f>
        <v>Casque</v>
      </c>
      <c r="D80" t="str" cm="1">
        <f t="array" aca="1" ref="D80" ca="1">INDEX({"Informatique";"Accessoires";"Périphériques";"Stockage";"Audio"},RANDBETWEEN(1,5))</f>
        <v>Stockage</v>
      </c>
      <c r="E80" t="str" cm="1">
        <f t="array" aca="1" ref="E80" ca="1">INDEX({"Awa Ndiaye";"Mamadou Diop";"Fatou Fall";"Cheikh Ba";"Mariama Sow";"Ousmane Ndiaye";"Sokhna Diallo";"Abdoulaye Gueye"},RANDBETWEEN(1,8))</f>
        <v>Abdoulaye Gueye</v>
      </c>
      <c r="F80">
        <f t="shared" ca="1" si="9"/>
        <v>5</v>
      </c>
      <c r="G80" s="12">
        <f t="shared" ca="1" si="10"/>
        <v>411147</v>
      </c>
      <c r="H80" s="12">
        <f ca="1">tblVentes[[#This Row],[Prix_Unitaire]]*tblVentes[[#This Row],[Quantité]]</f>
        <v>2055735</v>
      </c>
      <c r="I80" s="7">
        <f t="shared" ca="1" si="6"/>
        <v>8.7886785511000945E-2</v>
      </c>
      <c r="J80" s="15">
        <f ca="1">tblVentes[[#This Row],[Chiffre_Affaires]]*(1-tblVentes[[#This Row],[Remise]])</f>
        <v>1875063.0589875425</v>
      </c>
    </row>
    <row r="81" spans="1:10" x14ac:dyDescent="0.45">
      <c r="A81" s="1">
        <f t="shared" ca="1" si="7"/>
        <v>46280</v>
      </c>
      <c r="B81" t="str">
        <f t="shared" si="8"/>
        <v>V0080</v>
      </c>
      <c r="C81" t="str" cm="1">
        <f t="array" aca="1" ref="C81" ca="1">INDEX({"Laptop";"Souris";"Clavier";"Écran";"Casque";"Tablette";"Imprimante";"Disque dur";"RAM";"Carte graphique"},RANDBETWEEN(1,10))</f>
        <v>Imprimante</v>
      </c>
      <c r="D81" t="str" cm="1">
        <f t="array" aca="1" ref="D81" ca="1">INDEX({"Informatique";"Accessoires";"Périphériques";"Stockage";"Audio"},RANDBETWEEN(1,5))</f>
        <v>Périphériques</v>
      </c>
      <c r="E81" t="str" cm="1">
        <f t="array" aca="1" ref="E81" ca="1">INDEX({"Awa Ndiaye";"Mamadou Diop";"Fatou Fall";"Cheikh Ba";"Mariama Sow";"Ousmane Ndiaye";"Sokhna Diallo";"Abdoulaye Gueye"},RANDBETWEEN(1,8))</f>
        <v>Ousmane Ndiaye</v>
      </c>
      <c r="F81">
        <f t="shared" ca="1" si="9"/>
        <v>7</v>
      </c>
      <c r="G81" s="12">
        <f t="shared" ca="1" si="10"/>
        <v>414349</v>
      </c>
      <c r="H81" s="12">
        <f ca="1">tblVentes[[#This Row],[Prix_Unitaire]]*tblVentes[[#This Row],[Quantité]]</f>
        <v>2900443</v>
      </c>
      <c r="I81" s="7">
        <f t="shared" ca="1" si="6"/>
        <v>2.91358204181109E-2</v>
      </c>
      <c r="J81" s="15">
        <f ca="1">tblVentes[[#This Row],[Chiffre_Affaires]]*(1-tblVentes[[#This Row],[Remise]])</f>
        <v>2815936.2136190333</v>
      </c>
    </row>
    <row r="82" spans="1:10" x14ac:dyDescent="0.45">
      <c r="A82" s="1">
        <f t="shared" ca="1" si="7"/>
        <v>46284</v>
      </c>
      <c r="B82" t="str">
        <f t="shared" si="8"/>
        <v>V0081</v>
      </c>
      <c r="C82" t="str" cm="1">
        <f t="array" aca="1" ref="C82" ca="1">INDEX({"Laptop";"Souris";"Clavier";"Écran";"Casque";"Tablette";"Imprimante";"Disque dur";"RAM";"Carte graphique"},RANDBETWEEN(1,10))</f>
        <v>Laptop</v>
      </c>
      <c r="D82" t="str" cm="1">
        <f t="array" aca="1" ref="D82" ca="1">INDEX({"Informatique";"Accessoires";"Périphériques";"Stockage";"Audio"},RANDBETWEEN(1,5))</f>
        <v>Informatique</v>
      </c>
      <c r="E82" t="str" cm="1">
        <f t="array" aca="1" ref="E82" ca="1">INDEX({"Awa Ndiaye";"Mamadou Diop";"Fatou Fall";"Cheikh Ba";"Mariama Sow";"Ousmane Ndiaye";"Sokhna Diallo";"Abdoulaye Gueye"},RANDBETWEEN(1,8))</f>
        <v>Mariama Sow</v>
      </c>
      <c r="F82">
        <f t="shared" ca="1" si="9"/>
        <v>2</v>
      </c>
      <c r="G82" s="12">
        <f t="shared" ca="1" si="10"/>
        <v>39851</v>
      </c>
      <c r="H82" s="12">
        <f ca="1">tblVentes[[#This Row],[Prix_Unitaire]]*tblVentes[[#This Row],[Quantité]]</f>
        <v>79702</v>
      </c>
      <c r="I82" s="7">
        <f t="shared" ca="1" si="6"/>
        <v>0.14936305503850877</v>
      </c>
      <c r="J82" s="15">
        <f ca="1">tblVentes[[#This Row],[Chiffre_Affaires]]*(1-tblVentes[[#This Row],[Remise]])</f>
        <v>67797.465787320776</v>
      </c>
    </row>
    <row r="83" spans="1:10" x14ac:dyDescent="0.45">
      <c r="A83" s="1">
        <f t="shared" ca="1" si="7"/>
        <v>46273</v>
      </c>
      <c r="B83" t="str">
        <f t="shared" si="8"/>
        <v>V0082</v>
      </c>
      <c r="C83" t="str" cm="1">
        <f t="array" aca="1" ref="C83" ca="1">INDEX({"Laptop";"Souris";"Clavier";"Écran";"Casque";"Tablette";"Imprimante";"Disque dur";"RAM";"Carte graphique"},RANDBETWEEN(1,10))</f>
        <v>Souris</v>
      </c>
      <c r="D83" t="str" cm="1">
        <f t="array" aca="1" ref="D83" ca="1">INDEX({"Informatique";"Accessoires";"Périphériques";"Stockage";"Audio"},RANDBETWEEN(1,5))</f>
        <v>Périphériques</v>
      </c>
      <c r="E83" t="str" cm="1">
        <f t="array" aca="1" ref="E83" ca="1">INDEX({"Awa Ndiaye";"Mamadou Diop";"Fatou Fall";"Cheikh Ba";"Mariama Sow";"Ousmane Ndiaye";"Sokhna Diallo";"Abdoulaye Gueye"},RANDBETWEEN(1,8))</f>
        <v>Abdoulaye Gueye</v>
      </c>
      <c r="F83">
        <f t="shared" ca="1" si="9"/>
        <v>8</v>
      </c>
      <c r="G83" s="12">
        <f t="shared" ca="1" si="10"/>
        <v>135990</v>
      </c>
      <c r="H83" s="12">
        <f ca="1">tblVentes[[#This Row],[Prix_Unitaire]]*tblVentes[[#This Row],[Quantité]]</f>
        <v>1087920</v>
      </c>
      <c r="I83" s="7">
        <f t="shared" ca="1" si="6"/>
        <v>4.526812421390935E-3</v>
      </c>
      <c r="J83" s="15">
        <f ca="1">tblVentes[[#This Row],[Chiffre_Affaires]]*(1-tblVentes[[#This Row],[Remise]])</f>
        <v>1082995.1902305204</v>
      </c>
    </row>
    <row r="84" spans="1:10" x14ac:dyDescent="0.45">
      <c r="A84" s="1">
        <f t="shared" ca="1" si="7"/>
        <v>46271</v>
      </c>
      <c r="B84" t="str">
        <f t="shared" si="8"/>
        <v>V0083</v>
      </c>
      <c r="C84" t="str" cm="1">
        <f t="array" aca="1" ref="C84" ca="1">INDEX({"Laptop";"Souris";"Clavier";"Écran";"Casque";"Tablette";"Imprimante";"Disque dur";"RAM";"Carte graphique"},RANDBETWEEN(1,10))</f>
        <v>Disque dur</v>
      </c>
      <c r="D84" t="str" cm="1">
        <f t="array" aca="1" ref="D84" ca="1">INDEX({"Informatique";"Accessoires";"Périphériques";"Stockage";"Audio"},RANDBETWEEN(1,5))</f>
        <v>Périphériques</v>
      </c>
      <c r="E84" t="str" cm="1">
        <f t="array" aca="1" ref="E84" ca="1">INDEX({"Awa Ndiaye";"Mamadou Diop";"Fatou Fall";"Cheikh Ba";"Mariama Sow";"Ousmane Ndiaye";"Sokhna Diallo";"Abdoulaye Gueye"},RANDBETWEEN(1,8))</f>
        <v>Abdoulaye Gueye</v>
      </c>
      <c r="F84">
        <f t="shared" ca="1" si="9"/>
        <v>4</v>
      </c>
      <c r="G84" s="12">
        <f t="shared" ca="1" si="10"/>
        <v>408569</v>
      </c>
      <c r="H84" s="12">
        <f ca="1">tblVentes[[#This Row],[Prix_Unitaire]]*tblVentes[[#This Row],[Quantité]]</f>
        <v>1634276</v>
      </c>
      <c r="I84" s="7">
        <f t="shared" ca="1" si="6"/>
        <v>4.936097088642994E-2</v>
      </c>
      <c r="J84" s="15">
        <f ca="1">tblVentes[[#This Row],[Chiffre_Affaires]]*(1-tblVentes[[#This Row],[Remise]])</f>
        <v>1553606.5499436087</v>
      </c>
    </row>
    <row r="85" spans="1:10" x14ac:dyDescent="0.45">
      <c r="A85" s="1">
        <f t="shared" ca="1" si="7"/>
        <v>46266</v>
      </c>
      <c r="B85" t="str">
        <f t="shared" si="8"/>
        <v>V0084</v>
      </c>
      <c r="C85" t="str" cm="1">
        <f t="array" aca="1" ref="C85" ca="1">INDEX({"Laptop";"Souris";"Clavier";"Écran";"Casque";"Tablette";"Imprimante";"Disque dur";"RAM";"Carte graphique"},RANDBETWEEN(1,10))</f>
        <v>Carte graphique</v>
      </c>
      <c r="D85" t="str" cm="1">
        <f t="array" aca="1" ref="D85" ca="1">INDEX({"Informatique";"Accessoires";"Périphériques";"Stockage";"Audio"},RANDBETWEEN(1,5))</f>
        <v>Périphériques</v>
      </c>
      <c r="E85" t="str" cm="1">
        <f t="array" aca="1" ref="E85" ca="1">INDEX({"Awa Ndiaye";"Mamadou Diop";"Fatou Fall";"Cheikh Ba";"Mariama Sow";"Ousmane Ndiaye";"Sokhna Diallo";"Abdoulaye Gueye"},RANDBETWEEN(1,8))</f>
        <v>Ousmane Ndiaye</v>
      </c>
      <c r="F85">
        <f t="shared" ca="1" si="9"/>
        <v>2</v>
      </c>
      <c r="G85" s="12">
        <f t="shared" ca="1" si="10"/>
        <v>203578</v>
      </c>
      <c r="H85" s="12">
        <f ca="1">tblVentes[[#This Row],[Prix_Unitaire]]*tblVentes[[#This Row],[Quantité]]</f>
        <v>407156</v>
      </c>
      <c r="I85" s="7">
        <f t="shared" ca="1" si="6"/>
        <v>6.3496315845222778E-2</v>
      </c>
      <c r="J85" s="15">
        <f ca="1">tblVentes[[#This Row],[Chiffre_Affaires]]*(1-tblVentes[[#This Row],[Remise]])</f>
        <v>381303.09402572247</v>
      </c>
    </row>
    <row r="86" spans="1:10" x14ac:dyDescent="0.45">
      <c r="A86" s="1">
        <f t="shared" ca="1" si="7"/>
        <v>46277</v>
      </c>
      <c r="B86" t="str">
        <f t="shared" si="8"/>
        <v>V0085</v>
      </c>
      <c r="C86" t="str" cm="1">
        <f t="array" aca="1" ref="C86" ca="1">INDEX({"Laptop";"Souris";"Clavier";"Écran";"Casque";"Tablette";"Imprimante";"Disque dur";"RAM";"Carte graphique"},RANDBETWEEN(1,10))</f>
        <v>RAM</v>
      </c>
      <c r="D86" t="str" cm="1">
        <f t="array" aca="1" ref="D86" ca="1">INDEX({"Informatique";"Accessoires";"Périphériques";"Stockage";"Audio"},RANDBETWEEN(1,5))</f>
        <v>Accessoires</v>
      </c>
      <c r="E86" t="str" cm="1">
        <f t="array" aca="1" ref="E86" ca="1">INDEX({"Awa Ndiaye";"Mamadou Diop";"Fatou Fall";"Cheikh Ba";"Mariama Sow";"Ousmane Ndiaye";"Sokhna Diallo";"Abdoulaye Gueye"},RANDBETWEEN(1,8))</f>
        <v>Abdoulaye Gueye</v>
      </c>
      <c r="F86">
        <f t="shared" ca="1" si="9"/>
        <v>4</v>
      </c>
      <c r="G86" s="12">
        <f t="shared" ca="1" si="10"/>
        <v>348989</v>
      </c>
      <c r="H86" s="12">
        <f ca="1">tblVentes[[#This Row],[Prix_Unitaire]]*tblVentes[[#This Row],[Quantité]]</f>
        <v>1395956</v>
      </c>
      <c r="I86" s="7">
        <f t="shared" ca="1" si="6"/>
        <v>0.10161672298615856</v>
      </c>
      <c r="J86" s="15">
        <f ca="1">tblVentes[[#This Row],[Chiffre_Affaires]]*(1-tblVentes[[#This Row],[Remise]])</f>
        <v>1254103.5258471342</v>
      </c>
    </row>
    <row r="87" spans="1:10" x14ac:dyDescent="0.45">
      <c r="A87" s="1">
        <f t="shared" ca="1" si="7"/>
        <v>46275</v>
      </c>
      <c r="B87" t="str">
        <f t="shared" si="8"/>
        <v>V0086</v>
      </c>
      <c r="C87" t="str" cm="1">
        <f t="array" aca="1" ref="C87" ca="1">INDEX({"Laptop";"Souris";"Clavier";"Écran";"Casque";"Tablette";"Imprimante";"Disque dur";"RAM";"Carte graphique"},RANDBETWEEN(1,10))</f>
        <v>Laptop</v>
      </c>
      <c r="D87" t="str" cm="1">
        <f t="array" aca="1" ref="D87" ca="1">INDEX({"Informatique";"Accessoires";"Périphériques";"Stockage";"Audio"},RANDBETWEEN(1,5))</f>
        <v>Stockage</v>
      </c>
      <c r="E87" t="str" cm="1">
        <f t="array" aca="1" ref="E87" ca="1">INDEX({"Awa Ndiaye";"Mamadou Diop";"Fatou Fall";"Cheikh Ba";"Mariama Sow";"Ousmane Ndiaye";"Sokhna Diallo";"Abdoulaye Gueye"},RANDBETWEEN(1,8))</f>
        <v>Cheikh Ba</v>
      </c>
      <c r="F87">
        <f t="shared" ca="1" si="9"/>
        <v>10</v>
      </c>
      <c r="G87" s="12">
        <f t="shared" ca="1" si="10"/>
        <v>367648</v>
      </c>
      <c r="H87" s="12">
        <f ca="1">tblVentes[[#This Row],[Prix_Unitaire]]*tblVentes[[#This Row],[Quantité]]</f>
        <v>3676480</v>
      </c>
      <c r="I87" s="7">
        <f t="shared" ca="1" si="6"/>
        <v>8.6015198891883374E-2</v>
      </c>
      <c r="J87" s="15">
        <f ca="1">tblVentes[[#This Row],[Chiffre_Affaires]]*(1-tblVentes[[#This Row],[Remise]])</f>
        <v>3360246.8415779686</v>
      </c>
    </row>
    <row r="88" spans="1:10" x14ac:dyDescent="0.45">
      <c r="A88" s="1">
        <f t="shared" ca="1" si="7"/>
        <v>46272</v>
      </c>
      <c r="B88" t="str">
        <f t="shared" si="8"/>
        <v>V0087</v>
      </c>
      <c r="C88" t="str" cm="1">
        <f t="array" aca="1" ref="C88" ca="1">INDEX({"Laptop";"Souris";"Clavier";"Écran";"Casque";"Tablette";"Imprimante";"Disque dur";"RAM";"Carte graphique"},RANDBETWEEN(1,10))</f>
        <v>Tablette</v>
      </c>
      <c r="D88" t="str" cm="1">
        <f t="array" aca="1" ref="D88" ca="1">INDEX({"Informatique";"Accessoires";"Périphériques";"Stockage";"Audio"},RANDBETWEEN(1,5))</f>
        <v>Informatique</v>
      </c>
      <c r="E88" t="str" cm="1">
        <f t="array" aca="1" ref="E88" ca="1">INDEX({"Awa Ndiaye";"Mamadou Diop";"Fatou Fall";"Cheikh Ba";"Mariama Sow";"Ousmane Ndiaye";"Sokhna Diallo";"Abdoulaye Gueye"},RANDBETWEEN(1,8))</f>
        <v>Mamadou Diop</v>
      </c>
      <c r="F88">
        <f t="shared" ca="1" si="9"/>
        <v>5</v>
      </c>
      <c r="G88" s="12">
        <f t="shared" ca="1" si="10"/>
        <v>28861</v>
      </c>
      <c r="H88" s="12">
        <f ca="1">tblVentes[[#This Row],[Prix_Unitaire]]*tblVentes[[#This Row],[Quantité]]</f>
        <v>144305</v>
      </c>
      <c r="I88" s="7">
        <f t="shared" ca="1" si="6"/>
        <v>8.8543543017360518E-2</v>
      </c>
      <c r="J88" s="15">
        <f ca="1">tblVentes[[#This Row],[Chiffre_Affaires]]*(1-tblVentes[[#This Row],[Remise]])</f>
        <v>131527.72402487978</v>
      </c>
    </row>
    <row r="89" spans="1:10" x14ac:dyDescent="0.45">
      <c r="A89" s="1">
        <f t="shared" ca="1" si="7"/>
        <v>46287</v>
      </c>
      <c r="B89" t="str">
        <f t="shared" si="8"/>
        <v>V0088</v>
      </c>
      <c r="C89" t="str" cm="1">
        <f t="array" aca="1" ref="C89" ca="1">INDEX({"Laptop";"Souris";"Clavier";"Écran";"Casque";"Tablette";"Imprimante";"Disque dur";"RAM";"Carte graphique"},RANDBETWEEN(1,10))</f>
        <v>Écran</v>
      </c>
      <c r="D89" t="str" cm="1">
        <f t="array" aca="1" ref="D89" ca="1">INDEX({"Informatique";"Accessoires";"Périphériques";"Stockage";"Audio"},RANDBETWEEN(1,5))</f>
        <v>Accessoires</v>
      </c>
      <c r="E89" t="str" cm="1">
        <f t="array" aca="1" ref="E89" ca="1">INDEX({"Awa Ndiaye";"Mamadou Diop";"Fatou Fall";"Cheikh Ba";"Mariama Sow";"Ousmane Ndiaye";"Sokhna Diallo";"Abdoulaye Gueye"},RANDBETWEEN(1,8))</f>
        <v>Abdoulaye Gueye</v>
      </c>
      <c r="F89">
        <f t="shared" ca="1" si="9"/>
        <v>6</v>
      </c>
      <c r="G89" s="12">
        <f t="shared" ca="1" si="10"/>
        <v>316359</v>
      </c>
      <c r="H89" s="12">
        <f ca="1">tblVentes[[#This Row],[Prix_Unitaire]]*tblVentes[[#This Row],[Quantité]]</f>
        <v>1898154</v>
      </c>
      <c r="I89" s="7">
        <f t="shared" ca="1" si="6"/>
        <v>7.1881882934524938E-2</v>
      </c>
      <c r="J89" s="15">
        <f ca="1">tblVentes[[#This Row],[Chiffre_Affaires]]*(1-tblVentes[[#This Row],[Remise]])</f>
        <v>1761711.1163802999</v>
      </c>
    </row>
    <row r="90" spans="1:10" x14ac:dyDescent="0.45">
      <c r="A90" s="1">
        <f t="shared" ca="1" si="7"/>
        <v>46267</v>
      </c>
      <c r="B90" t="str">
        <f t="shared" si="8"/>
        <v>V0089</v>
      </c>
      <c r="C90" t="str" cm="1">
        <f t="array" aca="1" ref="C90" ca="1">INDEX({"Laptop";"Souris";"Clavier";"Écran";"Casque";"Tablette";"Imprimante";"Disque dur";"RAM";"Carte graphique"},RANDBETWEEN(1,10))</f>
        <v>Laptop</v>
      </c>
      <c r="D90" t="str" cm="1">
        <f t="array" aca="1" ref="D90" ca="1">INDEX({"Informatique";"Accessoires";"Périphériques";"Stockage";"Audio"},RANDBETWEEN(1,5))</f>
        <v>Informatique</v>
      </c>
      <c r="E90" t="str" cm="1">
        <f t="array" aca="1" ref="E90" ca="1">INDEX({"Awa Ndiaye";"Mamadou Diop";"Fatou Fall";"Cheikh Ba";"Mariama Sow";"Ousmane Ndiaye";"Sokhna Diallo";"Abdoulaye Gueye"},RANDBETWEEN(1,8))</f>
        <v>Abdoulaye Gueye</v>
      </c>
      <c r="F90">
        <f t="shared" ca="1" si="9"/>
        <v>4</v>
      </c>
      <c r="G90" s="12">
        <f t="shared" ca="1" si="10"/>
        <v>318548</v>
      </c>
      <c r="H90" s="12">
        <f ca="1">tblVentes[[#This Row],[Prix_Unitaire]]*tblVentes[[#This Row],[Quantité]]</f>
        <v>1274192</v>
      </c>
      <c r="I90" s="7">
        <f t="shared" ca="1" si="6"/>
        <v>1.2132404587869882E-2</v>
      </c>
      <c r="J90" s="15">
        <f ca="1">tblVentes[[#This Row],[Chiffre_Affaires]]*(1-tblVentes[[#This Row],[Remise]])</f>
        <v>1258732.9871333728</v>
      </c>
    </row>
    <row r="91" spans="1:10" x14ac:dyDescent="0.45">
      <c r="A91" s="1">
        <f t="shared" ca="1" si="7"/>
        <v>46293</v>
      </c>
      <c r="B91" t="str">
        <f t="shared" si="8"/>
        <v>V0090</v>
      </c>
      <c r="C91" t="str" cm="1">
        <f t="array" aca="1" ref="C91" ca="1">INDEX({"Laptop";"Souris";"Clavier";"Écran";"Casque";"Tablette";"Imprimante";"Disque dur";"RAM";"Carte graphique"},RANDBETWEEN(1,10))</f>
        <v>Clavier</v>
      </c>
      <c r="D91" t="str" cm="1">
        <f t="array" aca="1" ref="D91" ca="1">INDEX({"Informatique";"Accessoires";"Périphériques";"Stockage";"Audio"},RANDBETWEEN(1,5))</f>
        <v>Audio</v>
      </c>
      <c r="E91" t="str" cm="1">
        <f t="array" aca="1" ref="E91" ca="1">INDEX({"Awa Ndiaye";"Mamadou Diop";"Fatou Fall";"Cheikh Ba";"Mariama Sow";"Ousmane Ndiaye";"Sokhna Diallo";"Abdoulaye Gueye"},RANDBETWEEN(1,8))</f>
        <v>Ousmane Ndiaye</v>
      </c>
      <c r="F91">
        <f t="shared" ca="1" si="9"/>
        <v>6</v>
      </c>
      <c r="G91" s="12">
        <f t="shared" ca="1" si="10"/>
        <v>269462</v>
      </c>
      <c r="H91" s="12">
        <f ca="1">tblVentes[[#This Row],[Prix_Unitaire]]*tblVentes[[#This Row],[Quantité]]</f>
        <v>1616772</v>
      </c>
      <c r="I91" s="7">
        <f t="shared" ca="1" si="6"/>
        <v>8.695997918244007E-2</v>
      </c>
      <c r="J91" s="15">
        <f ca="1">tblVentes[[#This Row],[Chiffre_Affaires]]*(1-tblVentes[[#This Row],[Remise]])</f>
        <v>1476177.5405372481</v>
      </c>
    </row>
    <row r="92" spans="1:10" x14ac:dyDescent="0.45">
      <c r="A92" s="1">
        <f t="shared" ca="1" si="7"/>
        <v>46278</v>
      </c>
      <c r="B92" t="str">
        <f t="shared" si="8"/>
        <v>V0091</v>
      </c>
      <c r="C92" t="str" cm="1">
        <f t="array" aca="1" ref="C92" ca="1">INDEX({"Laptop";"Souris";"Clavier";"Écran";"Casque";"Tablette";"Imprimante";"Disque dur";"RAM";"Carte graphique"},RANDBETWEEN(1,10))</f>
        <v>Disque dur</v>
      </c>
      <c r="D92" t="str" cm="1">
        <f t="array" aca="1" ref="D92" ca="1">INDEX({"Informatique";"Accessoires";"Périphériques";"Stockage";"Audio"},RANDBETWEEN(1,5))</f>
        <v>Périphériques</v>
      </c>
      <c r="E92" t="str" cm="1">
        <f t="array" aca="1" ref="E92" ca="1">INDEX({"Awa Ndiaye";"Mamadou Diop";"Fatou Fall";"Cheikh Ba";"Mariama Sow";"Ousmane Ndiaye";"Sokhna Diallo";"Abdoulaye Gueye"},RANDBETWEEN(1,8))</f>
        <v>Mariama Sow</v>
      </c>
      <c r="F92">
        <f t="shared" ca="1" si="9"/>
        <v>9</v>
      </c>
      <c r="G92" s="12">
        <f t="shared" ca="1" si="10"/>
        <v>238678</v>
      </c>
      <c r="H92" s="12">
        <f ca="1">tblVentes[[#This Row],[Prix_Unitaire]]*tblVentes[[#This Row],[Quantité]]</f>
        <v>2148102</v>
      </c>
      <c r="I92" s="7">
        <f t="shared" ca="1" si="6"/>
        <v>7.88160243355151E-2</v>
      </c>
      <c r="J92" s="15">
        <f ca="1">tblVentes[[#This Row],[Chiffre_Affaires]]*(1-tblVentes[[#This Row],[Remise]])</f>
        <v>1978797.1404928311</v>
      </c>
    </row>
    <row r="93" spans="1:10" x14ac:dyDescent="0.45">
      <c r="A93" s="1">
        <f t="shared" ca="1" si="7"/>
        <v>46267</v>
      </c>
      <c r="B93" t="str">
        <f t="shared" si="8"/>
        <v>V0092</v>
      </c>
      <c r="C93" t="str" cm="1">
        <f t="array" aca="1" ref="C93" ca="1">INDEX({"Laptop";"Souris";"Clavier";"Écran";"Casque";"Tablette";"Imprimante";"Disque dur";"RAM";"Carte graphique"},RANDBETWEEN(1,10))</f>
        <v>Laptop</v>
      </c>
      <c r="D93" t="str" cm="1">
        <f t="array" aca="1" ref="D93" ca="1">INDEX({"Informatique";"Accessoires";"Périphériques";"Stockage";"Audio"},RANDBETWEEN(1,5))</f>
        <v>Stockage</v>
      </c>
      <c r="E93" t="str" cm="1">
        <f t="array" aca="1" ref="E93" ca="1">INDEX({"Awa Ndiaye";"Mamadou Diop";"Fatou Fall";"Cheikh Ba";"Mariama Sow";"Ousmane Ndiaye";"Sokhna Diallo";"Abdoulaye Gueye"},RANDBETWEEN(1,8))</f>
        <v>Cheikh Ba</v>
      </c>
      <c r="F93">
        <f t="shared" ca="1" si="9"/>
        <v>9</v>
      </c>
      <c r="G93" s="12">
        <f t="shared" ca="1" si="10"/>
        <v>156161</v>
      </c>
      <c r="H93" s="12">
        <f ca="1">tblVentes[[#This Row],[Prix_Unitaire]]*tblVentes[[#This Row],[Quantité]]</f>
        <v>1405449</v>
      </c>
      <c r="I93" s="7">
        <f t="shared" ca="1" si="6"/>
        <v>1.6914241028896936E-4</v>
      </c>
      <c r="J93" s="15">
        <f ca="1">tblVentes[[#This Row],[Chiffre_Affaires]]*(1-tblVentes[[#This Row],[Remise]])</f>
        <v>1405211.2789686017</v>
      </c>
    </row>
    <row r="94" spans="1:10" x14ac:dyDescent="0.45">
      <c r="A94" s="1">
        <f t="shared" ca="1" si="7"/>
        <v>46275</v>
      </c>
      <c r="B94" t="str">
        <f t="shared" si="8"/>
        <v>V0093</v>
      </c>
      <c r="C94" t="str" cm="1">
        <f t="array" aca="1" ref="C94" ca="1">INDEX({"Laptop";"Souris";"Clavier";"Écran";"Casque";"Tablette";"Imprimante";"Disque dur";"RAM";"Carte graphique"},RANDBETWEEN(1,10))</f>
        <v>Souris</v>
      </c>
      <c r="D94" t="str" cm="1">
        <f t="array" aca="1" ref="D94" ca="1">INDEX({"Informatique";"Accessoires";"Périphériques";"Stockage";"Audio"},RANDBETWEEN(1,5))</f>
        <v>Stockage</v>
      </c>
      <c r="E94" t="str" cm="1">
        <f t="array" aca="1" ref="E94" ca="1">INDEX({"Awa Ndiaye";"Mamadou Diop";"Fatou Fall";"Cheikh Ba";"Mariama Sow";"Ousmane Ndiaye";"Sokhna Diallo";"Abdoulaye Gueye"},RANDBETWEEN(1,8))</f>
        <v>Fatou Fall</v>
      </c>
      <c r="F94">
        <f t="shared" ca="1" si="9"/>
        <v>3</v>
      </c>
      <c r="G94" s="12">
        <f t="shared" ca="1" si="10"/>
        <v>324681</v>
      </c>
      <c r="H94" s="12">
        <f ca="1">tblVentes[[#This Row],[Prix_Unitaire]]*tblVentes[[#This Row],[Quantité]]</f>
        <v>974043</v>
      </c>
      <c r="I94" s="7">
        <f t="shared" ca="1" si="6"/>
        <v>0.13831727186802392</v>
      </c>
      <c r="J94" s="15">
        <f ca="1">tblVentes[[#This Row],[Chiffre_Affaires]]*(1-tblVentes[[#This Row],[Remise]])</f>
        <v>839316.0295578544</v>
      </c>
    </row>
    <row r="95" spans="1:10" x14ac:dyDescent="0.45">
      <c r="A95" s="1">
        <f t="shared" ca="1" si="7"/>
        <v>46269</v>
      </c>
      <c r="B95" t="str">
        <f t="shared" si="8"/>
        <v>V0094</v>
      </c>
      <c r="C95" t="str" cm="1">
        <f t="array" aca="1" ref="C95" ca="1">INDEX({"Laptop";"Souris";"Clavier";"Écran";"Casque";"Tablette";"Imprimante";"Disque dur";"RAM";"Carte graphique"},RANDBETWEEN(1,10))</f>
        <v>Tablette</v>
      </c>
      <c r="D95" t="str" cm="1">
        <f t="array" aca="1" ref="D95" ca="1">INDEX({"Informatique";"Accessoires";"Périphériques";"Stockage";"Audio"},RANDBETWEEN(1,5))</f>
        <v>Accessoires</v>
      </c>
      <c r="E95" t="str" cm="1">
        <f t="array" aca="1" ref="E95" ca="1">INDEX({"Awa Ndiaye";"Mamadou Diop";"Fatou Fall";"Cheikh Ba";"Mariama Sow";"Ousmane Ndiaye";"Sokhna Diallo";"Abdoulaye Gueye"},RANDBETWEEN(1,8))</f>
        <v>Abdoulaye Gueye</v>
      </c>
      <c r="F95">
        <f t="shared" ca="1" si="9"/>
        <v>1</v>
      </c>
      <c r="G95" s="12">
        <f t="shared" ca="1" si="10"/>
        <v>442981</v>
      </c>
      <c r="H95" s="12">
        <f ca="1">tblVentes[[#This Row],[Prix_Unitaire]]*tblVentes[[#This Row],[Quantité]]</f>
        <v>442981</v>
      </c>
      <c r="I95" s="7">
        <f t="shared" ca="1" si="6"/>
        <v>3.8300640622241845E-2</v>
      </c>
      <c r="J95" s="15">
        <f ca="1">tblVentes[[#This Row],[Chiffre_Affaires]]*(1-tblVentes[[#This Row],[Remise]])</f>
        <v>426014.54391651868</v>
      </c>
    </row>
    <row r="96" spans="1:10" x14ac:dyDescent="0.45">
      <c r="A96" s="1">
        <f t="shared" ca="1" si="7"/>
        <v>46271</v>
      </c>
      <c r="B96" t="str">
        <f t="shared" si="8"/>
        <v>V0095</v>
      </c>
      <c r="C96" t="str" cm="1">
        <f t="array" aca="1" ref="C96" ca="1">INDEX({"Laptop";"Souris";"Clavier";"Écran";"Casque";"Tablette";"Imprimante";"Disque dur";"RAM";"Carte graphique"},RANDBETWEEN(1,10))</f>
        <v>Imprimante</v>
      </c>
      <c r="D96" t="str" cm="1">
        <f t="array" aca="1" ref="D96" ca="1">INDEX({"Informatique";"Accessoires";"Périphériques";"Stockage";"Audio"},RANDBETWEEN(1,5))</f>
        <v>Stockage</v>
      </c>
      <c r="E96" t="str" cm="1">
        <f t="array" aca="1" ref="E96" ca="1">INDEX({"Awa Ndiaye";"Mamadou Diop";"Fatou Fall";"Cheikh Ba";"Mariama Sow";"Ousmane Ndiaye";"Sokhna Diallo";"Abdoulaye Gueye"},RANDBETWEEN(1,8))</f>
        <v>Fatou Fall</v>
      </c>
      <c r="F96">
        <f t="shared" ca="1" si="9"/>
        <v>9</v>
      </c>
      <c r="G96" s="12">
        <f t="shared" ca="1" si="10"/>
        <v>281458</v>
      </c>
      <c r="H96" s="12">
        <f ca="1">tblVentes[[#This Row],[Prix_Unitaire]]*tblVentes[[#This Row],[Quantité]]</f>
        <v>2533122</v>
      </c>
      <c r="I96" s="7">
        <f t="shared" ca="1" si="6"/>
        <v>2.3127408769256026E-2</v>
      </c>
      <c r="J96" s="15">
        <f ca="1">tblVentes[[#This Row],[Chiffre_Affaires]]*(1-tblVentes[[#This Row],[Remise]])</f>
        <v>2474537.4520436046</v>
      </c>
    </row>
    <row r="97" spans="1:10" x14ac:dyDescent="0.45">
      <c r="A97" s="1">
        <f t="shared" ca="1" si="7"/>
        <v>46285</v>
      </c>
      <c r="B97" t="str">
        <f t="shared" si="8"/>
        <v>V0096</v>
      </c>
      <c r="C97" t="str" cm="1">
        <f t="array" aca="1" ref="C97" ca="1">INDEX({"Laptop";"Souris";"Clavier";"Écran";"Casque";"Tablette";"Imprimante";"Disque dur";"RAM";"Carte graphique"},RANDBETWEEN(1,10))</f>
        <v>Casque</v>
      </c>
      <c r="D97" t="str" cm="1">
        <f t="array" aca="1" ref="D97" ca="1">INDEX({"Informatique";"Accessoires";"Périphériques";"Stockage";"Audio"},RANDBETWEEN(1,5))</f>
        <v>Périphériques</v>
      </c>
      <c r="E97" t="str" cm="1">
        <f t="array" aca="1" ref="E97" ca="1">INDEX({"Awa Ndiaye";"Mamadou Diop";"Fatou Fall";"Cheikh Ba";"Mariama Sow";"Ousmane Ndiaye";"Sokhna Diallo";"Abdoulaye Gueye"},RANDBETWEEN(1,8))</f>
        <v>Mariama Sow</v>
      </c>
      <c r="F97">
        <f t="shared" ca="1" si="9"/>
        <v>2</v>
      </c>
      <c r="G97" s="12">
        <f t="shared" ca="1" si="10"/>
        <v>478268</v>
      </c>
      <c r="H97" s="12">
        <f ca="1">tblVentes[[#This Row],[Prix_Unitaire]]*tblVentes[[#This Row],[Quantité]]</f>
        <v>956536</v>
      </c>
      <c r="I97" s="7">
        <f t="shared" ca="1" si="6"/>
        <v>9.0939344853186888E-2</v>
      </c>
      <c r="J97" s="15">
        <f ca="1">tblVentes[[#This Row],[Chiffre_Affaires]]*(1-tblVentes[[#This Row],[Remise]])</f>
        <v>869549.24283151201</v>
      </c>
    </row>
    <row r="98" spans="1:10" x14ac:dyDescent="0.45">
      <c r="A98" s="1">
        <f t="shared" ca="1" si="7"/>
        <v>46267</v>
      </c>
      <c r="B98" t="str">
        <f t="shared" si="8"/>
        <v>V0097</v>
      </c>
      <c r="C98" t="str" cm="1">
        <f t="array" aca="1" ref="C98" ca="1">INDEX({"Laptop";"Souris";"Clavier";"Écran";"Casque";"Tablette";"Imprimante";"Disque dur";"RAM";"Carte graphique"},RANDBETWEEN(1,10))</f>
        <v>Écran</v>
      </c>
      <c r="D98" t="str" cm="1">
        <f t="array" aca="1" ref="D98" ca="1">INDEX({"Informatique";"Accessoires";"Périphériques";"Stockage";"Audio"},RANDBETWEEN(1,5))</f>
        <v>Périphériques</v>
      </c>
      <c r="E98" t="str" cm="1">
        <f t="array" aca="1" ref="E98" ca="1">INDEX({"Awa Ndiaye";"Mamadou Diop";"Fatou Fall";"Cheikh Ba";"Mariama Sow";"Ousmane Ndiaye";"Sokhna Diallo";"Abdoulaye Gueye"},RANDBETWEEN(1,8))</f>
        <v>Awa Ndiaye</v>
      </c>
      <c r="F98">
        <f t="shared" ca="1" si="9"/>
        <v>9</v>
      </c>
      <c r="G98" s="12">
        <f t="shared" ca="1" si="10"/>
        <v>160956</v>
      </c>
      <c r="H98" s="12">
        <f ca="1">tblVentes[[#This Row],[Prix_Unitaire]]*tblVentes[[#This Row],[Quantité]]</f>
        <v>1448604</v>
      </c>
      <c r="I98" s="7">
        <f t="shared" ca="1" si="6"/>
        <v>1.7321462301040164E-2</v>
      </c>
      <c r="J98" s="15">
        <f ca="1">tblVentes[[#This Row],[Chiffre_Affaires]]*(1-tblVentes[[#This Row],[Remise]])</f>
        <v>1423512.0604248641</v>
      </c>
    </row>
    <row r="99" spans="1:10" x14ac:dyDescent="0.45">
      <c r="A99" s="1">
        <f t="shared" ca="1" si="7"/>
        <v>46288</v>
      </c>
      <c r="B99" t="str">
        <f t="shared" si="8"/>
        <v>V0098</v>
      </c>
      <c r="C99" t="str" cm="1">
        <f t="array" aca="1" ref="C99" ca="1">INDEX({"Laptop";"Souris";"Clavier";"Écran";"Casque";"Tablette";"Imprimante";"Disque dur";"RAM";"Carte graphique"},RANDBETWEEN(1,10))</f>
        <v>Laptop</v>
      </c>
      <c r="D99" t="str" cm="1">
        <f t="array" aca="1" ref="D99" ca="1">INDEX({"Informatique";"Accessoires";"Périphériques";"Stockage";"Audio"},RANDBETWEEN(1,5))</f>
        <v>Audio</v>
      </c>
      <c r="E99" t="str" cm="1">
        <f t="array" aca="1" ref="E99" ca="1">INDEX({"Awa Ndiaye";"Mamadou Diop";"Fatou Fall";"Cheikh Ba";"Mariama Sow";"Ousmane Ndiaye";"Sokhna Diallo";"Abdoulaye Gueye"},RANDBETWEEN(1,8))</f>
        <v>Cheikh Ba</v>
      </c>
      <c r="F99">
        <f t="shared" ca="1" si="9"/>
        <v>1</v>
      </c>
      <c r="G99" s="12">
        <f t="shared" ca="1" si="10"/>
        <v>101303</v>
      </c>
      <c r="H99" s="12">
        <f ca="1">tblVentes[[#This Row],[Prix_Unitaire]]*tblVentes[[#This Row],[Quantité]]</f>
        <v>101303</v>
      </c>
      <c r="I99" s="7">
        <f t="shared" ca="1" si="6"/>
        <v>6.7653986527943952E-2</v>
      </c>
      <c r="J99" s="15">
        <f ca="1">tblVentes[[#This Row],[Chiffre_Affaires]]*(1-tblVentes[[#This Row],[Remise]])</f>
        <v>94449.448202759697</v>
      </c>
    </row>
    <row r="100" spans="1:10" x14ac:dyDescent="0.45">
      <c r="A100" s="1">
        <f t="shared" ca="1" si="7"/>
        <v>46291</v>
      </c>
      <c r="B100" t="str">
        <f t="shared" si="8"/>
        <v>V0099</v>
      </c>
      <c r="C100" t="str" cm="1">
        <f t="array" aca="1" ref="C100" ca="1">INDEX({"Laptop";"Souris";"Clavier";"Écran";"Casque";"Tablette";"Imprimante";"Disque dur";"RAM";"Carte graphique"},RANDBETWEEN(1,10))</f>
        <v>Souris</v>
      </c>
      <c r="D100" t="str" cm="1">
        <f t="array" aca="1" ref="D100" ca="1">INDEX({"Informatique";"Accessoires";"Périphériques";"Stockage";"Audio"},RANDBETWEEN(1,5))</f>
        <v>Périphériques</v>
      </c>
      <c r="E100" t="str" cm="1">
        <f t="array" aca="1" ref="E100" ca="1">INDEX({"Awa Ndiaye";"Mamadou Diop";"Fatou Fall";"Cheikh Ba";"Mariama Sow";"Ousmane Ndiaye";"Sokhna Diallo";"Abdoulaye Gueye"},RANDBETWEEN(1,8))</f>
        <v>Fatou Fall</v>
      </c>
      <c r="F100">
        <f t="shared" ca="1" si="9"/>
        <v>3</v>
      </c>
      <c r="G100" s="12">
        <f t="shared" ca="1" si="10"/>
        <v>286824</v>
      </c>
      <c r="H100" s="12">
        <f ca="1">tblVentes[[#This Row],[Prix_Unitaire]]*tblVentes[[#This Row],[Quantité]]</f>
        <v>860472</v>
      </c>
      <c r="I100" s="7">
        <f t="shared" ca="1" si="6"/>
        <v>4.746989390025759E-2</v>
      </c>
      <c r="J100" s="15">
        <f ca="1">tblVentes[[#This Row],[Chiffre_Affaires]]*(1-tblVentes[[#This Row],[Remise]])</f>
        <v>819625.48545585759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Pratique_Tableaux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2026-08-31T13:20:28Z</dcterms:created>
  <dcterms:modified xsi:type="dcterms:W3CDTF">2026-08-31T15:11:02Z</dcterms:modified>
</cp:coreProperties>
</file>