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1-recherche-v\exercices\"/>
    </mc:Choice>
  </mc:AlternateContent>
  <xr:revisionPtr revIDLastSave="0" documentId="13_ncr:1_{C0F1DA9D-FCE7-4DB2-A841-61313F6BFB37}" xr6:coauthVersionLast="47" xr6:coauthVersionMax="47" xr10:uidLastSave="{00000000-0000-0000-0000-000000000000}"/>
  <bookViews>
    <workbookView xWindow="-98" yWindow="-98" windowWidth="19396" windowHeight="10276" activeTab="2" xr2:uid="{7A606B5C-0F53-4AE6-ADB1-E4B0DD2C7C50}"/>
  </bookViews>
  <sheets>
    <sheet name="Feuil1" sheetId="1" r:id="rId1"/>
    <sheet name="Catalogue" sheetId="2" r:id="rId2"/>
    <sheet name="Recherche_Produi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20" i="3"/>
  <c r="B19" i="3"/>
  <c r="B16" i="3"/>
  <c r="B15" i="3"/>
  <c r="B14" i="3"/>
  <c r="B9" i="3"/>
  <c r="B10" i="3"/>
  <c r="B11" i="3"/>
  <c r="B6" i="3"/>
  <c r="B5" i="3"/>
  <c r="B4" i="3"/>
  <c r="B18" i="1"/>
  <c r="B19" i="1"/>
  <c r="B20" i="1"/>
  <c r="B21" i="1"/>
  <c r="B17" i="1"/>
  <c r="C14" i="1"/>
  <c r="C12" i="1"/>
  <c r="B14" i="1"/>
  <c r="C13" i="1"/>
  <c r="B13" i="1"/>
  <c r="B12" i="1"/>
  <c r="B11" i="1"/>
  <c r="C11" i="1"/>
  <c r="C10" i="1"/>
  <c r="B10" i="1"/>
</calcChain>
</file>

<file path=xl/sharedStrings.xml><?xml version="1.0" encoding="utf-8"?>
<sst xmlns="http://schemas.openxmlformats.org/spreadsheetml/2006/main" count="198" uniqueCount="118">
  <si>
    <t>Produit</t>
  </si>
  <si>
    <t>Prix</t>
  </si>
  <si>
    <t>P001</t>
  </si>
  <si>
    <t>Ordinateur</t>
  </si>
  <si>
    <t>P002</t>
  </si>
  <si>
    <t>Souris</t>
  </si>
  <si>
    <t>P003</t>
  </si>
  <si>
    <t>Clavier</t>
  </si>
  <si>
    <t>P004</t>
  </si>
  <si>
    <t>Écran</t>
  </si>
  <si>
    <t>P005</t>
  </si>
  <si>
    <t>Casque</t>
  </si>
  <si>
    <t>Product_ID</t>
  </si>
  <si>
    <t>P999</t>
  </si>
  <si>
    <t>Catégorie</t>
  </si>
  <si>
    <t>Laptop HP</t>
  </si>
  <si>
    <t>Informatique</t>
  </si>
  <si>
    <t>Souris Logitech</t>
  </si>
  <si>
    <t>Clavier mécanique</t>
  </si>
  <si>
    <t>Écran 24 pouces</t>
  </si>
  <si>
    <t>Casque Audio</t>
  </si>
  <si>
    <t>Audio</t>
  </si>
  <si>
    <t>P006</t>
  </si>
  <si>
    <t>Disque SSD 1To</t>
  </si>
  <si>
    <t>Stockage</t>
  </si>
  <si>
    <t>P007</t>
  </si>
  <si>
    <t>RAM 16Go</t>
  </si>
  <si>
    <t>P008</t>
  </si>
  <si>
    <t>Carte graphique</t>
  </si>
  <si>
    <t>P009</t>
  </si>
  <si>
    <t>Webcam HD</t>
  </si>
  <si>
    <t>Périphérique</t>
  </si>
  <si>
    <t>P010</t>
  </si>
  <si>
    <t>Microphone</t>
  </si>
  <si>
    <t>P011</t>
  </si>
  <si>
    <t>Tablette Graphique</t>
  </si>
  <si>
    <t>P012</t>
  </si>
  <si>
    <t>Routeur WiFi</t>
  </si>
  <si>
    <t>Réseau</t>
  </si>
  <si>
    <t>P013</t>
  </si>
  <si>
    <t>Switch réseau</t>
  </si>
  <si>
    <t>P014</t>
  </si>
  <si>
    <t>Disque dur externe</t>
  </si>
  <si>
    <t>P015</t>
  </si>
  <si>
    <t>Clé USB 64Go</t>
  </si>
  <si>
    <t>P016</t>
  </si>
  <si>
    <t>Batterie externe</t>
  </si>
  <si>
    <t>Accessoire</t>
  </si>
  <si>
    <t>P017</t>
  </si>
  <si>
    <t>Support écran</t>
  </si>
  <si>
    <t>P018</t>
  </si>
  <si>
    <t>Câble HDMI</t>
  </si>
  <si>
    <t>P019</t>
  </si>
  <si>
    <t>Adaptateur USB-C</t>
  </si>
  <si>
    <t>P020</t>
  </si>
  <si>
    <t>Station d'accueil</t>
  </si>
  <si>
    <t>P021</t>
  </si>
  <si>
    <t>Laptop Dell</t>
  </si>
  <si>
    <t>P022</t>
  </si>
  <si>
    <t>Écran 27 pouces</t>
  </si>
  <si>
    <t>P023</t>
  </si>
  <si>
    <t>Souris sans fil</t>
  </si>
  <si>
    <t>P024</t>
  </si>
  <si>
    <t>Clavier sans fil</t>
  </si>
  <si>
    <t>P025</t>
  </si>
  <si>
    <t>Enceinte Bluetooth</t>
  </si>
  <si>
    <t>P026</t>
  </si>
  <si>
    <t>Casque sans fil</t>
  </si>
  <si>
    <t>P027</t>
  </si>
  <si>
    <t>SSD externe 500Go</t>
  </si>
  <si>
    <t>P028</t>
  </si>
  <si>
    <t>Carte mémoire SD</t>
  </si>
  <si>
    <t>P029</t>
  </si>
  <si>
    <t>Hub USB</t>
  </si>
  <si>
    <t>P030</t>
  </si>
  <si>
    <t>Chargeur rapide</t>
  </si>
  <si>
    <t>P031</t>
  </si>
  <si>
    <t>Laptop Acer</t>
  </si>
  <si>
    <t>P032</t>
  </si>
  <si>
    <t>Écran 32 pouces</t>
  </si>
  <si>
    <t>P033</t>
  </si>
  <si>
    <t>Tapis souris</t>
  </si>
  <si>
    <t>P034</t>
  </si>
  <si>
    <t>Support laptop</t>
  </si>
  <si>
    <t>P035</t>
  </si>
  <si>
    <t>Enceinte connectée</t>
  </si>
  <si>
    <t>P036</t>
  </si>
  <si>
    <t>Micro-casque</t>
  </si>
  <si>
    <t>P037</t>
  </si>
  <si>
    <t>Disque NAS</t>
  </si>
  <si>
    <t>P038</t>
  </si>
  <si>
    <t>Carte WiFi</t>
  </si>
  <si>
    <t>P039</t>
  </si>
  <si>
    <t>Module Bluetooth</t>
  </si>
  <si>
    <t>P040</t>
  </si>
  <si>
    <t>Câble USB-C</t>
  </si>
  <si>
    <t>P041</t>
  </si>
  <si>
    <t>Adaptateur VGA</t>
  </si>
  <si>
    <t>P042</t>
  </si>
  <si>
    <t>Laptop Lenovo</t>
  </si>
  <si>
    <t>P043</t>
  </si>
  <si>
    <t>Écran tactile</t>
  </si>
  <si>
    <t>P044</t>
  </si>
  <si>
    <t>Clavier ergonomique</t>
  </si>
  <si>
    <t>P045</t>
  </si>
  <si>
    <t>Souris verticale</t>
  </si>
  <si>
    <t>P046</t>
  </si>
  <si>
    <t>Soundbar</t>
  </si>
  <si>
    <t>P047</t>
  </si>
  <si>
    <t>Disque SSD 2To</t>
  </si>
  <si>
    <t>P048</t>
  </si>
  <si>
    <t>RAM 32Go</t>
  </si>
  <si>
    <t>P049</t>
  </si>
  <si>
    <t>Routeur 5G</t>
  </si>
  <si>
    <t>P050</t>
  </si>
  <si>
    <t>Switch PoE</t>
  </si>
  <si>
    <t>Categorie</t>
  </si>
  <si>
    <t>🔍 RECHERCHE DE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</si>
</sst>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5" tint="-0.499984740745262"/>
      <name val="Times New Roman"/>
      <family val="1"/>
    </font>
    <font>
      <sz val="11"/>
      <color theme="5" tint="-0.49998474074526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EAA3-7577-4AB3-B7A4-9669FA8D5121}">
  <dimension ref="A1:C21"/>
  <sheetViews>
    <sheetView topLeftCell="A3" zoomScaleNormal="100" workbookViewId="0">
      <selection activeCell="C16" sqref="C16"/>
    </sheetView>
  </sheetViews>
  <sheetFormatPr baseColWidth="10" defaultRowHeight="14.25" x14ac:dyDescent="0.45"/>
  <cols>
    <col min="1" max="1" width="11.86328125" customWidth="1"/>
    <col min="2" max="2" width="11.73046875" customWidth="1"/>
  </cols>
  <sheetData>
    <row r="1" spans="1:3" ht="15.4" x14ac:dyDescent="0.45">
      <c r="A1" s="2" t="s">
        <v>12</v>
      </c>
      <c r="B1" s="2" t="s">
        <v>0</v>
      </c>
      <c r="C1" s="2" t="s">
        <v>1</v>
      </c>
    </row>
    <row r="2" spans="1:3" x14ac:dyDescent="0.45">
      <c r="A2" s="1" t="s">
        <v>2</v>
      </c>
      <c r="B2" s="1" t="s">
        <v>3</v>
      </c>
      <c r="C2" s="1">
        <v>450000</v>
      </c>
    </row>
    <row r="3" spans="1:3" x14ac:dyDescent="0.45">
      <c r="A3" s="1" t="s">
        <v>4</v>
      </c>
      <c r="B3" s="1" t="s">
        <v>5</v>
      </c>
      <c r="C3" s="1">
        <v>15000</v>
      </c>
    </row>
    <row r="4" spans="1:3" x14ac:dyDescent="0.45">
      <c r="A4" s="1" t="s">
        <v>6</v>
      </c>
      <c r="B4" s="1" t="s">
        <v>7</v>
      </c>
      <c r="C4" s="1">
        <v>25000</v>
      </c>
    </row>
    <row r="5" spans="1:3" x14ac:dyDescent="0.45">
      <c r="A5" s="1" t="s">
        <v>8</v>
      </c>
      <c r="B5" s="1" t="s">
        <v>9</v>
      </c>
      <c r="C5" s="1">
        <v>120000</v>
      </c>
    </row>
    <row r="6" spans="1:3" x14ac:dyDescent="0.45">
      <c r="A6" s="1" t="s">
        <v>10</v>
      </c>
      <c r="B6" s="1" t="s">
        <v>11</v>
      </c>
      <c r="C6" s="1">
        <v>30000</v>
      </c>
    </row>
    <row r="10" spans="1:3" x14ac:dyDescent="0.45">
      <c r="A10" s="1" t="s">
        <v>6</v>
      </c>
      <c r="B10" t="str">
        <f>VLOOKUP(A10,A2:C6,2,FALSE)</f>
        <v>Clavier</v>
      </c>
      <c r="C10">
        <f>VLOOKUP(A10,A2:C6,3,FALSE)</f>
        <v>25000</v>
      </c>
    </row>
    <row r="11" spans="1:3" x14ac:dyDescent="0.45">
      <c r="A11" s="1" t="s">
        <v>2</v>
      </c>
      <c r="B11" t="str">
        <f>VLOOKUP(A11,A2:C6,2,FALSE)</f>
        <v>Ordinateur</v>
      </c>
      <c r="C11">
        <f>VLOOKUP(A11,A2:C6,3,FALSE)</f>
        <v>450000</v>
      </c>
    </row>
    <row r="12" spans="1:3" x14ac:dyDescent="0.45">
      <c r="A12" t="s">
        <v>8</v>
      </c>
      <c r="B12" t="str">
        <f>VLOOKUP(A12,A2:C6,2,FALSE)</f>
        <v>Écran</v>
      </c>
      <c r="C12">
        <f>VLOOKUP(A12,A2:C6,3,FALSE)</f>
        <v>120000</v>
      </c>
    </row>
    <row r="13" spans="1:3" x14ac:dyDescent="0.45">
      <c r="A13" s="3" t="s">
        <v>13</v>
      </c>
      <c r="B13" t="e">
        <f>VLOOKUP(A13,A2:C6,2,FALSE)</f>
        <v>#N/A</v>
      </c>
      <c r="C13" t="e">
        <f>VLOOKUP(A13,A2:C6,2,FALSE)</f>
        <v>#N/A</v>
      </c>
    </row>
    <row r="14" spans="1:3" x14ac:dyDescent="0.45">
      <c r="A14" s="1" t="s">
        <v>4</v>
      </c>
      <c r="B14" t="str">
        <f>VLOOKUP(A14,A2:C6,2,FALSE)</f>
        <v>Souris</v>
      </c>
      <c r="C14">
        <f>VLOOKUP(A14,A2:C6,3,FALSE)</f>
        <v>15000</v>
      </c>
    </row>
    <row r="17" spans="1:2" x14ac:dyDescent="0.45">
      <c r="A17" t="s">
        <v>2</v>
      </c>
      <c r="B17" t="str">
        <f>VLOOKUP(A17,$A$2:$C$6,2,FALSE)</f>
        <v>Ordinateur</v>
      </c>
    </row>
    <row r="18" spans="1:2" x14ac:dyDescent="0.45">
      <c r="A18" t="s">
        <v>6</v>
      </c>
      <c r="B18" t="str">
        <f t="shared" ref="B18:B21" si="0">VLOOKUP(A18,$A$2:$C$6,2,FALSE)</f>
        <v>Clavier</v>
      </c>
    </row>
    <row r="19" spans="1:2" x14ac:dyDescent="0.45">
      <c r="A19" t="s">
        <v>10</v>
      </c>
      <c r="B19" t="str">
        <f t="shared" si="0"/>
        <v>Casque</v>
      </c>
    </row>
    <row r="20" spans="1:2" x14ac:dyDescent="0.45">
      <c r="A20" t="s">
        <v>4</v>
      </c>
      <c r="B20" t="str">
        <f t="shared" si="0"/>
        <v>Souris</v>
      </c>
    </row>
    <row r="21" spans="1:2" x14ac:dyDescent="0.45">
      <c r="A21" t="s">
        <v>8</v>
      </c>
      <c r="B21" t="str">
        <f t="shared" si="0"/>
        <v>Écran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A8D3-521D-42FA-A235-6E2B568B7AA5}">
  <dimension ref="A1:D51"/>
  <sheetViews>
    <sheetView workbookViewId="0">
      <selection activeCell="A16" sqref="A16"/>
    </sheetView>
  </sheetViews>
  <sheetFormatPr baseColWidth="10" defaultRowHeight="14.25" x14ac:dyDescent="0.45"/>
  <cols>
    <col min="2" max="2" width="16.86328125" bestFit="1" customWidth="1"/>
    <col min="3" max="3" width="10.796875" bestFit="1" customWidth="1"/>
  </cols>
  <sheetData>
    <row r="1" spans="1:4" x14ac:dyDescent="0.45">
      <c r="A1" t="s">
        <v>12</v>
      </c>
      <c r="B1" t="s">
        <v>0</v>
      </c>
      <c r="C1" t="s">
        <v>14</v>
      </c>
      <c r="D1" t="s">
        <v>1</v>
      </c>
    </row>
    <row r="2" spans="1:4" x14ac:dyDescent="0.45">
      <c r="A2" t="s">
        <v>2</v>
      </c>
      <c r="B2" t="s">
        <v>15</v>
      </c>
      <c r="C2" t="s">
        <v>16</v>
      </c>
      <c r="D2">
        <v>450000</v>
      </c>
    </row>
    <row r="3" spans="1:4" x14ac:dyDescent="0.45">
      <c r="A3" t="s">
        <v>4</v>
      </c>
      <c r="B3" t="s">
        <v>17</v>
      </c>
      <c r="C3" t="s">
        <v>16</v>
      </c>
      <c r="D3">
        <v>15000</v>
      </c>
    </row>
    <row r="4" spans="1:4" x14ac:dyDescent="0.45">
      <c r="A4" t="s">
        <v>6</v>
      </c>
      <c r="B4" t="s">
        <v>18</v>
      </c>
      <c r="C4" t="s">
        <v>16</v>
      </c>
      <c r="D4">
        <v>45000</v>
      </c>
    </row>
    <row r="5" spans="1:4" x14ac:dyDescent="0.45">
      <c r="A5" t="s">
        <v>8</v>
      </c>
      <c r="B5" t="s">
        <v>19</v>
      </c>
      <c r="C5" t="s">
        <v>16</v>
      </c>
      <c r="D5">
        <v>120000</v>
      </c>
    </row>
    <row r="6" spans="1:4" x14ac:dyDescent="0.45">
      <c r="A6" t="s">
        <v>10</v>
      </c>
      <c r="B6" t="s">
        <v>20</v>
      </c>
      <c r="C6" t="s">
        <v>21</v>
      </c>
      <c r="D6">
        <v>30000</v>
      </c>
    </row>
    <row r="7" spans="1:4" x14ac:dyDescent="0.45">
      <c r="A7" t="s">
        <v>22</v>
      </c>
      <c r="B7" t="s">
        <v>23</v>
      </c>
      <c r="C7" t="s">
        <v>24</v>
      </c>
      <c r="D7">
        <v>85000</v>
      </c>
    </row>
    <row r="8" spans="1:4" x14ac:dyDescent="0.45">
      <c r="A8" t="s">
        <v>25</v>
      </c>
      <c r="B8" t="s">
        <v>26</v>
      </c>
      <c r="C8" t="s">
        <v>16</v>
      </c>
      <c r="D8">
        <v>55000</v>
      </c>
    </row>
    <row r="9" spans="1:4" x14ac:dyDescent="0.45">
      <c r="A9" t="s">
        <v>27</v>
      </c>
      <c r="B9" t="s">
        <v>28</v>
      </c>
      <c r="C9" t="s">
        <v>16</v>
      </c>
      <c r="D9">
        <v>180000</v>
      </c>
    </row>
    <row r="10" spans="1:4" x14ac:dyDescent="0.45">
      <c r="A10" t="s">
        <v>29</v>
      </c>
      <c r="B10" t="s">
        <v>30</v>
      </c>
      <c r="C10" t="s">
        <v>31</v>
      </c>
      <c r="D10">
        <v>35000</v>
      </c>
    </row>
    <row r="11" spans="1:4" x14ac:dyDescent="0.45">
      <c r="A11" t="s">
        <v>32</v>
      </c>
      <c r="B11" t="s">
        <v>33</v>
      </c>
      <c r="C11" t="s">
        <v>21</v>
      </c>
      <c r="D11">
        <v>25000</v>
      </c>
    </row>
    <row r="12" spans="1:4" x14ac:dyDescent="0.45">
      <c r="A12" t="s">
        <v>34</v>
      </c>
      <c r="B12" t="s">
        <v>35</v>
      </c>
      <c r="C12" t="s">
        <v>31</v>
      </c>
      <c r="D12">
        <v>65000</v>
      </c>
    </row>
    <row r="13" spans="1:4" x14ac:dyDescent="0.45">
      <c r="A13" t="s">
        <v>36</v>
      </c>
      <c r="B13" t="s">
        <v>37</v>
      </c>
      <c r="C13" t="s">
        <v>38</v>
      </c>
      <c r="D13">
        <v>40000</v>
      </c>
    </row>
    <row r="14" spans="1:4" x14ac:dyDescent="0.45">
      <c r="A14" t="s">
        <v>39</v>
      </c>
      <c r="B14" t="s">
        <v>40</v>
      </c>
      <c r="C14" t="s">
        <v>38</v>
      </c>
      <c r="D14">
        <v>55000</v>
      </c>
    </row>
    <row r="15" spans="1:4" x14ac:dyDescent="0.45">
      <c r="A15" t="s">
        <v>41</v>
      </c>
      <c r="B15" t="s">
        <v>42</v>
      </c>
      <c r="C15" t="s">
        <v>24</v>
      </c>
      <c r="D15">
        <v>75000</v>
      </c>
    </row>
    <row r="16" spans="1:4" x14ac:dyDescent="0.45">
      <c r="A16" t="s">
        <v>43</v>
      </c>
      <c r="B16" t="s">
        <v>44</v>
      </c>
      <c r="C16" t="s">
        <v>24</v>
      </c>
      <c r="D16">
        <v>12000</v>
      </c>
    </row>
    <row r="17" spans="1:4" x14ac:dyDescent="0.45">
      <c r="A17" t="s">
        <v>45</v>
      </c>
      <c r="B17" t="s">
        <v>46</v>
      </c>
      <c r="C17" t="s">
        <v>47</v>
      </c>
      <c r="D17">
        <v>28000</v>
      </c>
    </row>
    <row r="18" spans="1:4" x14ac:dyDescent="0.45">
      <c r="A18" t="s">
        <v>48</v>
      </c>
      <c r="B18" t="s">
        <v>49</v>
      </c>
      <c r="C18" t="s">
        <v>47</v>
      </c>
      <c r="D18">
        <v>18000</v>
      </c>
    </row>
    <row r="19" spans="1:4" x14ac:dyDescent="0.45">
      <c r="A19" t="s">
        <v>50</v>
      </c>
      <c r="B19" t="s">
        <v>51</v>
      </c>
      <c r="C19" t="s">
        <v>47</v>
      </c>
      <c r="D19">
        <v>8000</v>
      </c>
    </row>
    <row r="20" spans="1:4" x14ac:dyDescent="0.45">
      <c r="A20" t="s">
        <v>52</v>
      </c>
      <c r="B20" t="s">
        <v>53</v>
      </c>
      <c r="C20" t="s">
        <v>47</v>
      </c>
      <c r="D20">
        <v>10000</v>
      </c>
    </row>
    <row r="21" spans="1:4" x14ac:dyDescent="0.45">
      <c r="A21" t="s">
        <v>54</v>
      </c>
      <c r="B21" t="s">
        <v>55</v>
      </c>
      <c r="C21" t="s">
        <v>31</v>
      </c>
      <c r="D21">
        <v>95000</v>
      </c>
    </row>
    <row r="22" spans="1:4" x14ac:dyDescent="0.45">
      <c r="A22" t="s">
        <v>56</v>
      </c>
      <c r="B22" t="s">
        <v>57</v>
      </c>
      <c r="C22" t="s">
        <v>16</v>
      </c>
      <c r="D22">
        <v>520000</v>
      </c>
    </row>
    <row r="23" spans="1:4" x14ac:dyDescent="0.45">
      <c r="A23" t="s">
        <v>58</v>
      </c>
      <c r="B23" t="s">
        <v>59</v>
      </c>
      <c r="C23" t="s">
        <v>16</v>
      </c>
      <c r="D23">
        <v>150000</v>
      </c>
    </row>
    <row r="24" spans="1:4" x14ac:dyDescent="0.45">
      <c r="A24" t="s">
        <v>60</v>
      </c>
      <c r="B24" t="s">
        <v>61</v>
      </c>
      <c r="C24" t="s">
        <v>16</v>
      </c>
      <c r="D24">
        <v>18000</v>
      </c>
    </row>
    <row r="25" spans="1:4" x14ac:dyDescent="0.45">
      <c r="A25" t="s">
        <v>62</v>
      </c>
      <c r="B25" t="s">
        <v>63</v>
      </c>
      <c r="C25" t="s">
        <v>16</v>
      </c>
      <c r="D25">
        <v>25000</v>
      </c>
    </row>
    <row r="26" spans="1:4" x14ac:dyDescent="0.45">
      <c r="A26" t="s">
        <v>64</v>
      </c>
      <c r="B26" t="s">
        <v>65</v>
      </c>
      <c r="C26" t="s">
        <v>21</v>
      </c>
      <c r="D26">
        <v>45000</v>
      </c>
    </row>
    <row r="27" spans="1:4" x14ac:dyDescent="0.45">
      <c r="A27" t="s">
        <v>66</v>
      </c>
      <c r="B27" t="s">
        <v>67</v>
      </c>
      <c r="C27" t="s">
        <v>21</v>
      </c>
      <c r="D27">
        <v>65000</v>
      </c>
    </row>
    <row r="28" spans="1:4" x14ac:dyDescent="0.45">
      <c r="A28" t="s">
        <v>68</v>
      </c>
      <c r="B28" t="s">
        <v>69</v>
      </c>
      <c r="C28" t="s">
        <v>24</v>
      </c>
      <c r="D28">
        <v>65000</v>
      </c>
    </row>
    <row r="29" spans="1:4" x14ac:dyDescent="0.45">
      <c r="A29" t="s">
        <v>70</v>
      </c>
      <c r="B29" t="s">
        <v>71</v>
      </c>
      <c r="C29" t="s">
        <v>24</v>
      </c>
      <c r="D29">
        <v>8000</v>
      </c>
    </row>
    <row r="30" spans="1:4" x14ac:dyDescent="0.45">
      <c r="A30" t="s">
        <v>72</v>
      </c>
      <c r="B30" t="s">
        <v>73</v>
      </c>
      <c r="C30" t="s">
        <v>47</v>
      </c>
      <c r="D30">
        <v>15000</v>
      </c>
    </row>
    <row r="31" spans="1:4" x14ac:dyDescent="0.45">
      <c r="A31" t="s">
        <v>74</v>
      </c>
      <c r="B31" t="s">
        <v>75</v>
      </c>
      <c r="C31" t="s">
        <v>47</v>
      </c>
      <c r="D31">
        <v>12000</v>
      </c>
    </row>
    <row r="32" spans="1:4" x14ac:dyDescent="0.45">
      <c r="A32" t="s">
        <v>76</v>
      </c>
      <c r="B32" t="s">
        <v>77</v>
      </c>
      <c r="C32" t="s">
        <v>16</v>
      </c>
      <c r="D32">
        <v>480000</v>
      </c>
    </row>
    <row r="33" spans="1:4" x14ac:dyDescent="0.45">
      <c r="A33" t="s">
        <v>78</v>
      </c>
      <c r="B33" t="s">
        <v>79</v>
      </c>
      <c r="C33" t="s">
        <v>16</v>
      </c>
      <c r="D33">
        <v>180000</v>
      </c>
    </row>
    <row r="34" spans="1:4" x14ac:dyDescent="0.45">
      <c r="A34" t="s">
        <v>80</v>
      </c>
      <c r="B34" t="s">
        <v>81</v>
      </c>
      <c r="C34" t="s">
        <v>47</v>
      </c>
      <c r="D34">
        <v>5000</v>
      </c>
    </row>
    <row r="35" spans="1:4" x14ac:dyDescent="0.45">
      <c r="A35" t="s">
        <v>82</v>
      </c>
      <c r="B35" t="s">
        <v>83</v>
      </c>
      <c r="C35" t="s">
        <v>47</v>
      </c>
      <c r="D35">
        <v>15000</v>
      </c>
    </row>
    <row r="36" spans="1:4" x14ac:dyDescent="0.45">
      <c r="A36" t="s">
        <v>84</v>
      </c>
      <c r="B36" t="s">
        <v>85</v>
      </c>
      <c r="C36" t="s">
        <v>21</v>
      </c>
      <c r="D36">
        <v>85000</v>
      </c>
    </row>
    <row r="37" spans="1:4" x14ac:dyDescent="0.45">
      <c r="A37" t="s">
        <v>86</v>
      </c>
      <c r="B37" t="s">
        <v>87</v>
      </c>
      <c r="C37" t="s">
        <v>21</v>
      </c>
      <c r="D37">
        <v>35000</v>
      </c>
    </row>
    <row r="38" spans="1:4" x14ac:dyDescent="0.45">
      <c r="A38" t="s">
        <v>88</v>
      </c>
      <c r="B38" t="s">
        <v>89</v>
      </c>
      <c r="C38" t="s">
        <v>24</v>
      </c>
      <c r="D38">
        <v>120000</v>
      </c>
    </row>
    <row r="39" spans="1:4" x14ac:dyDescent="0.45">
      <c r="A39" t="s">
        <v>90</v>
      </c>
      <c r="B39" t="s">
        <v>91</v>
      </c>
      <c r="C39" t="s">
        <v>38</v>
      </c>
      <c r="D39">
        <v>25000</v>
      </c>
    </row>
    <row r="40" spans="1:4" x14ac:dyDescent="0.45">
      <c r="A40" t="s">
        <v>92</v>
      </c>
      <c r="B40" t="s">
        <v>93</v>
      </c>
      <c r="C40" t="s">
        <v>38</v>
      </c>
      <c r="D40">
        <v>15000</v>
      </c>
    </row>
    <row r="41" spans="1:4" x14ac:dyDescent="0.45">
      <c r="A41" t="s">
        <v>94</v>
      </c>
      <c r="B41" t="s">
        <v>95</v>
      </c>
      <c r="C41" t="s">
        <v>47</v>
      </c>
      <c r="D41">
        <v>5000</v>
      </c>
    </row>
    <row r="42" spans="1:4" x14ac:dyDescent="0.45">
      <c r="A42" t="s">
        <v>96</v>
      </c>
      <c r="B42" t="s">
        <v>97</v>
      </c>
      <c r="C42" t="s">
        <v>47</v>
      </c>
      <c r="D42">
        <v>8000</v>
      </c>
    </row>
    <row r="43" spans="1:4" x14ac:dyDescent="0.45">
      <c r="A43" t="s">
        <v>98</v>
      </c>
      <c r="B43" t="s">
        <v>99</v>
      </c>
      <c r="C43" t="s">
        <v>16</v>
      </c>
      <c r="D43">
        <v>490000</v>
      </c>
    </row>
    <row r="44" spans="1:4" x14ac:dyDescent="0.45">
      <c r="A44" t="s">
        <v>100</v>
      </c>
      <c r="B44" t="s">
        <v>101</v>
      </c>
      <c r="C44" t="s">
        <v>16</v>
      </c>
      <c r="D44">
        <v>200000</v>
      </c>
    </row>
    <row r="45" spans="1:4" x14ac:dyDescent="0.45">
      <c r="A45" t="s">
        <v>102</v>
      </c>
      <c r="B45" t="s">
        <v>103</v>
      </c>
      <c r="C45" t="s">
        <v>16</v>
      </c>
      <c r="D45">
        <v>55000</v>
      </c>
    </row>
    <row r="46" spans="1:4" x14ac:dyDescent="0.45">
      <c r="A46" t="s">
        <v>104</v>
      </c>
      <c r="B46" t="s">
        <v>105</v>
      </c>
      <c r="C46" t="s">
        <v>16</v>
      </c>
      <c r="D46">
        <v>25000</v>
      </c>
    </row>
    <row r="47" spans="1:4" x14ac:dyDescent="0.45">
      <c r="A47" t="s">
        <v>106</v>
      </c>
      <c r="B47" t="s">
        <v>107</v>
      </c>
      <c r="C47" t="s">
        <v>21</v>
      </c>
      <c r="D47">
        <v>95000</v>
      </c>
    </row>
    <row r="48" spans="1:4" x14ac:dyDescent="0.45">
      <c r="A48" t="s">
        <v>108</v>
      </c>
      <c r="B48" t="s">
        <v>109</v>
      </c>
      <c r="C48" t="s">
        <v>24</v>
      </c>
      <c r="D48">
        <v>150000</v>
      </c>
    </row>
    <row r="49" spans="1:4" x14ac:dyDescent="0.45">
      <c r="A49" t="s">
        <v>110</v>
      </c>
      <c r="B49" t="s">
        <v>111</v>
      </c>
      <c r="C49" t="s">
        <v>16</v>
      </c>
      <c r="D49">
        <v>95000</v>
      </c>
    </row>
    <row r="50" spans="1:4" x14ac:dyDescent="0.45">
      <c r="A50" t="s">
        <v>112</v>
      </c>
      <c r="B50" t="s">
        <v>113</v>
      </c>
      <c r="C50" t="s">
        <v>38</v>
      </c>
      <c r="D50">
        <v>65000</v>
      </c>
    </row>
    <row r="51" spans="1:4" x14ac:dyDescent="0.45">
      <c r="A51" t="s">
        <v>114</v>
      </c>
      <c r="B51" t="s">
        <v>115</v>
      </c>
      <c r="C51" t="s">
        <v>38</v>
      </c>
      <c r="D51">
        <v>75000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3EA3-E955-4A64-91A0-DD2A872330C8}">
  <dimension ref="A1:E21"/>
  <sheetViews>
    <sheetView tabSelected="1" workbookViewId="0">
      <selection activeCell="E12" sqref="E12"/>
    </sheetView>
  </sheetViews>
  <sheetFormatPr baseColWidth="10" defaultRowHeight="14.25" x14ac:dyDescent="0.45"/>
  <cols>
    <col min="2" max="2" width="11.3984375" bestFit="1" customWidth="1"/>
  </cols>
  <sheetData>
    <row r="1" spans="1:5" x14ac:dyDescent="0.45">
      <c r="A1" s="4" t="s">
        <v>117</v>
      </c>
      <c r="B1" s="5"/>
      <c r="C1" s="5"/>
    </row>
    <row r="3" spans="1:5" x14ac:dyDescent="0.45">
      <c r="A3" t="s">
        <v>12</v>
      </c>
      <c r="B3" t="s">
        <v>2</v>
      </c>
    </row>
    <row r="4" spans="1:5" x14ac:dyDescent="0.45">
      <c r="A4" s="3" t="s">
        <v>0</v>
      </c>
      <c r="B4" s="3" t="str">
        <f>VLOOKUP(B3,Catalogue!A:D,2,FALSE)</f>
        <v>Laptop HP</v>
      </c>
      <c r="D4" s="3"/>
      <c r="E4" s="3"/>
    </row>
    <row r="5" spans="1:5" x14ac:dyDescent="0.45">
      <c r="A5" t="s">
        <v>116</v>
      </c>
      <c r="B5" t="str">
        <f>VLOOKUP(B3,Catalogue!A:D,3,FALSE)</f>
        <v>Informatique</v>
      </c>
    </row>
    <row r="6" spans="1:5" x14ac:dyDescent="0.45">
      <c r="A6" t="s">
        <v>1</v>
      </c>
      <c r="B6">
        <f>VLOOKUP(B3,Catalogue!A:D,4,FALSE)</f>
        <v>450000</v>
      </c>
    </row>
    <row r="8" spans="1:5" x14ac:dyDescent="0.45">
      <c r="A8" t="s">
        <v>12</v>
      </c>
      <c r="B8" t="s">
        <v>10</v>
      </c>
    </row>
    <row r="9" spans="1:5" x14ac:dyDescent="0.45">
      <c r="A9" s="3" t="s">
        <v>0</v>
      </c>
      <c r="B9" s="3" t="str">
        <f>VLOOKUP(B8,Catalogue!A:D,2,FALSE)</f>
        <v>Casque Audio</v>
      </c>
    </row>
    <row r="10" spans="1:5" x14ac:dyDescent="0.45">
      <c r="A10" t="s">
        <v>116</v>
      </c>
      <c r="B10" t="str">
        <f>VLOOKUP(B8,Catalogue!A:D,3,FALSE)</f>
        <v>Audio</v>
      </c>
    </row>
    <row r="11" spans="1:5" x14ac:dyDescent="0.45">
      <c r="A11" t="s">
        <v>1</v>
      </c>
      <c r="B11">
        <f>VLOOKUP(B8,Catalogue!A:D,4,FALSE)</f>
        <v>30000</v>
      </c>
    </row>
    <row r="13" spans="1:5" x14ac:dyDescent="0.45">
      <c r="A13" t="s">
        <v>12</v>
      </c>
      <c r="B13" t="s">
        <v>32</v>
      </c>
    </row>
    <row r="14" spans="1:5" x14ac:dyDescent="0.45">
      <c r="A14" s="3" t="s">
        <v>0</v>
      </c>
      <c r="B14" s="3" t="str">
        <f>VLOOKUP(B13,Catalogue!A:D,2,FALSE)</f>
        <v>Microphone</v>
      </c>
    </row>
    <row r="15" spans="1:5" x14ac:dyDescent="0.45">
      <c r="A15" t="s">
        <v>116</v>
      </c>
      <c r="B15" t="str">
        <f>VLOOKUP(B13,Catalogue!A:D,3,FALSE)</f>
        <v>Audio</v>
      </c>
    </row>
    <row r="16" spans="1:5" x14ac:dyDescent="0.45">
      <c r="A16" t="s">
        <v>1</v>
      </c>
      <c r="B16">
        <f>VLOOKUP(B13,Catalogue!A:D,4,FALSE)</f>
        <v>25000</v>
      </c>
    </row>
    <row r="18" spans="1:2" x14ac:dyDescent="0.45">
      <c r="A18" t="s">
        <v>12</v>
      </c>
      <c r="B18" t="s">
        <v>114</v>
      </c>
    </row>
    <row r="19" spans="1:2" x14ac:dyDescent="0.45">
      <c r="A19" s="3" t="s">
        <v>0</v>
      </c>
      <c r="B19" s="3" t="str">
        <f>VLOOKUP(B18,Catalogue!A:D,2,FALSE)</f>
        <v>Switch PoE</v>
      </c>
    </row>
    <row r="20" spans="1:2" x14ac:dyDescent="0.45">
      <c r="A20" t="s">
        <v>116</v>
      </c>
      <c r="B20" t="str">
        <f>VLOOKUP(B18,Catalogue!A:D,3,FALSE)</f>
        <v>Réseau</v>
      </c>
    </row>
    <row r="21" spans="1:2" x14ac:dyDescent="0.45">
      <c r="A21" t="s">
        <v>1</v>
      </c>
      <c r="B21">
        <f>VLOOKUP(B18,Catalogue!A:D,4,FALSE)</f>
        <v>75000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Catalogue</vt:lpstr>
      <vt:lpstr>Recherche_Produit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2026-08-29T12:36:11Z</dcterms:created>
  <dcterms:modified xsi:type="dcterms:W3CDTF">2026-08-29T14:25:19Z</dcterms:modified>
</cp:coreProperties>
</file>