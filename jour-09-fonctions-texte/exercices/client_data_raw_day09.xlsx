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9-fonctions-texte\exercices\"/>
    </mc:Choice>
  </mc:AlternateContent>
  <xr:revisionPtr revIDLastSave="0" documentId="13_ncr:1_{80CEBB10-CE8D-44B8-B1FE-E5D4A159E1D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ratique_Tex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nAonW6KKUCPNq1aUzG5OnKe0jgb1l3kKVXuZJOmax8=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9" i="1"/>
  <c r="L20" i="1"/>
  <c r="L21" i="1"/>
  <c r="L22" i="1"/>
  <c r="L23" i="1"/>
  <c r="L24" i="1"/>
  <c r="L25" i="1"/>
  <c r="L26" i="1"/>
  <c r="L2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<sst xmlns="http://schemas.openxmlformats.org/spreadsheetml/2006/main" count="715" uniqueCount="411">
  <si>
    <t>Client_ID</t>
  </si>
  <si>
    <t>Prenom</t>
  </si>
  <si>
    <t>Nom</t>
  </si>
  <si>
    <t>Email</t>
  </si>
  <si>
    <t>Telephone</t>
  </si>
  <si>
    <t>Ville</t>
  </si>
  <si>
    <t>Pays</t>
  </si>
  <si>
    <t>CLI-2026-0001</t>
  </si>
  <si>
    <t xml:space="preserve">  Alioune</t>
  </si>
  <si>
    <t xml:space="preserve">Fall  </t>
  </si>
  <si>
    <t>alioune.fall@example.com</t>
  </si>
  <si>
    <t>+221 77 675 4288</t>
  </si>
  <si>
    <t>Dakar</t>
  </si>
  <si>
    <t>Sénégal</t>
  </si>
  <si>
    <t>CLI-2026-0002</t>
  </si>
  <si>
    <t xml:space="preserve">Ndeye   </t>
  </si>
  <si>
    <t xml:space="preserve">  Diop</t>
  </si>
  <si>
    <t>ndeye.diop@example.com</t>
  </si>
  <si>
    <t>+221 77 678 4193</t>
  </si>
  <si>
    <t>Saint-Louis</t>
  </si>
  <si>
    <t>CLI-2026-0003</t>
  </si>
  <si>
    <t xml:space="preserve"> Abdoulaye </t>
  </si>
  <si>
    <t xml:space="preserve">  Mbaye  </t>
  </si>
  <si>
    <t>abdoulaye.mbaye@example.com</t>
  </si>
  <si>
    <t>+221 77 913 7490</t>
  </si>
  <si>
    <t>Ziguinchor</t>
  </si>
  <si>
    <t>CLI-2026-0004</t>
  </si>
  <si>
    <t>Aminata</t>
  </si>
  <si>
    <t>Sarr</t>
  </si>
  <si>
    <t>aminata.sarr@example.com</t>
  </si>
  <si>
    <t>+221 77 188 3684</t>
  </si>
  <si>
    <t>Kaolack</t>
  </si>
  <si>
    <t>CLI-2026-0005</t>
  </si>
  <si>
    <t xml:space="preserve">  Aminata</t>
  </si>
  <si>
    <t xml:space="preserve">Cisse  </t>
  </si>
  <si>
    <t>aminata.cisse@example.com</t>
  </si>
  <si>
    <t>+221 77 926 3542</t>
  </si>
  <si>
    <t>CLI-2026-0006</t>
  </si>
  <si>
    <t xml:space="preserve">Cheikh   </t>
  </si>
  <si>
    <t xml:space="preserve">  Faye</t>
  </si>
  <si>
    <t>cheikh.faye@example.com</t>
  </si>
  <si>
    <t>+221 77 206 5635</t>
  </si>
  <si>
    <t>CLI-2026-0007</t>
  </si>
  <si>
    <t xml:space="preserve"> Cheikh </t>
  </si>
  <si>
    <t xml:space="preserve">  Sarr  </t>
  </si>
  <si>
    <t>cheikh.sarr@example.com</t>
  </si>
  <si>
    <t>+221 77 503 5140</t>
  </si>
  <si>
    <t>CLI-2026-0008</t>
  </si>
  <si>
    <t>Sokhna</t>
  </si>
  <si>
    <t>Fall</t>
  </si>
  <si>
    <t>sokhna.fall@example.com</t>
  </si>
  <si>
    <t>+221 77 231 3036</t>
  </si>
  <si>
    <t>Thiès</t>
  </si>
  <si>
    <t>CLI-2026-0009</t>
  </si>
  <si>
    <t xml:space="preserve">Sy  </t>
  </si>
  <si>
    <t>alioune.sy@example.com</t>
  </si>
  <si>
    <t>+221 77 487 3436</t>
  </si>
  <si>
    <t>CLI-2026-0010</t>
  </si>
  <si>
    <t xml:space="preserve">Ousmane   </t>
  </si>
  <si>
    <t xml:space="preserve">  Sarr</t>
  </si>
  <si>
    <t>ousmane.sarr@example.com</t>
  </si>
  <si>
    <t>+221 77 518 5028</t>
  </si>
  <si>
    <t>CLI-2026-0011</t>
  </si>
  <si>
    <t xml:space="preserve"> Moussa </t>
  </si>
  <si>
    <t xml:space="preserve">  Seck  </t>
  </si>
  <si>
    <t>moussa.seck@example.com</t>
  </si>
  <si>
    <t>+221 77 275 5297</t>
  </si>
  <si>
    <t>CLI-2026-0012</t>
  </si>
  <si>
    <t>Ibrahima</t>
  </si>
  <si>
    <t>Seck</t>
  </si>
  <si>
    <t>ibrahima.seck@example.com</t>
  </si>
  <si>
    <t>+221 77 696 3699</t>
  </si>
  <si>
    <t>CLI-2026-0013</t>
  </si>
  <si>
    <t xml:space="preserve">  Moussa</t>
  </si>
  <si>
    <t xml:space="preserve">Ba  </t>
  </si>
  <si>
    <t>moussa.ba@example.com</t>
  </si>
  <si>
    <t>+221 77 886 9611</t>
  </si>
  <si>
    <t>Touba</t>
  </si>
  <si>
    <t>CLI-2026-0014</t>
  </si>
  <si>
    <t xml:space="preserve">Moustapha   </t>
  </si>
  <si>
    <t xml:space="preserve">  Sy</t>
  </si>
  <si>
    <t>moustapha.sy@example.com</t>
  </si>
  <si>
    <t>+221 77 285 4105</t>
  </si>
  <si>
    <t>CLI-2026-0015</t>
  </si>
  <si>
    <t xml:space="preserve"> Ndeye </t>
  </si>
  <si>
    <t xml:space="preserve">  Cisse  </t>
  </si>
  <si>
    <t>ndeye.cisse@example.com</t>
  </si>
  <si>
    <t>+221 77 606 6354</t>
  </si>
  <si>
    <t>CLI-2026-0016</t>
  </si>
  <si>
    <t>Coumba</t>
  </si>
  <si>
    <t>Diallo</t>
  </si>
  <si>
    <t>coumba.diallo@example.com</t>
  </si>
  <si>
    <t>+221 77 103 3873</t>
  </si>
  <si>
    <t>CLI-26-0017</t>
  </si>
  <si>
    <t xml:space="preserve">  Coumba</t>
  </si>
  <si>
    <t xml:space="preserve">Ndour  </t>
  </si>
  <si>
    <t>coumba.ndour@example.com</t>
  </si>
  <si>
    <t>+221 77 382 1705</t>
  </si>
  <si>
    <t>CLI-2026-0018</t>
  </si>
  <si>
    <t xml:space="preserve">Khadija   </t>
  </si>
  <si>
    <t>khadija.diop@example.com</t>
  </si>
  <si>
    <t>+221 77 484 3050</t>
  </si>
  <si>
    <t>CLI-2026-0019</t>
  </si>
  <si>
    <t xml:space="preserve"> Mamadou </t>
  </si>
  <si>
    <t xml:space="preserve">  Kane  </t>
  </si>
  <si>
    <t>mamadou.kane@example.com</t>
  </si>
  <si>
    <t>+221 77 621 6639</t>
  </si>
  <si>
    <t>CLI-2026-0020</t>
  </si>
  <si>
    <t>aminata.fall@example.com</t>
  </si>
  <si>
    <t>+221 77 974 5935</t>
  </si>
  <si>
    <t>CLI-2026-0021</t>
  </si>
  <si>
    <t xml:space="preserve">  Ndeye</t>
  </si>
  <si>
    <t xml:space="preserve">Faye  </t>
  </si>
  <si>
    <t>ndeye.faye@example.com</t>
  </si>
  <si>
    <t>+221 77 434 4228</t>
  </si>
  <si>
    <t>CLI-2026-0022</t>
  </si>
  <si>
    <t xml:space="preserve">Coumba   </t>
  </si>
  <si>
    <t xml:space="preserve">  Ndour</t>
  </si>
  <si>
    <t>+221 77 869 5229</t>
  </si>
  <si>
    <t>CLI-2026-0023</t>
  </si>
  <si>
    <t xml:space="preserve"> Awa </t>
  </si>
  <si>
    <t xml:space="preserve">  Gueye  </t>
  </si>
  <si>
    <t>awa.gueye@example.com</t>
  </si>
  <si>
    <t>+221 77 618 9436</t>
  </si>
  <si>
    <t>CLI-2026-0024</t>
  </si>
  <si>
    <t>Mbaye</t>
  </si>
  <si>
    <t>coumba.mbaye@example.com</t>
  </si>
  <si>
    <t>+221 77 135 8145</t>
  </si>
  <si>
    <t>CLI-2026-0025</t>
  </si>
  <si>
    <t>+221 77 393 7542</t>
  </si>
  <si>
    <t>CLI-2026-0026</t>
  </si>
  <si>
    <t xml:space="preserve">  Sow</t>
  </si>
  <si>
    <t>ndeye.sow@example.com</t>
  </si>
  <si>
    <t>+221 77 257 9141</t>
  </si>
  <si>
    <t>CLI-2026-0027</t>
  </si>
  <si>
    <t xml:space="preserve"> Coumba </t>
  </si>
  <si>
    <t>coumba.cisse@example.com</t>
  </si>
  <si>
    <t>+221 77 152 3305</t>
  </si>
  <si>
    <t>CLI-2026-0028</t>
  </si>
  <si>
    <t>Astou</t>
  </si>
  <si>
    <t>Ndour</t>
  </si>
  <si>
    <t>astou.ndour@example.com</t>
  </si>
  <si>
    <t>+221 77 762 3827</t>
  </si>
  <si>
    <t>CLI-2026-0029</t>
  </si>
  <si>
    <t xml:space="preserve">  Astou</t>
  </si>
  <si>
    <t>astou.faye@example.com</t>
  </si>
  <si>
    <t>+221 77 474 2711</t>
  </si>
  <si>
    <t>CLI-2026-0030</t>
  </si>
  <si>
    <t>+221 77 950 8994</t>
  </si>
  <si>
    <t>CLIENT-2026-031</t>
  </si>
  <si>
    <t xml:space="preserve">  Faye  </t>
  </si>
  <si>
    <t>moussa.faye@example.com</t>
  </si>
  <si>
    <t>+221 77 244 1946</t>
  </si>
  <si>
    <t>CLI-2026-0032</t>
  </si>
  <si>
    <t>Pape</t>
  </si>
  <si>
    <t>Sow</t>
  </si>
  <si>
    <t>pape.sow@example.com</t>
  </si>
  <si>
    <t>+221 77 133 3679</t>
  </si>
  <si>
    <t>CLI-2026-0033</t>
  </si>
  <si>
    <t xml:space="preserve">Sow  </t>
  </si>
  <si>
    <t>moussa.sow@example.com</t>
  </si>
  <si>
    <t>+221 77 703 1537</t>
  </si>
  <si>
    <t>CLI-2026-0034</t>
  </si>
  <si>
    <t>+221 77 423 1115</t>
  </si>
  <si>
    <t>CLI-2026-0035</t>
  </si>
  <si>
    <t xml:space="preserve"> Alioune </t>
  </si>
  <si>
    <t>alioune.faye@example.com</t>
  </si>
  <si>
    <t>+221 77 541 6004</t>
  </si>
  <si>
    <t>CLI-2026-0036</t>
  </si>
  <si>
    <t>Cheikh</t>
  </si>
  <si>
    <t>Kane</t>
  </si>
  <si>
    <t>cheikh.kane@example.com</t>
  </si>
  <si>
    <t>+221 77 614 9013</t>
  </si>
  <si>
    <t>CLI-2026-0037</t>
  </si>
  <si>
    <t xml:space="preserve">  Sokhna</t>
  </si>
  <si>
    <t xml:space="preserve">Camara  </t>
  </si>
  <si>
    <t>sokhna.camara@example.com</t>
  </si>
  <si>
    <t>+221 77 269 3295</t>
  </si>
  <si>
    <t>CLI-2026-0038</t>
  </si>
  <si>
    <t xml:space="preserve">Pape   </t>
  </si>
  <si>
    <t xml:space="preserve">  Ba</t>
  </si>
  <si>
    <t>pape.ba@example.com</t>
  </si>
  <si>
    <t>+221 77 624 6750</t>
  </si>
  <si>
    <t>CLI-2026-0039</t>
  </si>
  <si>
    <t xml:space="preserve"> Fatou </t>
  </si>
  <si>
    <t>fatou.gueye@example.com</t>
  </si>
  <si>
    <t>+221 77 590 8082</t>
  </si>
  <si>
    <t>CLI-2026-0040</t>
  </si>
  <si>
    <t>Cisse</t>
  </si>
  <si>
    <t>pape.cisse@example.com</t>
  </si>
  <si>
    <t>+221 77 790 6393</t>
  </si>
  <si>
    <t>CLI-2026-0041</t>
  </si>
  <si>
    <t xml:space="preserve">  Babacar</t>
  </si>
  <si>
    <t xml:space="preserve">Sarr  </t>
  </si>
  <si>
    <t>babacar.sarr@example.com</t>
  </si>
  <si>
    <t>+221 77 221 8097</t>
  </si>
  <si>
    <t>CLI-26-0042</t>
  </si>
  <si>
    <t xml:space="preserve">  Fall</t>
  </si>
  <si>
    <t>cheikh.fall@example.com</t>
  </si>
  <si>
    <t>+221 77 230 7893</t>
  </si>
  <si>
    <t>CLI-2026-0043</t>
  </si>
  <si>
    <t xml:space="preserve"> Sokhna </t>
  </si>
  <si>
    <t xml:space="preserve">  Diop  </t>
  </si>
  <si>
    <t>sokhna.diop@example.com</t>
  </si>
  <si>
    <t>+221 77 645 6319</t>
  </si>
  <si>
    <t>CLI-2026-0044</t>
  </si>
  <si>
    <t>Alioune</t>
  </si>
  <si>
    <t>alioune.seck@example.com</t>
  </si>
  <si>
    <t>+221 77 949 3891</t>
  </si>
  <si>
    <t>CLI-2026-0045</t>
  </si>
  <si>
    <t xml:space="preserve">  Awa</t>
  </si>
  <si>
    <t xml:space="preserve">Gueye  </t>
  </si>
  <si>
    <t>+221 77 403 6064</t>
  </si>
  <si>
    <t>CLI-2026-0046</t>
  </si>
  <si>
    <t>+221 77 523 3519</t>
  </si>
  <si>
    <t>CLI-2026-0047</t>
  </si>
  <si>
    <t xml:space="preserve">  Ndiaye  </t>
  </si>
  <si>
    <t>sokhna.ndiaye@example.com</t>
  </si>
  <si>
    <t>+221 77 175 9335</t>
  </si>
  <si>
    <t>CLI-2026-0048</t>
  </si>
  <si>
    <t>ibrahima.diallo@example.com</t>
  </si>
  <si>
    <t>+221 77 944 5644</t>
  </si>
  <si>
    <t>CLI-2026-0049</t>
  </si>
  <si>
    <t>moussa.gueye@example.com</t>
  </si>
  <si>
    <t>+221 77 892 7680</t>
  </si>
  <si>
    <t>CLI-2026-0050</t>
  </si>
  <si>
    <t xml:space="preserve">Astou   </t>
  </si>
  <si>
    <t xml:space="preserve">  Mbaye</t>
  </si>
  <si>
    <t>astou.mbaye@example.com</t>
  </si>
  <si>
    <t>+221 77 872 3822</t>
  </si>
  <si>
    <t>CLI-2026-0051</t>
  </si>
  <si>
    <t>fatou.diop@example.com</t>
  </si>
  <si>
    <t>+221 77 696 3604</t>
  </si>
  <si>
    <t>CLI-2026-0052</t>
  </si>
  <si>
    <t>Abdoulaye</t>
  </si>
  <si>
    <t>abdoulaye.sow@example.com</t>
  </si>
  <si>
    <t>+221 77 402 6024</t>
  </si>
  <si>
    <t>CLI-2026-0053</t>
  </si>
  <si>
    <t>+221 77 728 5776</t>
  </si>
  <si>
    <t>CLI-2026-0054</t>
  </si>
  <si>
    <t xml:space="preserve">Babacar   </t>
  </si>
  <si>
    <t xml:space="preserve">  Kane</t>
  </si>
  <si>
    <t>babacar.kane@example.com</t>
  </si>
  <si>
    <t>+221 77 159 2941</t>
  </si>
  <si>
    <t>CLI-2026-0055</t>
  </si>
  <si>
    <t>ndeye.gueye@example.com</t>
  </si>
  <si>
    <t>+221 77 744 9462</t>
  </si>
  <si>
    <t>CLI-2026-0056</t>
  </si>
  <si>
    <t>Camara</t>
  </si>
  <si>
    <t>abdoulaye.camara@example.com</t>
  </si>
  <si>
    <t>+221 77 725 7198</t>
  </si>
  <si>
    <t>CLI-2026-0057</t>
  </si>
  <si>
    <t xml:space="preserve">  Cheikh</t>
  </si>
  <si>
    <t>+221 77 468 2231</t>
  </si>
  <si>
    <t>CLI-2026-0058</t>
  </si>
  <si>
    <t xml:space="preserve">Mariama   </t>
  </si>
  <si>
    <t xml:space="preserve">  Ndiaye</t>
  </si>
  <si>
    <t>mariama.ndiaye@example.com</t>
  </si>
  <si>
    <t>+221 77 434 9670</t>
  </si>
  <si>
    <t>CLI-2026-0059</t>
  </si>
  <si>
    <t xml:space="preserve"> Rokhaya </t>
  </si>
  <si>
    <t xml:space="preserve">  Ba  </t>
  </si>
  <si>
    <t>rokhaya.ba@example.com</t>
  </si>
  <si>
    <t>+221 77 202 6917</t>
  </si>
  <si>
    <t>CLI-2026-0060</t>
  </si>
  <si>
    <t>Faye</t>
  </si>
  <si>
    <t>+221 77 785 3404</t>
  </si>
  <si>
    <t>CLI-2026-0061</t>
  </si>
  <si>
    <t xml:space="preserve">  Fatou</t>
  </si>
  <si>
    <t>fatou.camara@example.com</t>
  </si>
  <si>
    <t>+221 77 386 1431</t>
  </si>
  <si>
    <t>CLI-2026-0062</t>
  </si>
  <si>
    <t xml:space="preserve">Ibrahima   </t>
  </si>
  <si>
    <t>ibrahima.sow@example.com</t>
  </si>
  <si>
    <t>+221 77 707 7011</t>
  </si>
  <si>
    <t>CLI-2026-0063</t>
  </si>
  <si>
    <t xml:space="preserve"> Mariama </t>
  </si>
  <si>
    <t xml:space="preserve">  Fall  </t>
  </si>
  <si>
    <t>mariama.fall@example.com</t>
  </si>
  <si>
    <t>+221 77 810 3398</t>
  </si>
  <si>
    <t>CLI-2026-0064</t>
  </si>
  <si>
    <t>coumba.fall@example.com</t>
  </si>
  <si>
    <t>+221 77 699 7823</t>
  </si>
  <si>
    <t>CLIENT-2026-065</t>
  </si>
  <si>
    <t>+221 77 493 2404</t>
  </si>
  <si>
    <t>CLI-2026-0066</t>
  </si>
  <si>
    <t xml:space="preserve">Rokhaya   </t>
  </si>
  <si>
    <t>rokhaya.kane@example.com</t>
  </si>
  <si>
    <t>+221 77 332 4287</t>
  </si>
  <si>
    <t>CLI-2026-0067</t>
  </si>
  <si>
    <t>awa.ndiaye@example.com</t>
  </si>
  <si>
    <t>+221 77 967 6177</t>
  </si>
  <si>
    <t>CLI-2026-0068</t>
  </si>
  <si>
    <t>Awa</t>
  </si>
  <si>
    <t>awa.faye@example.com</t>
  </si>
  <si>
    <t>+221 77 722 5191</t>
  </si>
  <si>
    <t>CLI-2026-0069</t>
  </si>
  <si>
    <t>astou.ba@example.com</t>
  </si>
  <si>
    <t>+221 77 401 5049</t>
  </si>
  <si>
    <t>CLI-2026-0070</t>
  </si>
  <si>
    <t>ibrahima.ndour@example.com</t>
  </si>
  <si>
    <t>+221 77 129 9425</t>
  </si>
  <si>
    <t>CLI-2026-0071</t>
  </si>
  <si>
    <t xml:space="preserve"> Ibrahima </t>
  </si>
  <si>
    <t>ibrahima.diop@example.com</t>
  </si>
  <si>
    <t>+221 77 867 3593</t>
  </si>
  <si>
    <t>CLI-2026-0072</t>
  </si>
  <si>
    <t>aminata.sow@example.com</t>
  </si>
  <si>
    <t>+221 77 925 3666</t>
  </si>
  <si>
    <t>CLI-2026-0073</t>
  </si>
  <si>
    <t>ndeye.ndour@example.com</t>
  </si>
  <si>
    <t>+221 77 746 3026</t>
  </si>
  <si>
    <t>CLI-2026-0074</t>
  </si>
  <si>
    <t xml:space="preserve">Alioune   </t>
  </si>
  <si>
    <t>+221 77 747 3479</t>
  </si>
  <si>
    <t>CLI-2026-0075</t>
  </si>
  <si>
    <t>abdoulaye.gueye@example.com</t>
  </si>
  <si>
    <t>+221 77 764 7203</t>
  </si>
  <si>
    <t>CLI-2026-0076</t>
  </si>
  <si>
    <t>Fatou</t>
  </si>
  <si>
    <t>Ba</t>
  </si>
  <si>
    <t>fatou.ba@example.com</t>
  </si>
  <si>
    <t>+221 77 464 3893</t>
  </si>
  <si>
    <t>CLI-2026-0077</t>
  </si>
  <si>
    <t xml:space="preserve">  Mamadou</t>
  </si>
  <si>
    <t>mamadou.fall@example.com</t>
  </si>
  <si>
    <t>+221 77 593 1062</t>
  </si>
  <si>
    <t>CLI-26-0078</t>
  </si>
  <si>
    <t>+221 77 558 6776</t>
  </si>
  <si>
    <t>CLI-2026-0079</t>
  </si>
  <si>
    <t>awa.kane@example.com</t>
  </si>
  <si>
    <t>+221 77 913 6250</t>
  </si>
  <si>
    <t>CLI-2026-0080</t>
  </si>
  <si>
    <t>+221 77 995 4205</t>
  </si>
  <si>
    <t>CLI-2026-0081</t>
  </si>
  <si>
    <t xml:space="preserve">  Abdoulaye</t>
  </si>
  <si>
    <t xml:space="preserve">Mbaye  </t>
  </si>
  <si>
    <t>+221 77 686 1201</t>
  </si>
  <si>
    <t>CLI-2026-0082</t>
  </si>
  <si>
    <t>rokhaya.sarr@example.com</t>
  </si>
  <si>
    <t>+221 77 515 7943</t>
  </si>
  <si>
    <t>CLI-2026-0083</t>
  </si>
  <si>
    <t xml:space="preserve"> Ousmane </t>
  </si>
  <si>
    <t>ousmane.mbaye@example.com</t>
  </si>
  <si>
    <t>+221 77 170 4671</t>
  </si>
  <si>
    <t>CLI-2026-0084</t>
  </si>
  <si>
    <t>Rokhaya</t>
  </si>
  <si>
    <t>+221 77 282 8914</t>
  </si>
  <si>
    <t>CLI-2026-0085</t>
  </si>
  <si>
    <t>sokhna.ba@example.com</t>
  </si>
  <si>
    <t>+221 77 595 3155</t>
  </si>
  <si>
    <t>CLI-2026-0086</t>
  </si>
  <si>
    <t>khadija.ndour@example.com</t>
  </si>
  <si>
    <t>+221 77 726 1188</t>
  </si>
  <si>
    <t>CLI-2026-0087</t>
  </si>
  <si>
    <t xml:space="preserve">  Sow  </t>
  </si>
  <si>
    <t>fatou.sow@example.com</t>
  </si>
  <si>
    <t>+221 77 343 4559</t>
  </si>
  <si>
    <t>CLI-2026-0088</t>
  </si>
  <si>
    <t>pape.kane@example.com</t>
  </si>
  <si>
    <t>+221 77 809 2597</t>
  </si>
  <si>
    <t>CLI-2026-0089</t>
  </si>
  <si>
    <t xml:space="preserve">  Mariama</t>
  </si>
  <si>
    <t xml:space="preserve">Diallo  </t>
  </si>
  <si>
    <t>mariama.diallo@example.com</t>
  </si>
  <si>
    <t>+221 77 543 2076</t>
  </si>
  <si>
    <t>CLI-2026-0090</t>
  </si>
  <si>
    <t xml:space="preserve">  Camara</t>
  </si>
  <si>
    <t>cheikh.camara@example.com</t>
  </si>
  <si>
    <t>+221 77 907 4788</t>
  </si>
  <si>
    <t>CLI-2026-0091</t>
  </si>
  <si>
    <t>coumba.sow@example.com</t>
  </si>
  <si>
    <t>+221 77 616 1950</t>
  </si>
  <si>
    <t>CLI-2026-0092</t>
  </si>
  <si>
    <t>Moussa</t>
  </si>
  <si>
    <t>moussa.fall@example.com</t>
  </si>
  <si>
    <t>+221 77 379 8982</t>
  </si>
  <si>
    <t>CLI-2026-0093</t>
  </si>
  <si>
    <t xml:space="preserve">Ndiaye  </t>
  </si>
  <si>
    <t>cheikh.ndiaye@example.com</t>
  </si>
  <si>
    <t>+221 77 282 8383</t>
  </si>
  <si>
    <t>CLI-2026-0094</t>
  </si>
  <si>
    <t>+221 77 681 5387</t>
  </si>
  <si>
    <t>CLI-2026-0095</t>
  </si>
  <si>
    <t>mamadou.seck@example.com</t>
  </si>
  <si>
    <t>+221 77 365 7729</t>
  </si>
  <si>
    <t>CLI-2026-0096</t>
  </si>
  <si>
    <t>Ousmane</t>
  </si>
  <si>
    <t>ousmane.ndour@example.com</t>
  </si>
  <si>
    <t>+221 77 455 4916</t>
  </si>
  <si>
    <t>CLI-2026-0097</t>
  </si>
  <si>
    <t>cheikh.mbaye@example.com</t>
  </si>
  <si>
    <t>+221 77 950 8758</t>
  </si>
  <si>
    <t>CLI-2026-0098</t>
  </si>
  <si>
    <t xml:space="preserve">Moussa   </t>
  </si>
  <si>
    <t>+221 77 591 2243</t>
  </si>
  <si>
    <t>CLI-2026-0099</t>
  </si>
  <si>
    <t xml:space="preserve"> Astou </t>
  </si>
  <si>
    <t>astou.ndiaye@example.com</t>
  </si>
  <si>
    <t>+221 77 544 3842</t>
  </si>
  <si>
    <t>CLI-2026-0100</t>
  </si>
  <si>
    <t>fatou.sarr@example.com</t>
  </si>
  <si>
    <t>+221 77 308 3113</t>
  </si>
  <si>
    <t>Prefixe</t>
  </si>
  <si>
    <t>Numero</t>
  </si>
  <si>
    <t>Annee</t>
  </si>
  <si>
    <t>Longueur_ID</t>
  </si>
  <si>
    <t>Prenom_Propre</t>
  </si>
  <si>
    <t>Nom_Propre</t>
  </si>
  <si>
    <t>Nom_Complet</t>
  </si>
  <si>
    <t>Localisation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</si>
</sst>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Times New Roman"/>
      <family val="1"/>
    </font>
    <font>
      <b/>
      <sz val="11"/>
      <color theme="4" tint="-0.499984740745262"/>
      <name val="Calibri"/>
      <family val="2"/>
    </font>
    <font>
      <b/>
      <sz val="11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Border="1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/>
  </cellXfs>
  <cellStyles count="1">
    <cellStyle name="Normal" xfId="0" builtinId="0"/>
  </cellStyles>
  <dxfs count="2"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D1" workbookViewId="0">
      <selection activeCell="Q9" sqref="Q9"/>
    </sheetView>
  </sheetViews>
  <sheetFormatPr baseColWidth="10" defaultColWidth="14.3984375" defaultRowHeight="15" customHeight="1" x14ac:dyDescent="0.45"/>
  <cols>
    <col min="1" max="1" width="21.86328125" customWidth="1"/>
    <col min="2" max="2" width="15" customWidth="1"/>
    <col min="3" max="3" width="8.73046875" customWidth="1"/>
    <col min="4" max="4" width="33.73046875" customWidth="1"/>
    <col min="5" max="5" width="17" customWidth="1"/>
    <col min="6" max="6" width="8.73046875" customWidth="1"/>
    <col min="7" max="7" width="11.73046875" customWidth="1"/>
    <col min="8" max="8" width="12" customWidth="1"/>
    <col min="9" max="9" width="15.73046875" customWidth="1"/>
    <col min="10" max="10" width="14.73046875" customWidth="1"/>
    <col min="11" max="11" width="11.06640625" bestFit="1" customWidth="1"/>
    <col min="12" max="12" width="13.53125" bestFit="1" customWidth="1"/>
    <col min="13" max="13" width="11.33203125" bestFit="1" customWidth="1"/>
    <col min="14" max="14" width="15.53125" bestFit="1" customWidth="1"/>
    <col min="15" max="15" width="16.9296875" bestFit="1" customWidth="1"/>
    <col min="16" max="26" width="8.73046875" customWidth="1"/>
  </cols>
  <sheetData>
    <row r="1" spans="1:15" ht="14.2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403</v>
      </c>
      <c r="I1" s="5" t="s">
        <v>404</v>
      </c>
      <c r="J1" s="5" t="s">
        <v>405</v>
      </c>
      <c r="K1" s="5" t="s">
        <v>406</v>
      </c>
      <c r="L1" s="5" t="s">
        <v>407</v>
      </c>
      <c r="M1" s="6" t="s">
        <v>408</v>
      </c>
      <c r="N1" s="5" t="s">
        <v>409</v>
      </c>
      <c r="O1" s="5" t="s">
        <v>410</v>
      </c>
    </row>
    <row r="2" spans="1:15" ht="14.25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tr">
        <f>LEFT(A2,3)</f>
        <v>CLI</v>
      </c>
      <c r="I2" s="2" t="str">
        <f>RIGHT(A2,4)</f>
        <v>0001</v>
      </c>
      <c r="J2" s="2" t="str">
        <f>MID(A2,5,4)</f>
        <v>2026</v>
      </c>
      <c r="K2" s="2">
        <f>LEN(A2)</f>
        <v>13</v>
      </c>
      <c r="L2" s="2" t="str">
        <f>TRIM(B2)</f>
        <v>Alioune</v>
      </c>
      <c r="M2" s="2" t="str">
        <f>TRIM(C2)</f>
        <v>Fall</v>
      </c>
      <c r="N2" s="2" t="str">
        <f>_xlfn.CONCAT(L2," ",M2)</f>
        <v>Alioune Fall</v>
      </c>
      <c r="O2" t="str">
        <f>_xlfn.TEXTJOIN(" - ",TRUE,F2,G2)</f>
        <v>Dakar - Sénégal</v>
      </c>
    </row>
    <row r="3" spans="1:15" ht="14.25" x14ac:dyDescent="0.4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  <c r="H3" s="2" t="str">
        <f t="shared" ref="H3:H66" si="0">LEFT(A3,3)</f>
        <v>CLI</v>
      </c>
      <c r="I3" s="2" t="str">
        <f t="shared" ref="I3:I66" si="1">RIGHT(A3,4)</f>
        <v>0002</v>
      </c>
      <c r="J3" s="2" t="str">
        <f t="shared" ref="J3:J66" si="2">MID(A3,5,4)</f>
        <v>2026</v>
      </c>
      <c r="K3" s="2">
        <f t="shared" ref="K3:K66" si="3">LEN(A3)</f>
        <v>13</v>
      </c>
      <c r="L3" s="2" t="str">
        <f t="shared" ref="L3:L66" si="4">TRIM(B3)</f>
        <v>Ndeye</v>
      </c>
      <c r="M3" s="2" t="str">
        <f t="shared" ref="M3:M66" si="5">TRIM(C3)</f>
        <v>Diop</v>
      </c>
      <c r="N3" s="2" t="str">
        <f t="shared" ref="N3:N66" si="6">_xlfn.CONCAT(L3," ",M3)</f>
        <v>Ndeye Diop</v>
      </c>
      <c r="O3" t="str">
        <f t="shared" ref="O3:O66" si="7">_xlfn.TEXTJOIN(" - ",TRUE,F3,G3)</f>
        <v>Saint-Louis - Sénégal</v>
      </c>
    </row>
    <row r="4" spans="1:15" ht="14.25" x14ac:dyDescent="0.4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2" t="str">
        <f t="shared" si="0"/>
        <v>CLI</v>
      </c>
      <c r="I4" s="2" t="str">
        <f t="shared" si="1"/>
        <v>0003</v>
      </c>
      <c r="J4" s="2" t="str">
        <f t="shared" si="2"/>
        <v>2026</v>
      </c>
      <c r="K4" s="2">
        <f t="shared" si="3"/>
        <v>13</v>
      </c>
      <c r="L4" s="2" t="str">
        <f t="shared" si="4"/>
        <v>Abdoulaye</v>
      </c>
      <c r="M4" s="2" t="str">
        <f t="shared" si="5"/>
        <v>Mbaye</v>
      </c>
      <c r="N4" s="2" t="str">
        <f t="shared" si="6"/>
        <v>Abdoulaye Mbaye</v>
      </c>
      <c r="O4" t="str">
        <f t="shared" si="7"/>
        <v>Ziguinchor - Sénégal</v>
      </c>
    </row>
    <row r="5" spans="1:15" ht="14.25" x14ac:dyDescent="0.4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  <c r="H5" s="2" t="str">
        <f t="shared" si="0"/>
        <v>CLI</v>
      </c>
      <c r="I5" s="2" t="str">
        <f t="shared" si="1"/>
        <v>0004</v>
      </c>
      <c r="J5" s="2" t="str">
        <f t="shared" si="2"/>
        <v>2026</v>
      </c>
      <c r="K5" s="2">
        <f t="shared" si="3"/>
        <v>13</v>
      </c>
      <c r="L5" s="2" t="str">
        <f t="shared" si="4"/>
        <v>Aminata</v>
      </c>
      <c r="M5" s="2" t="str">
        <f t="shared" si="5"/>
        <v>Sarr</v>
      </c>
      <c r="N5" s="2" t="str">
        <f t="shared" si="6"/>
        <v>Aminata Sarr</v>
      </c>
      <c r="O5" t="str">
        <f t="shared" si="7"/>
        <v>Kaolack - Sénégal</v>
      </c>
    </row>
    <row r="6" spans="1:15" ht="14.25" x14ac:dyDescent="0.4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25</v>
      </c>
      <c r="G6" s="1" t="s">
        <v>13</v>
      </c>
      <c r="H6" s="2" t="str">
        <f t="shared" si="0"/>
        <v>CLI</v>
      </c>
      <c r="I6" s="2" t="str">
        <f t="shared" si="1"/>
        <v>0005</v>
      </c>
      <c r="J6" s="2" t="str">
        <f t="shared" si="2"/>
        <v>2026</v>
      </c>
      <c r="K6" s="2">
        <f t="shared" si="3"/>
        <v>13</v>
      </c>
      <c r="L6" s="2" t="str">
        <f t="shared" si="4"/>
        <v>Aminata</v>
      </c>
      <c r="M6" s="2" t="str">
        <f t="shared" si="5"/>
        <v>Cisse</v>
      </c>
      <c r="N6" s="2" t="str">
        <f t="shared" si="6"/>
        <v>Aminata Cisse</v>
      </c>
      <c r="O6" t="str">
        <f t="shared" si="7"/>
        <v>Ziguinchor - Sénégal</v>
      </c>
    </row>
    <row r="7" spans="1:15" ht="14.25" x14ac:dyDescent="0.4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25</v>
      </c>
      <c r="G7" s="1" t="s">
        <v>13</v>
      </c>
      <c r="H7" s="2" t="str">
        <f t="shared" si="0"/>
        <v>CLI</v>
      </c>
      <c r="I7" s="2" t="str">
        <f t="shared" si="1"/>
        <v>0006</v>
      </c>
      <c r="J7" s="2" t="str">
        <f t="shared" si="2"/>
        <v>2026</v>
      </c>
      <c r="K7" s="2">
        <f t="shared" si="3"/>
        <v>13</v>
      </c>
      <c r="L7" s="2" t="str">
        <f t="shared" si="4"/>
        <v>Cheikh</v>
      </c>
      <c r="M7" s="2" t="str">
        <f t="shared" si="5"/>
        <v>Faye</v>
      </c>
      <c r="N7" s="2" t="str">
        <f t="shared" si="6"/>
        <v>Cheikh Faye</v>
      </c>
      <c r="O7" t="str">
        <f t="shared" si="7"/>
        <v>Ziguinchor - Sénégal</v>
      </c>
    </row>
    <row r="8" spans="1:15" ht="14.25" x14ac:dyDescent="0.4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31</v>
      </c>
      <c r="G8" s="1" t="s">
        <v>13</v>
      </c>
      <c r="H8" s="2" t="str">
        <f t="shared" si="0"/>
        <v>CLI</v>
      </c>
      <c r="I8" s="2" t="str">
        <f t="shared" si="1"/>
        <v>0007</v>
      </c>
      <c r="J8" s="2" t="str">
        <f t="shared" si="2"/>
        <v>2026</v>
      </c>
      <c r="K8" s="2">
        <f t="shared" si="3"/>
        <v>13</v>
      </c>
      <c r="L8" s="2" t="str">
        <f t="shared" si="4"/>
        <v>Cheikh</v>
      </c>
      <c r="M8" s="2" t="str">
        <f t="shared" si="5"/>
        <v>Sarr</v>
      </c>
      <c r="N8" s="2" t="str">
        <f t="shared" si="6"/>
        <v>Cheikh Sarr</v>
      </c>
      <c r="O8" t="str">
        <f t="shared" si="7"/>
        <v>Kaolack - Sénégal</v>
      </c>
    </row>
    <row r="9" spans="1:15" ht="14.25" x14ac:dyDescent="0.4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13</v>
      </c>
      <c r="H9" s="2" t="str">
        <f t="shared" si="0"/>
        <v>CLI</v>
      </c>
      <c r="I9" s="2" t="str">
        <f t="shared" si="1"/>
        <v>0008</v>
      </c>
      <c r="J9" s="2" t="str">
        <f t="shared" si="2"/>
        <v>2026</v>
      </c>
      <c r="K9" s="2">
        <f t="shared" si="3"/>
        <v>13</v>
      </c>
      <c r="L9" s="2" t="str">
        <f t="shared" si="4"/>
        <v>Sokhna</v>
      </c>
      <c r="M9" s="2" t="str">
        <f t="shared" si="5"/>
        <v>Fall</v>
      </c>
      <c r="N9" s="2" t="str">
        <f t="shared" si="6"/>
        <v>Sokhna Fall</v>
      </c>
      <c r="O9" t="str">
        <f t="shared" si="7"/>
        <v>Thiès - Sénégal</v>
      </c>
    </row>
    <row r="10" spans="1:15" ht="14.25" x14ac:dyDescent="0.45">
      <c r="A10" s="1" t="s">
        <v>53</v>
      </c>
      <c r="B10" s="1" t="s">
        <v>8</v>
      </c>
      <c r="C10" s="1" t="s">
        <v>54</v>
      </c>
      <c r="D10" s="1" t="s">
        <v>55</v>
      </c>
      <c r="E10" s="1" t="s">
        <v>56</v>
      </c>
      <c r="F10" s="1" t="s">
        <v>12</v>
      </c>
      <c r="G10" s="1" t="s">
        <v>13</v>
      </c>
      <c r="H10" s="2" t="str">
        <f t="shared" si="0"/>
        <v>CLI</v>
      </c>
      <c r="I10" s="2" t="str">
        <f t="shared" si="1"/>
        <v>0009</v>
      </c>
      <c r="J10" s="2" t="str">
        <f t="shared" si="2"/>
        <v>2026</v>
      </c>
      <c r="K10" s="2">
        <f t="shared" si="3"/>
        <v>13</v>
      </c>
      <c r="L10" s="2" t="str">
        <f t="shared" si="4"/>
        <v>Alioune</v>
      </c>
      <c r="M10" s="2" t="str">
        <f t="shared" si="5"/>
        <v>Sy</v>
      </c>
      <c r="N10" s="2" t="str">
        <f t="shared" si="6"/>
        <v>Alioune Sy</v>
      </c>
      <c r="O10" t="str">
        <f t="shared" si="7"/>
        <v>Dakar - Sénégal</v>
      </c>
    </row>
    <row r="11" spans="1:15" ht="14.25" x14ac:dyDescent="0.4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12</v>
      </c>
      <c r="G11" s="1" t="s">
        <v>13</v>
      </c>
      <c r="H11" s="2" t="str">
        <f t="shared" si="0"/>
        <v>CLI</v>
      </c>
      <c r="I11" s="2" t="str">
        <f t="shared" si="1"/>
        <v>0010</v>
      </c>
      <c r="J11" s="2" t="str">
        <f t="shared" si="2"/>
        <v>2026</v>
      </c>
      <c r="K11" s="2">
        <f t="shared" si="3"/>
        <v>13</v>
      </c>
      <c r="L11" s="2" t="str">
        <f t="shared" si="4"/>
        <v>Ousmane</v>
      </c>
      <c r="M11" s="2" t="str">
        <f t="shared" si="5"/>
        <v>Sarr</v>
      </c>
      <c r="N11" s="2" t="str">
        <f t="shared" si="6"/>
        <v>Ousmane Sarr</v>
      </c>
      <c r="O11" t="str">
        <f t="shared" si="7"/>
        <v>Dakar - Sénégal</v>
      </c>
    </row>
    <row r="12" spans="1:15" ht="14.25" x14ac:dyDescent="0.4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12</v>
      </c>
      <c r="G12" s="1" t="s">
        <v>13</v>
      </c>
      <c r="H12" s="2" t="str">
        <f t="shared" si="0"/>
        <v>CLI</v>
      </c>
      <c r="I12" s="2" t="str">
        <f t="shared" si="1"/>
        <v>0011</v>
      </c>
      <c r="J12" s="2" t="str">
        <f t="shared" si="2"/>
        <v>2026</v>
      </c>
      <c r="K12" s="2">
        <f t="shared" si="3"/>
        <v>13</v>
      </c>
      <c r="L12" s="2" t="str">
        <f t="shared" si="4"/>
        <v>Moussa</v>
      </c>
      <c r="M12" s="2" t="str">
        <f t="shared" si="5"/>
        <v>Seck</v>
      </c>
      <c r="N12" s="2" t="str">
        <f t="shared" si="6"/>
        <v>Moussa Seck</v>
      </c>
      <c r="O12" t="str">
        <f t="shared" si="7"/>
        <v>Dakar - Sénégal</v>
      </c>
    </row>
    <row r="13" spans="1:15" ht="14.25" x14ac:dyDescent="0.45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19</v>
      </c>
      <c r="G13" s="1" t="s">
        <v>13</v>
      </c>
      <c r="H13" s="2" t="str">
        <f t="shared" si="0"/>
        <v>CLI</v>
      </c>
      <c r="I13" s="2" t="str">
        <f t="shared" si="1"/>
        <v>0012</v>
      </c>
      <c r="J13" s="2" t="str">
        <f t="shared" si="2"/>
        <v>2026</v>
      </c>
      <c r="K13" s="2">
        <f t="shared" si="3"/>
        <v>13</v>
      </c>
      <c r="L13" s="2" t="str">
        <f t="shared" si="4"/>
        <v>Ibrahima</v>
      </c>
      <c r="M13" s="2" t="str">
        <f t="shared" si="5"/>
        <v>Seck</v>
      </c>
      <c r="N13" s="2" t="str">
        <f t="shared" si="6"/>
        <v>Ibrahima Seck</v>
      </c>
      <c r="O13" t="str">
        <f t="shared" si="7"/>
        <v>Saint-Louis - Sénégal</v>
      </c>
    </row>
    <row r="14" spans="1:15" ht="14.25" x14ac:dyDescent="0.4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13</v>
      </c>
      <c r="H14" s="2" t="str">
        <f t="shared" si="0"/>
        <v>CLI</v>
      </c>
      <c r="I14" s="2" t="str">
        <f t="shared" si="1"/>
        <v>0013</v>
      </c>
      <c r="J14" s="2" t="str">
        <f t="shared" si="2"/>
        <v>2026</v>
      </c>
      <c r="K14" s="2">
        <f t="shared" si="3"/>
        <v>13</v>
      </c>
      <c r="L14" s="2" t="str">
        <f t="shared" si="4"/>
        <v>Moussa</v>
      </c>
      <c r="M14" s="2" t="str">
        <f t="shared" si="5"/>
        <v>Ba</v>
      </c>
      <c r="N14" s="2" t="str">
        <f t="shared" si="6"/>
        <v>Moussa Ba</v>
      </c>
      <c r="O14" t="str">
        <f t="shared" si="7"/>
        <v>Touba - Sénégal</v>
      </c>
    </row>
    <row r="15" spans="1:15" ht="14.25" x14ac:dyDescent="0.4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31</v>
      </c>
      <c r="G15" s="1" t="s">
        <v>13</v>
      </c>
      <c r="H15" s="2" t="str">
        <f t="shared" si="0"/>
        <v>CLI</v>
      </c>
      <c r="I15" s="2" t="str">
        <f t="shared" si="1"/>
        <v>0014</v>
      </c>
      <c r="J15" s="2" t="str">
        <f t="shared" si="2"/>
        <v>2026</v>
      </c>
      <c r="K15" s="2">
        <f t="shared" si="3"/>
        <v>13</v>
      </c>
      <c r="L15" s="2" t="str">
        <f t="shared" si="4"/>
        <v>Moustapha</v>
      </c>
      <c r="M15" s="2" t="str">
        <f t="shared" si="5"/>
        <v>Sy</v>
      </c>
      <c r="N15" s="2" t="str">
        <f t="shared" si="6"/>
        <v>Moustapha Sy</v>
      </c>
      <c r="O15" t="str">
        <f t="shared" si="7"/>
        <v>Kaolack - Sénégal</v>
      </c>
    </row>
    <row r="16" spans="1:15" ht="14.25" x14ac:dyDescent="0.45">
      <c r="A16" s="1" t="s">
        <v>83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25</v>
      </c>
      <c r="G16" s="1" t="s">
        <v>13</v>
      </c>
      <c r="H16" s="2" t="str">
        <f t="shared" si="0"/>
        <v>CLI</v>
      </c>
      <c r="I16" s="2" t="str">
        <f t="shared" si="1"/>
        <v>0015</v>
      </c>
      <c r="J16" s="2" t="str">
        <f t="shared" si="2"/>
        <v>2026</v>
      </c>
      <c r="K16" s="2">
        <f t="shared" si="3"/>
        <v>13</v>
      </c>
      <c r="L16" s="2" t="str">
        <f t="shared" si="4"/>
        <v>Ndeye</v>
      </c>
      <c r="M16" s="2" t="str">
        <f t="shared" si="5"/>
        <v>Cisse</v>
      </c>
      <c r="N16" s="2" t="str">
        <f t="shared" si="6"/>
        <v>Ndeye Cisse</v>
      </c>
      <c r="O16" t="str">
        <f t="shared" si="7"/>
        <v>Ziguinchor - Sénégal</v>
      </c>
    </row>
    <row r="17" spans="1:15" ht="14.25" x14ac:dyDescent="0.4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77</v>
      </c>
      <c r="G17" s="1" t="s">
        <v>13</v>
      </c>
      <c r="H17" s="2" t="str">
        <f t="shared" si="0"/>
        <v>CLI</v>
      </c>
      <c r="I17" s="2" t="str">
        <f t="shared" si="1"/>
        <v>0016</v>
      </c>
      <c r="J17" s="2" t="str">
        <f t="shared" si="2"/>
        <v>2026</v>
      </c>
      <c r="K17" s="2">
        <f t="shared" si="3"/>
        <v>13</v>
      </c>
      <c r="L17" s="2" t="str">
        <f t="shared" si="4"/>
        <v>Coumba</v>
      </c>
      <c r="M17" s="2" t="str">
        <f t="shared" si="5"/>
        <v>Diallo</v>
      </c>
      <c r="N17" s="2" t="str">
        <f t="shared" si="6"/>
        <v>Coumba Diallo</v>
      </c>
      <c r="O17" t="str">
        <f t="shared" si="7"/>
        <v>Touba - Sénégal</v>
      </c>
    </row>
    <row r="18" spans="1:15" ht="14.25" x14ac:dyDescent="0.4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19</v>
      </c>
      <c r="G18" s="1" t="s">
        <v>13</v>
      </c>
      <c r="H18" s="2" t="str">
        <f t="shared" si="0"/>
        <v>CLI</v>
      </c>
      <c r="I18" s="2" t="str">
        <f t="shared" si="1"/>
        <v>0017</v>
      </c>
      <c r="J18" s="2" t="str">
        <f t="shared" si="2"/>
        <v>26-0</v>
      </c>
      <c r="K18" s="2">
        <f t="shared" si="3"/>
        <v>11</v>
      </c>
      <c r="L18" s="2" t="str">
        <f t="shared" si="4"/>
        <v>Coumba</v>
      </c>
      <c r="M18" s="2" t="str">
        <f t="shared" si="5"/>
        <v>Ndour</v>
      </c>
      <c r="N18" s="2" t="str">
        <f t="shared" si="6"/>
        <v>Coumba Ndour</v>
      </c>
      <c r="O18" t="str">
        <f t="shared" si="7"/>
        <v>Saint-Louis - Sénégal</v>
      </c>
    </row>
    <row r="19" spans="1:15" ht="14.25" x14ac:dyDescent="0.45">
      <c r="A19" s="1" t="s">
        <v>98</v>
      </c>
      <c r="B19" s="1" t="s">
        <v>99</v>
      </c>
      <c r="C19" s="1" t="s">
        <v>16</v>
      </c>
      <c r="D19" s="1" t="s">
        <v>100</v>
      </c>
      <c r="E19" s="1" t="s">
        <v>101</v>
      </c>
      <c r="F19" s="1" t="s">
        <v>25</v>
      </c>
      <c r="G19" s="1" t="s">
        <v>13</v>
      </c>
      <c r="H19" s="2" t="str">
        <f t="shared" si="0"/>
        <v>CLI</v>
      </c>
      <c r="I19" s="2" t="str">
        <f t="shared" si="1"/>
        <v>0018</v>
      </c>
      <c r="J19" s="2" t="str">
        <f t="shared" si="2"/>
        <v>2026</v>
      </c>
      <c r="K19" s="2">
        <f t="shared" si="3"/>
        <v>13</v>
      </c>
      <c r="L19" s="2" t="str">
        <f>TRIM(B19)</f>
        <v>Khadija</v>
      </c>
      <c r="M19" s="2" t="str">
        <f t="shared" si="5"/>
        <v>Diop</v>
      </c>
      <c r="N19" s="2" t="str">
        <f t="shared" si="6"/>
        <v>Khadija Diop</v>
      </c>
      <c r="O19" t="str">
        <f t="shared" si="7"/>
        <v>Ziguinchor - Sénégal</v>
      </c>
    </row>
    <row r="20" spans="1:15" ht="14.25" x14ac:dyDescent="0.4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19</v>
      </c>
      <c r="G20" s="1" t="s">
        <v>13</v>
      </c>
      <c r="H20" s="2" t="str">
        <f t="shared" si="0"/>
        <v>CLI</v>
      </c>
      <c r="I20" s="2" t="str">
        <f t="shared" si="1"/>
        <v>0019</v>
      </c>
      <c r="J20" s="2" t="str">
        <f t="shared" si="2"/>
        <v>2026</v>
      </c>
      <c r="K20" s="2">
        <f t="shared" si="3"/>
        <v>13</v>
      </c>
      <c r="L20" s="2" t="str">
        <f t="shared" si="4"/>
        <v>Mamadou</v>
      </c>
      <c r="M20" s="2" t="str">
        <f t="shared" si="5"/>
        <v>Kane</v>
      </c>
      <c r="N20" s="2" t="str">
        <f t="shared" si="6"/>
        <v>Mamadou Kane</v>
      </c>
      <c r="O20" t="str">
        <f t="shared" si="7"/>
        <v>Saint-Louis - Sénégal</v>
      </c>
    </row>
    <row r="21" spans="1:15" ht="15.75" customHeight="1" x14ac:dyDescent="0.45">
      <c r="A21" s="1" t="s">
        <v>107</v>
      </c>
      <c r="B21" s="1" t="s">
        <v>27</v>
      </c>
      <c r="C21" s="1" t="s">
        <v>49</v>
      </c>
      <c r="D21" s="1" t="s">
        <v>108</v>
      </c>
      <c r="E21" s="1" t="s">
        <v>109</v>
      </c>
      <c r="F21" s="1" t="s">
        <v>25</v>
      </c>
      <c r="G21" s="1" t="s">
        <v>13</v>
      </c>
      <c r="H21" s="2" t="str">
        <f t="shared" si="0"/>
        <v>CLI</v>
      </c>
      <c r="I21" s="2" t="str">
        <f t="shared" si="1"/>
        <v>0020</v>
      </c>
      <c r="J21" s="2" t="str">
        <f t="shared" si="2"/>
        <v>2026</v>
      </c>
      <c r="K21" s="2">
        <f t="shared" si="3"/>
        <v>13</v>
      </c>
      <c r="L21" s="2" t="str">
        <f t="shared" si="4"/>
        <v>Aminata</v>
      </c>
      <c r="M21" s="2" t="str">
        <f t="shared" si="5"/>
        <v>Fall</v>
      </c>
      <c r="N21" s="2" t="str">
        <f t="shared" si="6"/>
        <v>Aminata Fall</v>
      </c>
      <c r="O21" t="str">
        <f t="shared" si="7"/>
        <v>Ziguinchor - Sénégal</v>
      </c>
    </row>
    <row r="22" spans="1:15" ht="15.75" customHeight="1" x14ac:dyDescent="0.45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12</v>
      </c>
      <c r="G22" s="1" t="s">
        <v>13</v>
      </c>
      <c r="H22" s="2" t="str">
        <f t="shared" si="0"/>
        <v>CLI</v>
      </c>
      <c r="I22" s="2" t="str">
        <f t="shared" si="1"/>
        <v>0021</v>
      </c>
      <c r="J22" s="2" t="str">
        <f t="shared" si="2"/>
        <v>2026</v>
      </c>
      <c r="K22" s="2">
        <f t="shared" si="3"/>
        <v>13</v>
      </c>
      <c r="L22" s="2" t="str">
        <f t="shared" si="4"/>
        <v>Ndeye</v>
      </c>
      <c r="M22" s="2" t="str">
        <f t="shared" si="5"/>
        <v>Faye</v>
      </c>
      <c r="N22" s="2" t="str">
        <f t="shared" si="6"/>
        <v>Ndeye Faye</v>
      </c>
      <c r="O22" t="str">
        <f t="shared" si="7"/>
        <v>Dakar - Sénégal</v>
      </c>
    </row>
    <row r="23" spans="1:15" ht="15.75" customHeight="1" x14ac:dyDescent="0.45">
      <c r="A23" s="1" t="s">
        <v>115</v>
      </c>
      <c r="B23" s="1" t="s">
        <v>116</v>
      </c>
      <c r="C23" s="1" t="s">
        <v>117</v>
      </c>
      <c r="D23" s="1" t="s">
        <v>96</v>
      </c>
      <c r="E23" s="1" t="s">
        <v>118</v>
      </c>
      <c r="F23" s="1" t="s">
        <v>19</v>
      </c>
      <c r="G23" s="1" t="s">
        <v>13</v>
      </c>
      <c r="H23" s="2" t="str">
        <f t="shared" si="0"/>
        <v>CLI</v>
      </c>
      <c r="I23" s="2" t="str">
        <f t="shared" si="1"/>
        <v>0022</v>
      </c>
      <c r="J23" s="2" t="str">
        <f t="shared" si="2"/>
        <v>2026</v>
      </c>
      <c r="K23" s="2">
        <f t="shared" si="3"/>
        <v>13</v>
      </c>
      <c r="L23" s="2" t="str">
        <f t="shared" si="4"/>
        <v>Coumba</v>
      </c>
      <c r="M23" s="2" t="str">
        <f t="shared" si="5"/>
        <v>Ndour</v>
      </c>
      <c r="N23" s="2" t="str">
        <f t="shared" si="6"/>
        <v>Coumba Ndour</v>
      </c>
      <c r="O23" t="str">
        <f t="shared" si="7"/>
        <v>Saint-Louis - Sénégal</v>
      </c>
    </row>
    <row r="24" spans="1:15" ht="15.75" customHeight="1" x14ac:dyDescent="0.45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25</v>
      </c>
      <c r="G24" s="1" t="s">
        <v>13</v>
      </c>
      <c r="H24" s="2" t="str">
        <f t="shared" si="0"/>
        <v>CLI</v>
      </c>
      <c r="I24" s="2" t="str">
        <f t="shared" si="1"/>
        <v>0023</v>
      </c>
      <c r="J24" s="2" t="str">
        <f t="shared" si="2"/>
        <v>2026</v>
      </c>
      <c r="K24" s="2">
        <f t="shared" si="3"/>
        <v>13</v>
      </c>
      <c r="L24" s="2" t="str">
        <f t="shared" si="4"/>
        <v>Awa</v>
      </c>
      <c r="M24" s="2" t="str">
        <f t="shared" si="5"/>
        <v>Gueye</v>
      </c>
      <c r="N24" s="2" t="str">
        <f t="shared" si="6"/>
        <v>Awa Gueye</v>
      </c>
      <c r="O24" t="str">
        <f t="shared" si="7"/>
        <v>Ziguinchor - Sénégal</v>
      </c>
    </row>
    <row r="25" spans="1:15" ht="15.75" customHeight="1" x14ac:dyDescent="0.45">
      <c r="A25" s="1" t="s">
        <v>124</v>
      </c>
      <c r="B25" s="1" t="s">
        <v>89</v>
      </c>
      <c r="C25" s="1" t="s">
        <v>125</v>
      </c>
      <c r="D25" s="1" t="s">
        <v>126</v>
      </c>
      <c r="E25" s="1" t="s">
        <v>127</v>
      </c>
      <c r="F25" s="1" t="s">
        <v>12</v>
      </c>
      <c r="G25" s="1" t="s">
        <v>13</v>
      </c>
      <c r="H25" s="2" t="str">
        <f t="shared" si="0"/>
        <v>CLI</v>
      </c>
      <c r="I25" s="2" t="str">
        <f t="shared" si="1"/>
        <v>0024</v>
      </c>
      <c r="J25" s="2" t="str">
        <f t="shared" si="2"/>
        <v>2026</v>
      </c>
      <c r="K25" s="2">
        <f t="shared" si="3"/>
        <v>13</v>
      </c>
      <c r="L25" s="2" t="str">
        <f t="shared" si="4"/>
        <v>Coumba</v>
      </c>
      <c r="M25" s="2" t="str">
        <f t="shared" si="5"/>
        <v>Mbaye</v>
      </c>
      <c r="N25" s="2" t="str">
        <f t="shared" si="6"/>
        <v>Coumba Mbaye</v>
      </c>
      <c r="O25" t="str">
        <f t="shared" si="7"/>
        <v>Dakar - Sénégal</v>
      </c>
    </row>
    <row r="26" spans="1:15" ht="15.75" customHeight="1" x14ac:dyDescent="0.45">
      <c r="A26" s="1" t="s">
        <v>128</v>
      </c>
      <c r="B26" s="1" t="s">
        <v>8</v>
      </c>
      <c r="C26" s="1" t="s">
        <v>54</v>
      </c>
      <c r="D26" s="1" t="s">
        <v>55</v>
      </c>
      <c r="E26" s="1" t="s">
        <v>129</v>
      </c>
      <c r="F26" s="1" t="s">
        <v>25</v>
      </c>
      <c r="G26" s="1" t="s">
        <v>13</v>
      </c>
      <c r="H26" s="2" t="str">
        <f t="shared" si="0"/>
        <v>CLI</v>
      </c>
      <c r="I26" s="2" t="str">
        <f t="shared" si="1"/>
        <v>0025</v>
      </c>
      <c r="J26" s="2" t="str">
        <f t="shared" si="2"/>
        <v>2026</v>
      </c>
      <c r="K26" s="2">
        <f t="shared" si="3"/>
        <v>13</v>
      </c>
      <c r="L26" s="2" t="str">
        <f t="shared" si="4"/>
        <v>Alioune</v>
      </c>
      <c r="M26" s="2" t="str">
        <f t="shared" si="5"/>
        <v>Sy</v>
      </c>
      <c r="N26" s="2" t="str">
        <f t="shared" si="6"/>
        <v>Alioune Sy</v>
      </c>
      <c r="O26" t="str">
        <f t="shared" si="7"/>
        <v>Ziguinchor - Sénégal</v>
      </c>
    </row>
    <row r="27" spans="1:15" ht="15.75" customHeight="1" x14ac:dyDescent="0.45">
      <c r="A27" s="1" t="s">
        <v>130</v>
      </c>
      <c r="B27" s="1" t="s">
        <v>15</v>
      </c>
      <c r="C27" s="1" t="s">
        <v>131</v>
      </c>
      <c r="D27" s="1" t="s">
        <v>132</v>
      </c>
      <c r="E27" s="1" t="s">
        <v>133</v>
      </c>
      <c r="F27" s="1" t="s">
        <v>12</v>
      </c>
      <c r="G27" s="1" t="s">
        <v>13</v>
      </c>
      <c r="H27" s="2" t="str">
        <f t="shared" si="0"/>
        <v>CLI</v>
      </c>
      <c r="I27" s="2" t="str">
        <f t="shared" si="1"/>
        <v>0026</v>
      </c>
      <c r="J27" s="2" t="str">
        <f t="shared" si="2"/>
        <v>2026</v>
      </c>
      <c r="K27" s="2">
        <f t="shared" si="3"/>
        <v>13</v>
      </c>
      <c r="L27" s="2" t="str">
        <f t="shared" si="4"/>
        <v>Ndeye</v>
      </c>
      <c r="M27" s="2" t="str">
        <f t="shared" si="5"/>
        <v>Sow</v>
      </c>
      <c r="N27" s="2" t="str">
        <f t="shared" si="6"/>
        <v>Ndeye Sow</v>
      </c>
      <c r="O27" t="str">
        <f t="shared" si="7"/>
        <v>Dakar - Sénégal</v>
      </c>
    </row>
    <row r="28" spans="1:15" ht="15.75" customHeight="1" x14ac:dyDescent="0.45">
      <c r="A28" s="1" t="s">
        <v>134</v>
      </c>
      <c r="B28" s="1" t="s">
        <v>135</v>
      </c>
      <c r="C28" s="1" t="s">
        <v>85</v>
      </c>
      <c r="D28" s="1" t="s">
        <v>136</v>
      </c>
      <c r="E28" s="1" t="s">
        <v>137</v>
      </c>
      <c r="F28" s="1" t="s">
        <v>19</v>
      </c>
      <c r="G28" s="1" t="s">
        <v>13</v>
      </c>
      <c r="H28" s="2" t="str">
        <f t="shared" si="0"/>
        <v>CLI</v>
      </c>
      <c r="I28" s="2" t="str">
        <f t="shared" si="1"/>
        <v>0027</v>
      </c>
      <c r="J28" s="2" t="str">
        <f t="shared" si="2"/>
        <v>2026</v>
      </c>
      <c r="K28" s="2">
        <f t="shared" si="3"/>
        <v>13</v>
      </c>
      <c r="L28" s="2" t="str">
        <f t="shared" si="4"/>
        <v>Coumba</v>
      </c>
      <c r="M28" s="2" t="str">
        <f t="shared" si="5"/>
        <v>Cisse</v>
      </c>
      <c r="N28" s="2" t="str">
        <f t="shared" si="6"/>
        <v>Coumba Cisse</v>
      </c>
      <c r="O28" t="str">
        <f t="shared" si="7"/>
        <v>Saint-Louis - Sénégal</v>
      </c>
    </row>
    <row r="29" spans="1:15" ht="15.75" customHeight="1" x14ac:dyDescent="0.45">
      <c r="A29" s="1" t="s">
        <v>138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25</v>
      </c>
      <c r="G29" s="1" t="s">
        <v>13</v>
      </c>
      <c r="H29" s="2" t="str">
        <f t="shared" si="0"/>
        <v>CLI</v>
      </c>
      <c r="I29" s="2" t="str">
        <f t="shared" si="1"/>
        <v>0028</v>
      </c>
      <c r="J29" s="2" t="str">
        <f t="shared" si="2"/>
        <v>2026</v>
      </c>
      <c r="K29" s="2">
        <f t="shared" si="3"/>
        <v>13</v>
      </c>
      <c r="L29" s="2" t="str">
        <f t="shared" si="4"/>
        <v>Astou</v>
      </c>
      <c r="M29" s="2" t="str">
        <f t="shared" si="5"/>
        <v>Ndour</v>
      </c>
      <c r="N29" s="2" t="str">
        <f t="shared" si="6"/>
        <v>Astou Ndour</v>
      </c>
      <c r="O29" t="str">
        <f t="shared" si="7"/>
        <v>Ziguinchor - Sénégal</v>
      </c>
    </row>
    <row r="30" spans="1:15" ht="15.75" customHeight="1" x14ac:dyDescent="0.45">
      <c r="A30" s="1" t="s">
        <v>143</v>
      </c>
      <c r="B30" s="1" t="s">
        <v>144</v>
      </c>
      <c r="C30" s="1" t="s">
        <v>112</v>
      </c>
      <c r="D30" s="1" t="s">
        <v>145</v>
      </c>
      <c r="E30" s="1" t="s">
        <v>146</v>
      </c>
      <c r="F30" s="1" t="s">
        <v>31</v>
      </c>
      <c r="G30" s="1" t="s">
        <v>13</v>
      </c>
      <c r="H30" s="2" t="str">
        <f t="shared" si="0"/>
        <v>CLI</v>
      </c>
      <c r="I30" s="2" t="str">
        <f t="shared" si="1"/>
        <v>0029</v>
      </c>
      <c r="J30" s="2" t="str">
        <f t="shared" si="2"/>
        <v>2026</v>
      </c>
      <c r="K30" s="2">
        <f t="shared" si="3"/>
        <v>13</v>
      </c>
      <c r="L30" s="2" t="str">
        <f t="shared" si="4"/>
        <v>Astou</v>
      </c>
      <c r="M30" s="2" t="str">
        <f t="shared" si="5"/>
        <v>Faye</v>
      </c>
      <c r="N30" s="2" t="str">
        <f t="shared" si="6"/>
        <v>Astou Faye</v>
      </c>
      <c r="O30" t="str">
        <f t="shared" si="7"/>
        <v>Kaolack - Sénégal</v>
      </c>
    </row>
    <row r="31" spans="1:15" ht="15.75" customHeight="1" x14ac:dyDescent="0.45">
      <c r="A31" s="1" t="s">
        <v>147</v>
      </c>
      <c r="B31" s="1" t="s">
        <v>79</v>
      </c>
      <c r="C31" s="1" t="s">
        <v>80</v>
      </c>
      <c r="D31" s="1" t="s">
        <v>81</v>
      </c>
      <c r="E31" s="1" t="s">
        <v>148</v>
      </c>
      <c r="F31" s="1" t="s">
        <v>77</v>
      </c>
      <c r="G31" s="1" t="s">
        <v>13</v>
      </c>
      <c r="H31" s="2" t="str">
        <f t="shared" si="0"/>
        <v>CLI</v>
      </c>
      <c r="I31" s="2" t="str">
        <f t="shared" si="1"/>
        <v>0030</v>
      </c>
      <c r="J31" s="2" t="str">
        <f t="shared" si="2"/>
        <v>2026</v>
      </c>
      <c r="K31" s="2">
        <f t="shared" si="3"/>
        <v>13</v>
      </c>
      <c r="L31" s="2" t="str">
        <f t="shared" si="4"/>
        <v>Moustapha</v>
      </c>
      <c r="M31" s="2" t="str">
        <f t="shared" si="5"/>
        <v>Sy</v>
      </c>
      <c r="N31" s="2" t="str">
        <f t="shared" si="6"/>
        <v>Moustapha Sy</v>
      </c>
      <c r="O31" t="str">
        <f t="shared" si="7"/>
        <v>Touba - Sénégal</v>
      </c>
    </row>
    <row r="32" spans="1:15" ht="15.75" customHeight="1" x14ac:dyDescent="0.45">
      <c r="A32" s="1" t="s">
        <v>149</v>
      </c>
      <c r="B32" s="1" t="s">
        <v>63</v>
      </c>
      <c r="C32" s="1" t="s">
        <v>150</v>
      </c>
      <c r="D32" s="1" t="s">
        <v>151</v>
      </c>
      <c r="E32" s="1" t="s">
        <v>152</v>
      </c>
      <c r="F32" s="1" t="s">
        <v>52</v>
      </c>
      <c r="G32" s="1" t="s">
        <v>13</v>
      </c>
      <c r="H32" s="2" t="str">
        <f t="shared" si="0"/>
        <v>CLI</v>
      </c>
      <c r="I32" s="2" t="str">
        <f t="shared" si="1"/>
        <v>-031</v>
      </c>
      <c r="J32" s="2" t="str">
        <f t="shared" si="2"/>
        <v>NT-2</v>
      </c>
      <c r="K32" s="2">
        <f t="shared" si="3"/>
        <v>15</v>
      </c>
      <c r="L32" s="2" t="str">
        <f t="shared" si="4"/>
        <v>Moussa</v>
      </c>
      <c r="M32" s="2" t="str">
        <f t="shared" si="5"/>
        <v>Faye</v>
      </c>
      <c r="N32" s="2" t="str">
        <f t="shared" si="6"/>
        <v>Moussa Faye</v>
      </c>
      <c r="O32" t="str">
        <f t="shared" si="7"/>
        <v>Thiès - Sénégal</v>
      </c>
    </row>
    <row r="33" spans="1:15" ht="15.75" customHeight="1" x14ac:dyDescent="0.45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12</v>
      </c>
      <c r="G33" s="1" t="s">
        <v>13</v>
      </c>
      <c r="H33" s="2" t="str">
        <f t="shared" si="0"/>
        <v>CLI</v>
      </c>
      <c r="I33" s="2" t="str">
        <f t="shared" si="1"/>
        <v>0032</v>
      </c>
      <c r="J33" s="2" t="str">
        <f t="shared" si="2"/>
        <v>2026</v>
      </c>
      <c r="K33" s="2">
        <f t="shared" si="3"/>
        <v>13</v>
      </c>
      <c r="L33" s="2" t="str">
        <f t="shared" si="4"/>
        <v>Pape</v>
      </c>
      <c r="M33" s="2" t="str">
        <f t="shared" si="5"/>
        <v>Sow</v>
      </c>
      <c r="N33" s="2" t="str">
        <f t="shared" si="6"/>
        <v>Pape Sow</v>
      </c>
      <c r="O33" t="str">
        <f t="shared" si="7"/>
        <v>Dakar - Sénégal</v>
      </c>
    </row>
    <row r="34" spans="1:15" ht="15.75" customHeight="1" x14ac:dyDescent="0.45">
      <c r="A34" s="1" t="s">
        <v>158</v>
      </c>
      <c r="B34" s="1" t="s">
        <v>73</v>
      </c>
      <c r="C34" s="1" t="s">
        <v>159</v>
      </c>
      <c r="D34" s="1" t="s">
        <v>160</v>
      </c>
      <c r="E34" s="1" t="s">
        <v>161</v>
      </c>
      <c r="F34" s="1" t="s">
        <v>12</v>
      </c>
      <c r="G34" s="1" t="s">
        <v>13</v>
      </c>
      <c r="H34" s="2" t="str">
        <f t="shared" si="0"/>
        <v>CLI</v>
      </c>
      <c r="I34" s="2" t="str">
        <f t="shared" si="1"/>
        <v>0033</v>
      </c>
      <c r="J34" s="2" t="str">
        <f t="shared" si="2"/>
        <v>2026</v>
      </c>
      <c r="K34" s="2">
        <f t="shared" si="3"/>
        <v>13</v>
      </c>
      <c r="L34" s="2" t="str">
        <f t="shared" si="4"/>
        <v>Moussa</v>
      </c>
      <c r="M34" s="2" t="str">
        <f t="shared" si="5"/>
        <v>Sow</v>
      </c>
      <c r="N34" s="2" t="str">
        <f t="shared" si="6"/>
        <v>Moussa Sow</v>
      </c>
      <c r="O34" t="str">
        <f t="shared" si="7"/>
        <v>Dakar - Sénégal</v>
      </c>
    </row>
    <row r="35" spans="1:15" ht="15.75" customHeight="1" x14ac:dyDescent="0.45">
      <c r="A35" s="1" t="s">
        <v>162</v>
      </c>
      <c r="B35" s="1" t="s">
        <v>15</v>
      </c>
      <c r="C35" s="1" t="s">
        <v>16</v>
      </c>
      <c r="D35" s="1" t="s">
        <v>17</v>
      </c>
      <c r="E35" s="1" t="s">
        <v>163</v>
      </c>
      <c r="F35" s="1" t="s">
        <v>12</v>
      </c>
      <c r="G35" s="1" t="s">
        <v>13</v>
      </c>
      <c r="H35" s="2" t="str">
        <f t="shared" si="0"/>
        <v>CLI</v>
      </c>
      <c r="I35" s="2" t="str">
        <f t="shared" si="1"/>
        <v>0034</v>
      </c>
      <c r="J35" s="2" t="str">
        <f t="shared" si="2"/>
        <v>2026</v>
      </c>
      <c r="K35" s="2">
        <f t="shared" si="3"/>
        <v>13</v>
      </c>
      <c r="L35" s="2" t="str">
        <f t="shared" si="4"/>
        <v>Ndeye</v>
      </c>
      <c r="M35" s="2" t="str">
        <f t="shared" si="5"/>
        <v>Diop</v>
      </c>
      <c r="N35" s="2" t="str">
        <f t="shared" si="6"/>
        <v>Ndeye Diop</v>
      </c>
      <c r="O35" t="str">
        <f t="shared" si="7"/>
        <v>Dakar - Sénégal</v>
      </c>
    </row>
    <row r="36" spans="1:15" ht="15.75" customHeight="1" x14ac:dyDescent="0.45">
      <c r="A36" s="1" t="s">
        <v>164</v>
      </c>
      <c r="B36" s="1" t="s">
        <v>165</v>
      </c>
      <c r="C36" s="1" t="s">
        <v>150</v>
      </c>
      <c r="D36" s="1" t="s">
        <v>166</v>
      </c>
      <c r="E36" s="1" t="s">
        <v>167</v>
      </c>
      <c r="F36" s="1" t="s">
        <v>77</v>
      </c>
      <c r="G36" s="1" t="s">
        <v>13</v>
      </c>
      <c r="H36" s="2" t="str">
        <f t="shared" si="0"/>
        <v>CLI</v>
      </c>
      <c r="I36" s="2" t="str">
        <f t="shared" si="1"/>
        <v>0035</v>
      </c>
      <c r="J36" s="2" t="str">
        <f t="shared" si="2"/>
        <v>2026</v>
      </c>
      <c r="K36" s="2">
        <f t="shared" si="3"/>
        <v>13</v>
      </c>
      <c r="L36" s="2" t="str">
        <f t="shared" si="4"/>
        <v>Alioune</v>
      </c>
      <c r="M36" s="2" t="str">
        <f t="shared" si="5"/>
        <v>Faye</v>
      </c>
      <c r="N36" s="2" t="str">
        <f t="shared" si="6"/>
        <v>Alioune Faye</v>
      </c>
      <c r="O36" t="str">
        <f t="shared" si="7"/>
        <v>Touba - Sénégal</v>
      </c>
    </row>
    <row r="37" spans="1:15" ht="15.75" customHeight="1" x14ac:dyDescent="0.45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31</v>
      </c>
      <c r="G37" s="1" t="s">
        <v>13</v>
      </c>
      <c r="H37" s="2" t="str">
        <f t="shared" si="0"/>
        <v>CLI</v>
      </c>
      <c r="I37" s="2" t="str">
        <f t="shared" si="1"/>
        <v>0036</v>
      </c>
      <c r="J37" s="2" t="str">
        <f t="shared" si="2"/>
        <v>2026</v>
      </c>
      <c r="K37" s="2">
        <f t="shared" si="3"/>
        <v>13</v>
      </c>
      <c r="L37" s="2" t="str">
        <f t="shared" si="4"/>
        <v>Cheikh</v>
      </c>
      <c r="M37" s="2" t="str">
        <f t="shared" si="5"/>
        <v>Kane</v>
      </c>
      <c r="N37" s="2" t="str">
        <f t="shared" si="6"/>
        <v>Cheikh Kane</v>
      </c>
      <c r="O37" t="str">
        <f t="shared" si="7"/>
        <v>Kaolack - Sénégal</v>
      </c>
    </row>
    <row r="38" spans="1:15" ht="15.75" customHeight="1" x14ac:dyDescent="0.45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52</v>
      </c>
      <c r="G38" s="1" t="s">
        <v>13</v>
      </c>
      <c r="H38" s="2" t="str">
        <f t="shared" si="0"/>
        <v>CLI</v>
      </c>
      <c r="I38" s="2" t="str">
        <f t="shared" si="1"/>
        <v>0037</v>
      </c>
      <c r="J38" s="2" t="str">
        <f t="shared" si="2"/>
        <v>2026</v>
      </c>
      <c r="K38" s="2">
        <f t="shared" si="3"/>
        <v>13</v>
      </c>
      <c r="L38" s="2" t="str">
        <f t="shared" si="4"/>
        <v>Sokhna</v>
      </c>
      <c r="M38" s="2" t="str">
        <f t="shared" si="5"/>
        <v>Camara</v>
      </c>
      <c r="N38" s="2" t="str">
        <f t="shared" si="6"/>
        <v>Sokhna Camara</v>
      </c>
      <c r="O38" t="str">
        <f t="shared" si="7"/>
        <v>Thiès - Sénégal</v>
      </c>
    </row>
    <row r="39" spans="1:15" ht="15.75" customHeight="1" x14ac:dyDescent="0.45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182</v>
      </c>
      <c r="F39" s="1" t="s">
        <v>25</v>
      </c>
      <c r="G39" s="1" t="s">
        <v>13</v>
      </c>
      <c r="H39" s="2" t="str">
        <f t="shared" si="0"/>
        <v>CLI</v>
      </c>
      <c r="I39" s="2" t="str">
        <f t="shared" si="1"/>
        <v>0038</v>
      </c>
      <c r="J39" s="2" t="str">
        <f t="shared" si="2"/>
        <v>2026</v>
      </c>
      <c r="K39" s="2">
        <f t="shared" si="3"/>
        <v>13</v>
      </c>
      <c r="L39" s="2" t="str">
        <f t="shared" si="4"/>
        <v>Pape</v>
      </c>
      <c r="M39" s="2" t="str">
        <f t="shared" si="5"/>
        <v>Ba</v>
      </c>
      <c r="N39" s="2" t="str">
        <f t="shared" si="6"/>
        <v>Pape Ba</v>
      </c>
      <c r="O39" t="str">
        <f t="shared" si="7"/>
        <v>Ziguinchor - Sénégal</v>
      </c>
    </row>
    <row r="40" spans="1:15" ht="15.75" customHeight="1" x14ac:dyDescent="0.45">
      <c r="A40" s="1" t="s">
        <v>183</v>
      </c>
      <c r="B40" s="1" t="s">
        <v>184</v>
      </c>
      <c r="C40" s="1" t="s">
        <v>121</v>
      </c>
      <c r="D40" s="1" t="s">
        <v>185</v>
      </c>
      <c r="E40" s="1" t="s">
        <v>186</v>
      </c>
      <c r="F40" s="1" t="s">
        <v>12</v>
      </c>
      <c r="G40" s="1" t="s">
        <v>13</v>
      </c>
      <c r="H40" s="2" t="str">
        <f t="shared" si="0"/>
        <v>CLI</v>
      </c>
      <c r="I40" s="2" t="str">
        <f t="shared" si="1"/>
        <v>0039</v>
      </c>
      <c r="J40" s="2" t="str">
        <f t="shared" si="2"/>
        <v>2026</v>
      </c>
      <c r="K40" s="2">
        <f t="shared" si="3"/>
        <v>13</v>
      </c>
      <c r="L40" s="2" t="str">
        <f t="shared" si="4"/>
        <v>Fatou</v>
      </c>
      <c r="M40" s="2" t="str">
        <f t="shared" si="5"/>
        <v>Gueye</v>
      </c>
      <c r="N40" s="2" t="str">
        <f t="shared" si="6"/>
        <v>Fatou Gueye</v>
      </c>
      <c r="O40" t="str">
        <f t="shared" si="7"/>
        <v>Dakar - Sénégal</v>
      </c>
    </row>
    <row r="41" spans="1:15" ht="15.75" customHeight="1" x14ac:dyDescent="0.45">
      <c r="A41" s="1" t="s">
        <v>187</v>
      </c>
      <c r="B41" s="1" t="s">
        <v>154</v>
      </c>
      <c r="C41" s="1" t="s">
        <v>188</v>
      </c>
      <c r="D41" s="1" t="s">
        <v>189</v>
      </c>
      <c r="E41" s="1" t="s">
        <v>190</v>
      </c>
      <c r="F41" s="1" t="s">
        <v>52</v>
      </c>
      <c r="G41" s="1" t="s">
        <v>13</v>
      </c>
      <c r="H41" s="2" t="str">
        <f t="shared" si="0"/>
        <v>CLI</v>
      </c>
      <c r="I41" s="2" t="str">
        <f t="shared" si="1"/>
        <v>0040</v>
      </c>
      <c r="J41" s="2" t="str">
        <f t="shared" si="2"/>
        <v>2026</v>
      </c>
      <c r="K41" s="2">
        <f t="shared" si="3"/>
        <v>13</v>
      </c>
      <c r="L41" s="2" t="str">
        <f t="shared" si="4"/>
        <v>Pape</v>
      </c>
      <c r="M41" s="2" t="str">
        <f t="shared" si="5"/>
        <v>Cisse</v>
      </c>
      <c r="N41" s="2" t="str">
        <f t="shared" si="6"/>
        <v>Pape Cisse</v>
      </c>
      <c r="O41" t="str">
        <f t="shared" si="7"/>
        <v>Thiès - Sénégal</v>
      </c>
    </row>
    <row r="42" spans="1:15" ht="15.75" customHeight="1" x14ac:dyDescent="0.45">
      <c r="A42" s="1" t="s">
        <v>191</v>
      </c>
      <c r="B42" s="1" t="s">
        <v>192</v>
      </c>
      <c r="C42" s="1" t="s">
        <v>193</v>
      </c>
      <c r="D42" s="1" t="s">
        <v>194</v>
      </c>
      <c r="E42" s="1" t="s">
        <v>195</v>
      </c>
      <c r="F42" s="1" t="s">
        <v>19</v>
      </c>
      <c r="G42" s="1" t="s">
        <v>13</v>
      </c>
      <c r="H42" s="2" t="str">
        <f t="shared" si="0"/>
        <v>CLI</v>
      </c>
      <c r="I42" s="2" t="str">
        <f t="shared" si="1"/>
        <v>0041</v>
      </c>
      <c r="J42" s="2" t="str">
        <f t="shared" si="2"/>
        <v>2026</v>
      </c>
      <c r="K42" s="2">
        <f t="shared" si="3"/>
        <v>13</v>
      </c>
      <c r="L42" s="2" t="str">
        <f t="shared" si="4"/>
        <v>Babacar</v>
      </c>
      <c r="M42" s="2" t="str">
        <f t="shared" si="5"/>
        <v>Sarr</v>
      </c>
      <c r="N42" s="2" t="str">
        <f t="shared" si="6"/>
        <v>Babacar Sarr</v>
      </c>
      <c r="O42" t="str">
        <f t="shared" si="7"/>
        <v>Saint-Louis - Sénégal</v>
      </c>
    </row>
    <row r="43" spans="1:15" ht="15.75" customHeight="1" x14ac:dyDescent="0.45">
      <c r="A43" s="1" t="s">
        <v>196</v>
      </c>
      <c r="B43" s="1" t="s">
        <v>38</v>
      </c>
      <c r="C43" s="1" t="s">
        <v>197</v>
      </c>
      <c r="D43" s="1" t="s">
        <v>198</v>
      </c>
      <c r="E43" s="1" t="s">
        <v>199</v>
      </c>
      <c r="F43" s="1" t="s">
        <v>19</v>
      </c>
      <c r="G43" s="1" t="s">
        <v>13</v>
      </c>
      <c r="H43" s="2" t="str">
        <f t="shared" si="0"/>
        <v>CLI</v>
      </c>
      <c r="I43" s="2" t="str">
        <f t="shared" si="1"/>
        <v>0042</v>
      </c>
      <c r="J43" s="2" t="str">
        <f t="shared" si="2"/>
        <v>26-0</v>
      </c>
      <c r="K43" s="2">
        <f t="shared" si="3"/>
        <v>11</v>
      </c>
      <c r="L43" s="2" t="str">
        <f t="shared" si="4"/>
        <v>Cheikh</v>
      </c>
      <c r="M43" s="2" t="str">
        <f t="shared" si="5"/>
        <v>Fall</v>
      </c>
      <c r="N43" s="2" t="str">
        <f t="shared" si="6"/>
        <v>Cheikh Fall</v>
      </c>
      <c r="O43" t="str">
        <f t="shared" si="7"/>
        <v>Saint-Louis - Sénégal</v>
      </c>
    </row>
    <row r="44" spans="1:15" ht="15.75" customHeight="1" x14ac:dyDescent="0.45">
      <c r="A44" s="1" t="s">
        <v>200</v>
      </c>
      <c r="B44" s="1" t="s">
        <v>201</v>
      </c>
      <c r="C44" s="1" t="s">
        <v>202</v>
      </c>
      <c r="D44" s="1" t="s">
        <v>203</v>
      </c>
      <c r="E44" s="1" t="s">
        <v>204</v>
      </c>
      <c r="F44" s="1" t="s">
        <v>52</v>
      </c>
      <c r="G44" s="1" t="s">
        <v>13</v>
      </c>
      <c r="H44" s="2" t="str">
        <f t="shared" si="0"/>
        <v>CLI</v>
      </c>
      <c r="I44" s="2" t="str">
        <f t="shared" si="1"/>
        <v>0043</v>
      </c>
      <c r="J44" s="2" t="str">
        <f t="shared" si="2"/>
        <v>2026</v>
      </c>
      <c r="K44" s="2">
        <f t="shared" si="3"/>
        <v>13</v>
      </c>
      <c r="L44" s="2" t="str">
        <f t="shared" si="4"/>
        <v>Sokhna</v>
      </c>
      <c r="M44" s="2" t="str">
        <f t="shared" si="5"/>
        <v>Diop</v>
      </c>
      <c r="N44" s="2" t="str">
        <f t="shared" si="6"/>
        <v>Sokhna Diop</v>
      </c>
      <c r="O44" t="str">
        <f t="shared" si="7"/>
        <v>Thiès - Sénégal</v>
      </c>
    </row>
    <row r="45" spans="1:15" ht="15.75" customHeight="1" x14ac:dyDescent="0.45">
      <c r="A45" s="1" t="s">
        <v>205</v>
      </c>
      <c r="B45" s="1" t="s">
        <v>206</v>
      </c>
      <c r="C45" s="1" t="s">
        <v>69</v>
      </c>
      <c r="D45" s="1" t="s">
        <v>207</v>
      </c>
      <c r="E45" s="1" t="s">
        <v>208</v>
      </c>
      <c r="F45" s="1" t="s">
        <v>31</v>
      </c>
      <c r="G45" s="1" t="s">
        <v>13</v>
      </c>
      <c r="H45" s="2" t="str">
        <f t="shared" si="0"/>
        <v>CLI</v>
      </c>
      <c r="I45" s="2" t="str">
        <f t="shared" si="1"/>
        <v>0044</v>
      </c>
      <c r="J45" s="2" t="str">
        <f t="shared" si="2"/>
        <v>2026</v>
      </c>
      <c r="K45" s="2">
        <f t="shared" si="3"/>
        <v>13</v>
      </c>
      <c r="L45" s="2" t="str">
        <f t="shared" si="4"/>
        <v>Alioune</v>
      </c>
      <c r="M45" s="2" t="str">
        <f t="shared" si="5"/>
        <v>Seck</v>
      </c>
      <c r="N45" s="2" t="str">
        <f t="shared" si="6"/>
        <v>Alioune Seck</v>
      </c>
      <c r="O45" t="str">
        <f t="shared" si="7"/>
        <v>Kaolack - Sénégal</v>
      </c>
    </row>
    <row r="46" spans="1:15" ht="15.75" customHeight="1" x14ac:dyDescent="0.45">
      <c r="A46" s="1" t="s">
        <v>209</v>
      </c>
      <c r="B46" s="1" t="s">
        <v>210</v>
      </c>
      <c r="C46" s="1" t="s">
        <v>211</v>
      </c>
      <c r="D46" s="1" t="s">
        <v>122</v>
      </c>
      <c r="E46" s="1" t="s">
        <v>212</v>
      </c>
      <c r="F46" s="1" t="s">
        <v>31</v>
      </c>
      <c r="G46" s="1" t="s">
        <v>13</v>
      </c>
      <c r="H46" s="2" t="str">
        <f t="shared" si="0"/>
        <v>CLI</v>
      </c>
      <c r="I46" s="2" t="str">
        <f t="shared" si="1"/>
        <v>0045</v>
      </c>
      <c r="J46" s="2" t="str">
        <f t="shared" si="2"/>
        <v>2026</v>
      </c>
      <c r="K46" s="2">
        <f t="shared" si="3"/>
        <v>13</v>
      </c>
      <c r="L46" s="2" t="str">
        <f t="shared" si="4"/>
        <v>Awa</v>
      </c>
      <c r="M46" s="2" t="str">
        <f t="shared" si="5"/>
        <v>Gueye</v>
      </c>
      <c r="N46" s="2" t="str">
        <f t="shared" si="6"/>
        <v>Awa Gueye</v>
      </c>
      <c r="O46" t="str">
        <f t="shared" si="7"/>
        <v>Kaolack - Sénégal</v>
      </c>
    </row>
    <row r="47" spans="1:15" ht="15.75" customHeight="1" x14ac:dyDescent="0.45">
      <c r="A47" s="1" t="s">
        <v>213</v>
      </c>
      <c r="B47" s="1" t="s">
        <v>58</v>
      </c>
      <c r="C47" s="1" t="s">
        <v>59</v>
      </c>
      <c r="D47" s="1" t="s">
        <v>60</v>
      </c>
      <c r="E47" s="1" t="s">
        <v>214</v>
      </c>
      <c r="F47" s="1" t="s">
        <v>12</v>
      </c>
      <c r="G47" s="1" t="s">
        <v>13</v>
      </c>
      <c r="H47" s="2" t="str">
        <f t="shared" si="0"/>
        <v>CLI</v>
      </c>
      <c r="I47" s="2" t="str">
        <f t="shared" si="1"/>
        <v>0046</v>
      </c>
      <c r="J47" s="2" t="str">
        <f t="shared" si="2"/>
        <v>2026</v>
      </c>
      <c r="K47" s="2">
        <f t="shared" si="3"/>
        <v>13</v>
      </c>
      <c r="L47" s="2" t="str">
        <f t="shared" si="4"/>
        <v>Ousmane</v>
      </c>
      <c r="M47" s="2" t="str">
        <f t="shared" si="5"/>
        <v>Sarr</v>
      </c>
      <c r="N47" s="2" t="str">
        <f t="shared" si="6"/>
        <v>Ousmane Sarr</v>
      </c>
      <c r="O47" t="str">
        <f t="shared" si="7"/>
        <v>Dakar - Sénégal</v>
      </c>
    </row>
    <row r="48" spans="1:15" ht="15.75" customHeight="1" x14ac:dyDescent="0.45">
      <c r="A48" s="1" t="s">
        <v>215</v>
      </c>
      <c r="B48" s="1" t="s">
        <v>201</v>
      </c>
      <c r="C48" s="1" t="s">
        <v>216</v>
      </c>
      <c r="D48" s="1" t="s">
        <v>217</v>
      </c>
      <c r="E48" s="1" t="s">
        <v>218</v>
      </c>
      <c r="F48" s="1" t="s">
        <v>19</v>
      </c>
      <c r="G48" s="1" t="s">
        <v>13</v>
      </c>
      <c r="H48" s="2" t="str">
        <f t="shared" si="0"/>
        <v>CLI</v>
      </c>
      <c r="I48" s="2" t="str">
        <f t="shared" si="1"/>
        <v>0047</v>
      </c>
      <c r="J48" s="2" t="str">
        <f t="shared" si="2"/>
        <v>2026</v>
      </c>
      <c r="K48" s="2">
        <f t="shared" si="3"/>
        <v>13</v>
      </c>
      <c r="L48" s="2" t="str">
        <f t="shared" si="4"/>
        <v>Sokhna</v>
      </c>
      <c r="M48" s="2" t="str">
        <f t="shared" si="5"/>
        <v>Ndiaye</v>
      </c>
      <c r="N48" s="2" t="str">
        <f t="shared" si="6"/>
        <v>Sokhna Ndiaye</v>
      </c>
      <c r="O48" t="str">
        <f t="shared" si="7"/>
        <v>Saint-Louis - Sénégal</v>
      </c>
    </row>
    <row r="49" spans="1:15" ht="15.75" customHeight="1" x14ac:dyDescent="0.45">
      <c r="A49" s="1" t="s">
        <v>219</v>
      </c>
      <c r="B49" s="1" t="s">
        <v>68</v>
      </c>
      <c r="C49" s="1" t="s">
        <v>90</v>
      </c>
      <c r="D49" s="1" t="s">
        <v>220</v>
      </c>
      <c r="E49" s="1" t="s">
        <v>221</v>
      </c>
      <c r="F49" s="1" t="s">
        <v>52</v>
      </c>
      <c r="G49" s="1" t="s">
        <v>13</v>
      </c>
      <c r="H49" s="2" t="str">
        <f t="shared" si="0"/>
        <v>CLI</v>
      </c>
      <c r="I49" s="2" t="str">
        <f t="shared" si="1"/>
        <v>0048</v>
      </c>
      <c r="J49" s="2" t="str">
        <f t="shared" si="2"/>
        <v>2026</v>
      </c>
      <c r="K49" s="2">
        <f t="shared" si="3"/>
        <v>13</v>
      </c>
      <c r="L49" s="2" t="str">
        <f t="shared" si="4"/>
        <v>Ibrahima</v>
      </c>
      <c r="M49" s="2" t="str">
        <f t="shared" si="5"/>
        <v>Diallo</v>
      </c>
      <c r="N49" s="2" t="str">
        <f t="shared" si="6"/>
        <v>Ibrahima Diallo</v>
      </c>
      <c r="O49" t="str">
        <f t="shared" si="7"/>
        <v>Thiès - Sénégal</v>
      </c>
    </row>
    <row r="50" spans="1:15" ht="15.75" customHeight="1" x14ac:dyDescent="0.45">
      <c r="A50" s="1" t="s">
        <v>222</v>
      </c>
      <c r="B50" s="1" t="s">
        <v>73</v>
      </c>
      <c r="C50" s="1" t="s">
        <v>211</v>
      </c>
      <c r="D50" s="1" t="s">
        <v>223</v>
      </c>
      <c r="E50" s="1" t="s">
        <v>224</v>
      </c>
      <c r="F50" s="1" t="s">
        <v>77</v>
      </c>
      <c r="G50" s="1" t="s">
        <v>13</v>
      </c>
      <c r="H50" s="2" t="str">
        <f t="shared" si="0"/>
        <v>CLI</v>
      </c>
      <c r="I50" s="2" t="str">
        <f t="shared" si="1"/>
        <v>0049</v>
      </c>
      <c r="J50" s="2" t="str">
        <f t="shared" si="2"/>
        <v>2026</v>
      </c>
      <c r="K50" s="2">
        <f t="shared" si="3"/>
        <v>13</v>
      </c>
      <c r="L50" s="2" t="str">
        <f t="shared" si="4"/>
        <v>Moussa</v>
      </c>
      <c r="M50" s="2" t="str">
        <f t="shared" si="5"/>
        <v>Gueye</v>
      </c>
      <c r="N50" s="2" t="str">
        <f t="shared" si="6"/>
        <v>Moussa Gueye</v>
      </c>
      <c r="O50" t="str">
        <f t="shared" si="7"/>
        <v>Touba - Sénégal</v>
      </c>
    </row>
    <row r="51" spans="1:15" ht="15.75" customHeight="1" x14ac:dyDescent="0.45">
      <c r="A51" s="1" t="s">
        <v>225</v>
      </c>
      <c r="B51" s="1" t="s">
        <v>226</v>
      </c>
      <c r="C51" s="1" t="s">
        <v>227</v>
      </c>
      <c r="D51" s="1" t="s">
        <v>228</v>
      </c>
      <c r="E51" s="1" t="s">
        <v>229</v>
      </c>
      <c r="F51" s="1" t="s">
        <v>52</v>
      </c>
      <c r="G51" s="1" t="s">
        <v>13</v>
      </c>
      <c r="H51" s="2" t="str">
        <f t="shared" si="0"/>
        <v>CLI</v>
      </c>
      <c r="I51" s="2" t="str">
        <f t="shared" si="1"/>
        <v>0050</v>
      </c>
      <c r="J51" s="2" t="str">
        <f t="shared" si="2"/>
        <v>2026</v>
      </c>
      <c r="K51" s="2">
        <f t="shared" si="3"/>
        <v>13</v>
      </c>
      <c r="L51" s="2" t="str">
        <f t="shared" si="4"/>
        <v>Astou</v>
      </c>
      <c r="M51" s="2" t="str">
        <f t="shared" si="5"/>
        <v>Mbaye</v>
      </c>
      <c r="N51" s="2" t="str">
        <f t="shared" si="6"/>
        <v>Astou Mbaye</v>
      </c>
      <c r="O51" t="str">
        <f t="shared" si="7"/>
        <v>Thiès - Sénégal</v>
      </c>
    </row>
    <row r="52" spans="1:15" ht="15.75" customHeight="1" x14ac:dyDescent="0.45">
      <c r="A52" s="1" t="s">
        <v>230</v>
      </c>
      <c r="B52" s="1" t="s">
        <v>184</v>
      </c>
      <c r="C52" s="1" t="s">
        <v>202</v>
      </c>
      <c r="D52" s="1" t="s">
        <v>231</v>
      </c>
      <c r="E52" s="1" t="s">
        <v>232</v>
      </c>
      <c r="F52" s="1" t="s">
        <v>19</v>
      </c>
      <c r="G52" s="1" t="s">
        <v>13</v>
      </c>
      <c r="H52" s="2" t="str">
        <f t="shared" si="0"/>
        <v>CLI</v>
      </c>
      <c r="I52" s="2" t="str">
        <f t="shared" si="1"/>
        <v>0051</v>
      </c>
      <c r="J52" s="2" t="str">
        <f t="shared" si="2"/>
        <v>2026</v>
      </c>
      <c r="K52" s="2">
        <f t="shared" si="3"/>
        <v>13</v>
      </c>
      <c r="L52" s="2" t="str">
        <f t="shared" si="4"/>
        <v>Fatou</v>
      </c>
      <c r="M52" s="2" t="str">
        <f t="shared" si="5"/>
        <v>Diop</v>
      </c>
      <c r="N52" s="2" t="str">
        <f t="shared" si="6"/>
        <v>Fatou Diop</v>
      </c>
      <c r="O52" t="str">
        <f t="shared" si="7"/>
        <v>Saint-Louis - Sénégal</v>
      </c>
    </row>
    <row r="53" spans="1:15" ht="15.75" customHeight="1" x14ac:dyDescent="0.45">
      <c r="A53" s="1" t="s">
        <v>233</v>
      </c>
      <c r="B53" s="1" t="s">
        <v>234</v>
      </c>
      <c r="C53" s="1" t="s">
        <v>155</v>
      </c>
      <c r="D53" s="1" t="s">
        <v>235</v>
      </c>
      <c r="E53" s="1" t="s">
        <v>236</v>
      </c>
      <c r="F53" s="1" t="s">
        <v>19</v>
      </c>
      <c r="G53" s="1" t="s">
        <v>13</v>
      </c>
      <c r="H53" s="2" t="str">
        <f t="shared" si="0"/>
        <v>CLI</v>
      </c>
      <c r="I53" s="2" t="str">
        <f t="shared" si="1"/>
        <v>0052</v>
      </c>
      <c r="J53" s="2" t="str">
        <f t="shared" si="2"/>
        <v>2026</v>
      </c>
      <c r="K53" s="2">
        <f t="shared" si="3"/>
        <v>13</v>
      </c>
      <c r="L53" s="2" t="str">
        <f t="shared" si="4"/>
        <v>Abdoulaye</v>
      </c>
      <c r="M53" s="2" t="str">
        <f t="shared" si="5"/>
        <v>Sow</v>
      </c>
      <c r="N53" s="2" t="str">
        <f t="shared" si="6"/>
        <v>Abdoulaye Sow</v>
      </c>
      <c r="O53" t="str">
        <f t="shared" si="7"/>
        <v>Saint-Louis - Sénégal</v>
      </c>
    </row>
    <row r="54" spans="1:15" ht="15.75" customHeight="1" x14ac:dyDescent="0.45">
      <c r="A54" s="1" t="s">
        <v>237</v>
      </c>
      <c r="B54" s="1" t="s">
        <v>33</v>
      </c>
      <c r="C54" s="1" t="s">
        <v>34</v>
      </c>
      <c r="D54" s="1" t="s">
        <v>35</v>
      </c>
      <c r="E54" s="1" t="s">
        <v>238</v>
      </c>
      <c r="F54" s="1" t="s">
        <v>77</v>
      </c>
      <c r="G54" s="1" t="s">
        <v>13</v>
      </c>
      <c r="H54" s="2" t="str">
        <f t="shared" si="0"/>
        <v>CLI</v>
      </c>
      <c r="I54" s="2" t="str">
        <f t="shared" si="1"/>
        <v>0053</v>
      </c>
      <c r="J54" s="2" t="str">
        <f t="shared" si="2"/>
        <v>2026</v>
      </c>
      <c r="K54" s="2">
        <f t="shared" si="3"/>
        <v>13</v>
      </c>
      <c r="L54" s="2" t="str">
        <f t="shared" si="4"/>
        <v>Aminata</v>
      </c>
      <c r="M54" s="2" t="str">
        <f t="shared" si="5"/>
        <v>Cisse</v>
      </c>
      <c r="N54" s="2" t="str">
        <f t="shared" si="6"/>
        <v>Aminata Cisse</v>
      </c>
      <c r="O54" t="str">
        <f t="shared" si="7"/>
        <v>Touba - Sénégal</v>
      </c>
    </row>
    <row r="55" spans="1:15" ht="15.75" customHeight="1" x14ac:dyDescent="0.4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243</v>
      </c>
      <c r="F55" s="1" t="s">
        <v>77</v>
      </c>
      <c r="G55" s="1" t="s">
        <v>13</v>
      </c>
      <c r="H55" s="2" t="str">
        <f t="shared" si="0"/>
        <v>CLI</v>
      </c>
      <c r="I55" s="2" t="str">
        <f t="shared" si="1"/>
        <v>0054</v>
      </c>
      <c r="J55" s="2" t="str">
        <f t="shared" si="2"/>
        <v>2026</v>
      </c>
      <c r="K55" s="2">
        <f t="shared" si="3"/>
        <v>13</v>
      </c>
      <c r="L55" s="2" t="str">
        <f t="shared" si="4"/>
        <v>Babacar</v>
      </c>
      <c r="M55" s="2" t="str">
        <f t="shared" si="5"/>
        <v>Kane</v>
      </c>
      <c r="N55" s="2" t="str">
        <f t="shared" si="6"/>
        <v>Babacar Kane</v>
      </c>
      <c r="O55" t="str">
        <f t="shared" si="7"/>
        <v>Touba - Sénégal</v>
      </c>
    </row>
    <row r="56" spans="1:15" ht="15.75" customHeight="1" x14ac:dyDescent="0.45">
      <c r="A56" s="1" t="s">
        <v>244</v>
      </c>
      <c r="B56" s="1" t="s">
        <v>84</v>
      </c>
      <c r="C56" s="1" t="s">
        <v>121</v>
      </c>
      <c r="D56" s="1" t="s">
        <v>245</v>
      </c>
      <c r="E56" s="1" t="s">
        <v>246</v>
      </c>
      <c r="F56" s="1" t="s">
        <v>25</v>
      </c>
      <c r="G56" s="1" t="s">
        <v>13</v>
      </c>
      <c r="H56" s="2" t="str">
        <f t="shared" si="0"/>
        <v>CLI</v>
      </c>
      <c r="I56" s="2" t="str">
        <f t="shared" si="1"/>
        <v>0055</v>
      </c>
      <c r="J56" s="2" t="str">
        <f t="shared" si="2"/>
        <v>2026</v>
      </c>
      <c r="K56" s="2">
        <f t="shared" si="3"/>
        <v>13</v>
      </c>
      <c r="L56" s="2" t="str">
        <f t="shared" si="4"/>
        <v>Ndeye</v>
      </c>
      <c r="M56" s="2" t="str">
        <f t="shared" si="5"/>
        <v>Gueye</v>
      </c>
      <c r="N56" s="2" t="str">
        <f t="shared" si="6"/>
        <v>Ndeye Gueye</v>
      </c>
      <c r="O56" t="str">
        <f t="shared" si="7"/>
        <v>Ziguinchor - Sénégal</v>
      </c>
    </row>
    <row r="57" spans="1:15" ht="15.75" customHeight="1" x14ac:dyDescent="0.45">
      <c r="A57" s="1" t="s">
        <v>247</v>
      </c>
      <c r="B57" s="1" t="s">
        <v>234</v>
      </c>
      <c r="C57" s="1" t="s">
        <v>248</v>
      </c>
      <c r="D57" s="1" t="s">
        <v>249</v>
      </c>
      <c r="E57" s="1" t="s">
        <v>250</v>
      </c>
      <c r="F57" s="1" t="s">
        <v>19</v>
      </c>
      <c r="G57" s="1" t="s">
        <v>13</v>
      </c>
      <c r="H57" s="2" t="str">
        <f t="shared" si="0"/>
        <v>CLI</v>
      </c>
      <c r="I57" s="2" t="str">
        <f t="shared" si="1"/>
        <v>0056</v>
      </c>
      <c r="J57" s="2" t="str">
        <f t="shared" si="2"/>
        <v>2026</v>
      </c>
      <c r="K57" s="2">
        <f t="shared" si="3"/>
        <v>13</v>
      </c>
      <c r="L57" s="2" t="str">
        <f t="shared" si="4"/>
        <v>Abdoulaye</v>
      </c>
      <c r="M57" s="2" t="str">
        <f t="shared" si="5"/>
        <v>Camara</v>
      </c>
      <c r="N57" s="2" t="str">
        <f t="shared" si="6"/>
        <v>Abdoulaye Camara</v>
      </c>
      <c r="O57" t="str">
        <f t="shared" si="7"/>
        <v>Saint-Louis - Sénégal</v>
      </c>
    </row>
    <row r="58" spans="1:15" ht="15.75" customHeight="1" x14ac:dyDescent="0.45">
      <c r="A58" s="1" t="s">
        <v>251</v>
      </c>
      <c r="B58" s="1" t="s">
        <v>252</v>
      </c>
      <c r="C58" s="1" t="s">
        <v>112</v>
      </c>
      <c r="D58" s="1" t="s">
        <v>40</v>
      </c>
      <c r="E58" s="1" t="s">
        <v>253</v>
      </c>
      <c r="F58" s="1" t="s">
        <v>31</v>
      </c>
      <c r="G58" s="1" t="s">
        <v>13</v>
      </c>
      <c r="H58" s="2" t="str">
        <f t="shared" si="0"/>
        <v>CLI</v>
      </c>
      <c r="I58" s="2" t="str">
        <f t="shared" si="1"/>
        <v>0057</v>
      </c>
      <c r="J58" s="2" t="str">
        <f t="shared" si="2"/>
        <v>2026</v>
      </c>
      <c r="K58" s="2">
        <f t="shared" si="3"/>
        <v>13</v>
      </c>
      <c r="L58" s="2" t="str">
        <f t="shared" si="4"/>
        <v>Cheikh</v>
      </c>
      <c r="M58" s="2" t="str">
        <f t="shared" si="5"/>
        <v>Faye</v>
      </c>
      <c r="N58" s="2" t="str">
        <f t="shared" si="6"/>
        <v>Cheikh Faye</v>
      </c>
      <c r="O58" t="str">
        <f t="shared" si="7"/>
        <v>Kaolack - Sénégal</v>
      </c>
    </row>
    <row r="59" spans="1:15" ht="15.75" customHeight="1" x14ac:dyDescent="0.45">
      <c r="A59" s="1" t="s">
        <v>254</v>
      </c>
      <c r="B59" s="1" t="s">
        <v>255</v>
      </c>
      <c r="C59" s="1" t="s">
        <v>256</v>
      </c>
      <c r="D59" s="1" t="s">
        <v>257</v>
      </c>
      <c r="E59" s="1" t="s">
        <v>258</v>
      </c>
      <c r="F59" s="1" t="s">
        <v>19</v>
      </c>
      <c r="G59" s="1" t="s">
        <v>13</v>
      </c>
      <c r="H59" s="2" t="str">
        <f t="shared" si="0"/>
        <v>CLI</v>
      </c>
      <c r="I59" s="2" t="str">
        <f t="shared" si="1"/>
        <v>0058</v>
      </c>
      <c r="J59" s="2" t="str">
        <f t="shared" si="2"/>
        <v>2026</v>
      </c>
      <c r="K59" s="2">
        <f t="shared" si="3"/>
        <v>13</v>
      </c>
      <c r="L59" s="2" t="str">
        <f t="shared" si="4"/>
        <v>Mariama</v>
      </c>
      <c r="M59" s="2" t="str">
        <f t="shared" si="5"/>
        <v>Ndiaye</v>
      </c>
      <c r="N59" s="2" t="str">
        <f t="shared" si="6"/>
        <v>Mariama Ndiaye</v>
      </c>
      <c r="O59" t="str">
        <f t="shared" si="7"/>
        <v>Saint-Louis - Sénégal</v>
      </c>
    </row>
    <row r="60" spans="1:15" ht="15.75" customHeight="1" x14ac:dyDescent="0.4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263</v>
      </c>
      <c r="F60" s="1" t="s">
        <v>12</v>
      </c>
      <c r="G60" s="1" t="s">
        <v>13</v>
      </c>
      <c r="H60" s="2" t="str">
        <f t="shared" si="0"/>
        <v>CLI</v>
      </c>
      <c r="I60" s="2" t="str">
        <f t="shared" si="1"/>
        <v>0059</v>
      </c>
      <c r="J60" s="2" t="str">
        <f t="shared" si="2"/>
        <v>2026</v>
      </c>
      <c r="K60" s="2">
        <f t="shared" si="3"/>
        <v>13</v>
      </c>
      <c r="L60" s="2" t="str">
        <f t="shared" si="4"/>
        <v>Rokhaya</v>
      </c>
      <c r="M60" s="2" t="str">
        <f t="shared" si="5"/>
        <v>Ba</v>
      </c>
      <c r="N60" s="2" t="str">
        <f t="shared" si="6"/>
        <v>Rokhaya Ba</v>
      </c>
      <c r="O60" t="str">
        <f t="shared" si="7"/>
        <v>Dakar - Sénégal</v>
      </c>
    </row>
    <row r="61" spans="1:15" ht="15.75" customHeight="1" x14ac:dyDescent="0.45">
      <c r="A61" s="1" t="s">
        <v>264</v>
      </c>
      <c r="B61" s="1" t="s">
        <v>139</v>
      </c>
      <c r="C61" s="1" t="s">
        <v>265</v>
      </c>
      <c r="D61" s="1" t="s">
        <v>145</v>
      </c>
      <c r="E61" s="1" t="s">
        <v>266</v>
      </c>
      <c r="F61" s="1" t="s">
        <v>12</v>
      </c>
      <c r="G61" s="1" t="s">
        <v>13</v>
      </c>
      <c r="H61" s="2" t="str">
        <f t="shared" si="0"/>
        <v>CLI</v>
      </c>
      <c r="I61" s="2" t="str">
        <f t="shared" si="1"/>
        <v>0060</v>
      </c>
      <c r="J61" s="2" t="str">
        <f t="shared" si="2"/>
        <v>2026</v>
      </c>
      <c r="K61" s="2">
        <f t="shared" si="3"/>
        <v>13</v>
      </c>
      <c r="L61" s="2" t="str">
        <f t="shared" si="4"/>
        <v>Astou</v>
      </c>
      <c r="M61" s="2" t="str">
        <f t="shared" si="5"/>
        <v>Faye</v>
      </c>
      <c r="N61" s="2" t="str">
        <f t="shared" si="6"/>
        <v>Astou Faye</v>
      </c>
      <c r="O61" t="str">
        <f t="shared" si="7"/>
        <v>Dakar - Sénégal</v>
      </c>
    </row>
    <row r="62" spans="1:15" ht="15.75" customHeight="1" x14ac:dyDescent="0.45">
      <c r="A62" s="1" t="s">
        <v>267</v>
      </c>
      <c r="B62" s="1" t="s">
        <v>268</v>
      </c>
      <c r="C62" s="1" t="s">
        <v>175</v>
      </c>
      <c r="D62" s="1" t="s">
        <v>269</v>
      </c>
      <c r="E62" s="1" t="s">
        <v>270</v>
      </c>
      <c r="F62" s="1" t="s">
        <v>19</v>
      </c>
      <c r="G62" s="1" t="s">
        <v>13</v>
      </c>
      <c r="H62" s="2" t="str">
        <f t="shared" si="0"/>
        <v>CLI</v>
      </c>
      <c r="I62" s="2" t="str">
        <f t="shared" si="1"/>
        <v>0061</v>
      </c>
      <c r="J62" s="2" t="str">
        <f t="shared" si="2"/>
        <v>2026</v>
      </c>
      <c r="K62" s="2">
        <f t="shared" si="3"/>
        <v>13</v>
      </c>
      <c r="L62" s="2" t="str">
        <f t="shared" si="4"/>
        <v>Fatou</v>
      </c>
      <c r="M62" s="2" t="str">
        <f t="shared" si="5"/>
        <v>Camara</v>
      </c>
      <c r="N62" s="2" t="str">
        <f t="shared" si="6"/>
        <v>Fatou Camara</v>
      </c>
      <c r="O62" t="str">
        <f t="shared" si="7"/>
        <v>Saint-Louis - Sénégal</v>
      </c>
    </row>
    <row r="63" spans="1:15" ht="15.75" customHeight="1" x14ac:dyDescent="0.45">
      <c r="A63" s="1" t="s">
        <v>271</v>
      </c>
      <c r="B63" s="1" t="s">
        <v>272</v>
      </c>
      <c r="C63" s="1" t="s">
        <v>131</v>
      </c>
      <c r="D63" s="1" t="s">
        <v>273</v>
      </c>
      <c r="E63" s="1" t="s">
        <v>274</v>
      </c>
      <c r="F63" s="1" t="s">
        <v>52</v>
      </c>
      <c r="G63" s="1" t="s">
        <v>13</v>
      </c>
      <c r="H63" s="2" t="str">
        <f t="shared" si="0"/>
        <v>CLI</v>
      </c>
      <c r="I63" s="2" t="str">
        <f t="shared" si="1"/>
        <v>0062</v>
      </c>
      <c r="J63" s="2" t="str">
        <f t="shared" si="2"/>
        <v>2026</v>
      </c>
      <c r="K63" s="2">
        <f t="shared" si="3"/>
        <v>13</v>
      </c>
      <c r="L63" s="2" t="str">
        <f t="shared" si="4"/>
        <v>Ibrahima</v>
      </c>
      <c r="M63" s="2" t="str">
        <f t="shared" si="5"/>
        <v>Sow</v>
      </c>
      <c r="N63" s="2" t="str">
        <f t="shared" si="6"/>
        <v>Ibrahima Sow</v>
      </c>
      <c r="O63" t="str">
        <f t="shared" si="7"/>
        <v>Thiès - Sénégal</v>
      </c>
    </row>
    <row r="64" spans="1:15" ht="15.75" customHeight="1" x14ac:dyDescent="0.4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279</v>
      </c>
      <c r="F64" s="1" t="s">
        <v>52</v>
      </c>
      <c r="G64" s="1" t="s">
        <v>13</v>
      </c>
      <c r="H64" s="2" t="str">
        <f t="shared" si="0"/>
        <v>CLI</v>
      </c>
      <c r="I64" s="2" t="str">
        <f t="shared" si="1"/>
        <v>0063</v>
      </c>
      <c r="J64" s="2" t="str">
        <f t="shared" si="2"/>
        <v>2026</v>
      </c>
      <c r="K64" s="2">
        <f t="shared" si="3"/>
        <v>13</v>
      </c>
      <c r="L64" s="2" t="str">
        <f t="shared" si="4"/>
        <v>Mariama</v>
      </c>
      <c r="M64" s="2" t="str">
        <f t="shared" si="5"/>
        <v>Fall</v>
      </c>
      <c r="N64" s="2" t="str">
        <f t="shared" si="6"/>
        <v>Mariama Fall</v>
      </c>
      <c r="O64" t="str">
        <f t="shared" si="7"/>
        <v>Thiès - Sénégal</v>
      </c>
    </row>
    <row r="65" spans="1:15" ht="15.75" customHeight="1" x14ac:dyDescent="0.45">
      <c r="A65" s="1" t="s">
        <v>280</v>
      </c>
      <c r="B65" s="1" t="s">
        <v>89</v>
      </c>
      <c r="C65" s="1" t="s">
        <v>49</v>
      </c>
      <c r="D65" s="1" t="s">
        <v>281</v>
      </c>
      <c r="E65" s="1" t="s">
        <v>282</v>
      </c>
      <c r="F65" s="1" t="s">
        <v>52</v>
      </c>
      <c r="G65" s="1" t="s">
        <v>13</v>
      </c>
      <c r="H65" s="2" t="str">
        <f t="shared" si="0"/>
        <v>CLI</v>
      </c>
      <c r="I65" s="2" t="str">
        <f t="shared" si="1"/>
        <v>0064</v>
      </c>
      <c r="J65" s="2" t="str">
        <f t="shared" si="2"/>
        <v>2026</v>
      </c>
      <c r="K65" s="2">
        <f t="shared" si="3"/>
        <v>13</v>
      </c>
      <c r="L65" s="2" t="str">
        <f t="shared" si="4"/>
        <v>Coumba</v>
      </c>
      <c r="M65" s="2" t="str">
        <f t="shared" si="5"/>
        <v>Fall</v>
      </c>
      <c r="N65" s="2" t="str">
        <f t="shared" si="6"/>
        <v>Coumba Fall</v>
      </c>
      <c r="O65" t="str">
        <f t="shared" si="7"/>
        <v>Thiès - Sénégal</v>
      </c>
    </row>
    <row r="66" spans="1:15" ht="15.75" customHeight="1" x14ac:dyDescent="0.45">
      <c r="A66" s="1" t="s">
        <v>283</v>
      </c>
      <c r="B66" s="1" t="s">
        <v>8</v>
      </c>
      <c r="C66" s="1" t="s">
        <v>54</v>
      </c>
      <c r="D66" s="1" t="s">
        <v>55</v>
      </c>
      <c r="E66" s="1" t="s">
        <v>284</v>
      </c>
      <c r="F66" s="1" t="s">
        <v>52</v>
      </c>
      <c r="G66" s="1" t="s">
        <v>13</v>
      </c>
      <c r="H66" s="2" t="str">
        <f t="shared" si="0"/>
        <v>CLI</v>
      </c>
      <c r="I66" s="2" t="str">
        <f t="shared" si="1"/>
        <v>-065</v>
      </c>
      <c r="J66" s="2" t="str">
        <f t="shared" si="2"/>
        <v>NT-2</v>
      </c>
      <c r="K66" s="2">
        <f t="shared" si="3"/>
        <v>15</v>
      </c>
      <c r="L66" s="2" t="str">
        <f t="shared" si="4"/>
        <v>Alioune</v>
      </c>
      <c r="M66" s="2" t="str">
        <f t="shared" si="5"/>
        <v>Sy</v>
      </c>
      <c r="N66" s="2" t="str">
        <f t="shared" si="6"/>
        <v>Alioune Sy</v>
      </c>
      <c r="O66" t="str">
        <f t="shared" si="7"/>
        <v>Thiès - Sénégal</v>
      </c>
    </row>
    <row r="67" spans="1:15" ht="15.75" customHeight="1" x14ac:dyDescent="0.45">
      <c r="A67" s="1" t="s">
        <v>285</v>
      </c>
      <c r="B67" s="1" t="s">
        <v>286</v>
      </c>
      <c r="C67" s="1" t="s">
        <v>241</v>
      </c>
      <c r="D67" s="1" t="s">
        <v>287</v>
      </c>
      <c r="E67" s="1" t="s">
        <v>288</v>
      </c>
      <c r="F67" s="1" t="s">
        <v>25</v>
      </c>
      <c r="G67" s="1" t="s">
        <v>13</v>
      </c>
      <c r="H67" s="2" t="str">
        <f t="shared" ref="H67:H101" si="8">LEFT(A67,3)</f>
        <v>CLI</v>
      </c>
      <c r="I67" s="2" t="str">
        <f t="shared" ref="I67:I101" si="9">RIGHT(A67,4)</f>
        <v>0066</v>
      </c>
      <c r="J67" s="2" t="str">
        <f t="shared" ref="J67:J101" si="10">MID(A67,5,4)</f>
        <v>2026</v>
      </c>
      <c r="K67" s="2">
        <f t="shared" ref="K67:K101" si="11">LEN(A67)</f>
        <v>13</v>
      </c>
      <c r="L67" s="2" t="str">
        <f t="shared" ref="L67:L101" si="12">TRIM(B67)</f>
        <v>Rokhaya</v>
      </c>
      <c r="M67" s="2" t="str">
        <f t="shared" ref="M67:M101" si="13">TRIM(C67)</f>
        <v>Kane</v>
      </c>
      <c r="N67" s="2" t="str">
        <f t="shared" ref="N67:N101" si="14">_xlfn.CONCAT(L67," ",M67)</f>
        <v>Rokhaya Kane</v>
      </c>
      <c r="O67" t="str">
        <f t="shared" ref="O67:O101" si="15">_xlfn.TEXTJOIN(" - ",TRUE,F67,G67)</f>
        <v>Ziguinchor - Sénégal</v>
      </c>
    </row>
    <row r="68" spans="1:15" ht="15.75" customHeight="1" x14ac:dyDescent="0.45">
      <c r="A68" s="1" t="s">
        <v>289</v>
      </c>
      <c r="B68" s="1" t="s">
        <v>120</v>
      </c>
      <c r="C68" s="1" t="s">
        <v>216</v>
      </c>
      <c r="D68" s="1" t="s">
        <v>290</v>
      </c>
      <c r="E68" s="1" t="s">
        <v>291</v>
      </c>
      <c r="F68" s="1" t="s">
        <v>31</v>
      </c>
      <c r="G68" s="1" t="s">
        <v>13</v>
      </c>
      <c r="H68" s="2" t="str">
        <f t="shared" si="8"/>
        <v>CLI</v>
      </c>
      <c r="I68" s="2" t="str">
        <f t="shared" si="9"/>
        <v>0067</v>
      </c>
      <c r="J68" s="2" t="str">
        <f t="shared" si="10"/>
        <v>2026</v>
      </c>
      <c r="K68" s="2">
        <f t="shared" si="11"/>
        <v>13</v>
      </c>
      <c r="L68" s="2" t="str">
        <f t="shared" si="12"/>
        <v>Awa</v>
      </c>
      <c r="M68" s="2" t="str">
        <f t="shared" si="13"/>
        <v>Ndiaye</v>
      </c>
      <c r="N68" s="2" t="str">
        <f t="shared" si="14"/>
        <v>Awa Ndiaye</v>
      </c>
      <c r="O68" t="str">
        <f t="shared" si="15"/>
        <v>Kaolack - Sénégal</v>
      </c>
    </row>
    <row r="69" spans="1:15" ht="15.75" customHeight="1" x14ac:dyDescent="0.45">
      <c r="A69" s="1" t="s">
        <v>292</v>
      </c>
      <c r="B69" s="1" t="s">
        <v>293</v>
      </c>
      <c r="C69" s="1" t="s">
        <v>265</v>
      </c>
      <c r="D69" s="1" t="s">
        <v>294</v>
      </c>
      <c r="E69" s="1" t="s">
        <v>295</v>
      </c>
      <c r="F69" s="1" t="s">
        <v>12</v>
      </c>
      <c r="G69" s="1" t="s">
        <v>13</v>
      </c>
      <c r="H69" s="2" t="str">
        <f t="shared" si="8"/>
        <v>CLI</v>
      </c>
      <c r="I69" s="2" t="str">
        <f t="shared" si="9"/>
        <v>0068</v>
      </c>
      <c r="J69" s="2" t="str">
        <f t="shared" si="10"/>
        <v>2026</v>
      </c>
      <c r="K69" s="2">
        <f t="shared" si="11"/>
        <v>13</v>
      </c>
      <c r="L69" s="2" t="str">
        <f t="shared" si="12"/>
        <v>Awa</v>
      </c>
      <c r="M69" s="2" t="str">
        <f t="shared" si="13"/>
        <v>Faye</v>
      </c>
      <c r="N69" s="2" t="str">
        <f t="shared" si="14"/>
        <v>Awa Faye</v>
      </c>
      <c r="O69" t="str">
        <f t="shared" si="15"/>
        <v>Dakar - Sénégal</v>
      </c>
    </row>
    <row r="70" spans="1:15" ht="15.75" customHeight="1" x14ac:dyDescent="0.45">
      <c r="A70" s="1" t="s">
        <v>296</v>
      </c>
      <c r="B70" s="1" t="s">
        <v>144</v>
      </c>
      <c r="C70" s="1" t="s">
        <v>74</v>
      </c>
      <c r="D70" s="1" t="s">
        <v>297</v>
      </c>
      <c r="E70" s="1" t="s">
        <v>298</v>
      </c>
      <c r="F70" s="1" t="s">
        <v>52</v>
      </c>
      <c r="G70" s="1" t="s">
        <v>13</v>
      </c>
      <c r="H70" s="2" t="str">
        <f t="shared" si="8"/>
        <v>CLI</v>
      </c>
      <c r="I70" s="2" t="str">
        <f t="shared" si="9"/>
        <v>0069</v>
      </c>
      <c r="J70" s="2" t="str">
        <f t="shared" si="10"/>
        <v>2026</v>
      </c>
      <c r="K70" s="2">
        <f t="shared" si="11"/>
        <v>13</v>
      </c>
      <c r="L70" s="2" t="str">
        <f t="shared" si="12"/>
        <v>Astou</v>
      </c>
      <c r="M70" s="2" t="str">
        <f t="shared" si="13"/>
        <v>Ba</v>
      </c>
      <c r="N70" s="2" t="str">
        <f t="shared" si="14"/>
        <v>Astou Ba</v>
      </c>
      <c r="O70" t="str">
        <f t="shared" si="15"/>
        <v>Thiès - Sénégal</v>
      </c>
    </row>
    <row r="71" spans="1:15" ht="15.75" customHeight="1" x14ac:dyDescent="0.45">
      <c r="A71" s="1" t="s">
        <v>299</v>
      </c>
      <c r="B71" s="1" t="s">
        <v>272</v>
      </c>
      <c r="C71" s="1" t="s">
        <v>117</v>
      </c>
      <c r="D71" s="1" t="s">
        <v>300</v>
      </c>
      <c r="E71" s="1" t="s">
        <v>301</v>
      </c>
      <c r="F71" s="1" t="s">
        <v>77</v>
      </c>
      <c r="G71" s="1" t="s">
        <v>13</v>
      </c>
      <c r="H71" s="2" t="str">
        <f t="shared" si="8"/>
        <v>CLI</v>
      </c>
      <c r="I71" s="2" t="str">
        <f t="shared" si="9"/>
        <v>0070</v>
      </c>
      <c r="J71" s="2" t="str">
        <f t="shared" si="10"/>
        <v>2026</v>
      </c>
      <c r="K71" s="2">
        <f t="shared" si="11"/>
        <v>13</v>
      </c>
      <c r="L71" s="2" t="str">
        <f t="shared" si="12"/>
        <v>Ibrahima</v>
      </c>
      <c r="M71" s="2" t="str">
        <f t="shared" si="13"/>
        <v>Ndour</v>
      </c>
      <c r="N71" s="2" t="str">
        <f t="shared" si="14"/>
        <v>Ibrahima Ndour</v>
      </c>
      <c r="O71" t="str">
        <f t="shared" si="15"/>
        <v>Touba - Sénégal</v>
      </c>
    </row>
    <row r="72" spans="1:15" ht="15.75" customHeight="1" x14ac:dyDescent="0.45">
      <c r="A72" s="1" t="s">
        <v>302</v>
      </c>
      <c r="B72" s="1" t="s">
        <v>303</v>
      </c>
      <c r="C72" s="1" t="s">
        <v>202</v>
      </c>
      <c r="D72" s="1" t="s">
        <v>304</v>
      </c>
      <c r="E72" s="1" t="s">
        <v>305</v>
      </c>
      <c r="F72" s="1" t="s">
        <v>77</v>
      </c>
      <c r="G72" s="1" t="s">
        <v>13</v>
      </c>
      <c r="H72" s="2" t="str">
        <f t="shared" si="8"/>
        <v>CLI</v>
      </c>
      <c r="I72" s="2" t="str">
        <f t="shared" si="9"/>
        <v>0071</v>
      </c>
      <c r="J72" s="2" t="str">
        <f t="shared" si="10"/>
        <v>2026</v>
      </c>
      <c r="K72" s="2">
        <f t="shared" si="11"/>
        <v>13</v>
      </c>
      <c r="L72" s="2" t="str">
        <f t="shared" si="12"/>
        <v>Ibrahima</v>
      </c>
      <c r="M72" s="2" t="str">
        <f t="shared" si="13"/>
        <v>Diop</v>
      </c>
      <c r="N72" s="2" t="str">
        <f t="shared" si="14"/>
        <v>Ibrahima Diop</v>
      </c>
      <c r="O72" t="str">
        <f t="shared" si="15"/>
        <v>Touba - Sénégal</v>
      </c>
    </row>
    <row r="73" spans="1:15" ht="15.75" customHeight="1" x14ac:dyDescent="0.45">
      <c r="A73" s="1" t="s">
        <v>306</v>
      </c>
      <c r="B73" s="1" t="s">
        <v>27</v>
      </c>
      <c r="C73" s="1" t="s">
        <v>155</v>
      </c>
      <c r="D73" s="1" t="s">
        <v>307</v>
      </c>
      <c r="E73" s="1" t="s">
        <v>308</v>
      </c>
      <c r="F73" s="1" t="s">
        <v>25</v>
      </c>
      <c r="G73" s="1" t="s">
        <v>13</v>
      </c>
      <c r="H73" s="2" t="str">
        <f t="shared" si="8"/>
        <v>CLI</v>
      </c>
      <c r="I73" s="2" t="str">
        <f t="shared" si="9"/>
        <v>0072</v>
      </c>
      <c r="J73" s="2" t="str">
        <f t="shared" si="10"/>
        <v>2026</v>
      </c>
      <c r="K73" s="2">
        <f t="shared" si="11"/>
        <v>13</v>
      </c>
      <c r="L73" s="2" t="str">
        <f t="shared" si="12"/>
        <v>Aminata</v>
      </c>
      <c r="M73" s="2" t="str">
        <f t="shared" si="13"/>
        <v>Sow</v>
      </c>
      <c r="N73" s="2" t="str">
        <f t="shared" si="14"/>
        <v>Aminata Sow</v>
      </c>
      <c r="O73" t="str">
        <f t="shared" si="15"/>
        <v>Ziguinchor - Sénégal</v>
      </c>
    </row>
    <row r="74" spans="1:15" ht="15.75" customHeight="1" x14ac:dyDescent="0.45">
      <c r="A74" s="1" t="s">
        <v>309</v>
      </c>
      <c r="B74" s="1" t="s">
        <v>111</v>
      </c>
      <c r="C74" s="1" t="s">
        <v>95</v>
      </c>
      <c r="D74" s="1" t="s">
        <v>310</v>
      </c>
      <c r="E74" s="1" t="s">
        <v>311</v>
      </c>
      <c r="F74" s="1" t="s">
        <v>52</v>
      </c>
      <c r="G74" s="1" t="s">
        <v>13</v>
      </c>
      <c r="H74" s="2" t="str">
        <f t="shared" si="8"/>
        <v>CLI</v>
      </c>
      <c r="I74" s="2" t="str">
        <f t="shared" si="9"/>
        <v>0073</v>
      </c>
      <c r="J74" s="2" t="str">
        <f t="shared" si="10"/>
        <v>2026</v>
      </c>
      <c r="K74" s="2">
        <f t="shared" si="11"/>
        <v>13</v>
      </c>
      <c r="L74" s="2" t="str">
        <f t="shared" si="12"/>
        <v>Ndeye</v>
      </c>
      <c r="M74" s="2" t="str">
        <f t="shared" si="13"/>
        <v>Ndour</v>
      </c>
      <c r="N74" s="2" t="str">
        <f t="shared" si="14"/>
        <v>Ndeye Ndour</v>
      </c>
      <c r="O74" t="str">
        <f t="shared" si="15"/>
        <v>Thiès - Sénégal</v>
      </c>
    </row>
    <row r="75" spans="1:15" ht="15.75" customHeight="1" x14ac:dyDescent="0.45">
      <c r="A75" s="1" t="s">
        <v>312</v>
      </c>
      <c r="B75" s="1" t="s">
        <v>313</v>
      </c>
      <c r="C75" s="1" t="s">
        <v>197</v>
      </c>
      <c r="D75" s="1" t="s">
        <v>10</v>
      </c>
      <c r="E75" s="1" t="s">
        <v>314</v>
      </c>
      <c r="F75" s="1" t="s">
        <v>77</v>
      </c>
      <c r="G75" s="1" t="s">
        <v>13</v>
      </c>
      <c r="H75" s="2" t="str">
        <f t="shared" si="8"/>
        <v>CLI</v>
      </c>
      <c r="I75" s="2" t="str">
        <f t="shared" si="9"/>
        <v>0074</v>
      </c>
      <c r="J75" s="2" t="str">
        <f t="shared" si="10"/>
        <v>2026</v>
      </c>
      <c r="K75" s="2">
        <f t="shared" si="11"/>
        <v>13</v>
      </c>
      <c r="L75" s="2" t="str">
        <f t="shared" si="12"/>
        <v>Alioune</v>
      </c>
      <c r="M75" s="2" t="str">
        <f t="shared" si="13"/>
        <v>Fall</v>
      </c>
      <c r="N75" s="2" t="str">
        <f t="shared" si="14"/>
        <v>Alioune Fall</v>
      </c>
      <c r="O75" t="str">
        <f t="shared" si="15"/>
        <v>Touba - Sénégal</v>
      </c>
    </row>
    <row r="76" spans="1:15" ht="15.75" customHeight="1" x14ac:dyDescent="0.45">
      <c r="A76" s="1" t="s">
        <v>315</v>
      </c>
      <c r="B76" s="1" t="s">
        <v>21</v>
      </c>
      <c r="C76" s="1" t="s">
        <v>121</v>
      </c>
      <c r="D76" s="1" t="s">
        <v>316</v>
      </c>
      <c r="E76" s="1" t="s">
        <v>317</v>
      </c>
      <c r="F76" s="1" t="s">
        <v>19</v>
      </c>
      <c r="G76" s="1" t="s">
        <v>13</v>
      </c>
      <c r="H76" s="2" t="str">
        <f t="shared" si="8"/>
        <v>CLI</v>
      </c>
      <c r="I76" s="2" t="str">
        <f t="shared" si="9"/>
        <v>0075</v>
      </c>
      <c r="J76" s="2" t="str">
        <f t="shared" si="10"/>
        <v>2026</v>
      </c>
      <c r="K76" s="2">
        <f t="shared" si="11"/>
        <v>13</v>
      </c>
      <c r="L76" s="2" t="str">
        <f t="shared" si="12"/>
        <v>Abdoulaye</v>
      </c>
      <c r="M76" s="2" t="str">
        <f t="shared" si="13"/>
        <v>Gueye</v>
      </c>
      <c r="N76" s="2" t="str">
        <f t="shared" si="14"/>
        <v>Abdoulaye Gueye</v>
      </c>
      <c r="O76" t="str">
        <f t="shared" si="15"/>
        <v>Saint-Louis - Sénégal</v>
      </c>
    </row>
    <row r="77" spans="1:15" ht="15.75" customHeight="1" x14ac:dyDescent="0.45">
      <c r="A77" s="1" t="s">
        <v>318</v>
      </c>
      <c r="B77" s="1" t="s">
        <v>319</v>
      </c>
      <c r="C77" s="1" t="s">
        <v>320</v>
      </c>
      <c r="D77" s="1" t="s">
        <v>321</v>
      </c>
      <c r="E77" s="1" t="s">
        <v>322</v>
      </c>
      <c r="F77" s="1" t="s">
        <v>31</v>
      </c>
      <c r="G77" s="1" t="s">
        <v>13</v>
      </c>
      <c r="H77" s="2" t="str">
        <f t="shared" si="8"/>
        <v>CLI</v>
      </c>
      <c r="I77" s="2" t="str">
        <f t="shared" si="9"/>
        <v>0076</v>
      </c>
      <c r="J77" s="2" t="str">
        <f t="shared" si="10"/>
        <v>2026</v>
      </c>
      <c r="K77" s="2">
        <f t="shared" si="11"/>
        <v>13</v>
      </c>
      <c r="L77" s="2" t="str">
        <f t="shared" si="12"/>
        <v>Fatou</v>
      </c>
      <c r="M77" s="2" t="str">
        <f t="shared" si="13"/>
        <v>Ba</v>
      </c>
      <c r="N77" s="2" t="str">
        <f t="shared" si="14"/>
        <v>Fatou Ba</v>
      </c>
      <c r="O77" t="str">
        <f t="shared" si="15"/>
        <v>Kaolack - Sénégal</v>
      </c>
    </row>
    <row r="78" spans="1:15" ht="15.75" customHeight="1" x14ac:dyDescent="0.45">
      <c r="A78" s="1" t="s">
        <v>323</v>
      </c>
      <c r="B78" s="1" t="s">
        <v>324</v>
      </c>
      <c r="C78" s="1" t="s">
        <v>9</v>
      </c>
      <c r="D78" s="1" t="s">
        <v>325</v>
      </c>
      <c r="E78" s="1" t="s">
        <v>326</v>
      </c>
      <c r="F78" s="1" t="s">
        <v>77</v>
      </c>
      <c r="G78" s="1" t="s">
        <v>13</v>
      </c>
      <c r="H78" s="2" t="str">
        <f t="shared" si="8"/>
        <v>CLI</v>
      </c>
      <c r="I78" s="2" t="str">
        <f t="shared" si="9"/>
        <v>0077</v>
      </c>
      <c r="J78" s="2" t="str">
        <f t="shared" si="10"/>
        <v>2026</v>
      </c>
      <c r="K78" s="2">
        <f t="shared" si="11"/>
        <v>13</v>
      </c>
      <c r="L78" s="2" t="str">
        <f t="shared" si="12"/>
        <v>Mamadou</v>
      </c>
      <c r="M78" s="2" t="str">
        <f t="shared" si="13"/>
        <v>Fall</v>
      </c>
      <c r="N78" s="2" t="str">
        <f t="shared" si="14"/>
        <v>Mamadou Fall</v>
      </c>
      <c r="O78" t="str">
        <f t="shared" si="15"/>
        <v>Touba - Sénégal</v>
      </c>
    </row>
    <row r="79" spans="1:15" ht="15.75" customHeight="1" x14ac:dyDescent="0.45">
      <c r="A79" s="1" t="s">
        <v>327</v>
      </c>
      <c r="B79" s="1" t="s">
        <v>15</v>
      </c>
      <c r="C79" s="1" t="s">
        <v>117</v>
      </c>
      <c r="D79" s="1" t="s">
        <v>310</v>
      </c>
      <c r="E79" s="1" t="s">
        <v>328</v>
      </c>
      <c r="F79" s="1" t="s">
        <v>31</v>
      </c>
      <c r="G79" s="1" t="s">
        <v>13</v>
      </c>
      <c r="H79" s="2" t="str">
        <f t="shared" si="8"/>
        <v>CLI</v>
      </c>
      <c r="I79" s="2" t="str">
        <f t="shared" si="9"/>
        <v>0078</v>
      </c>
      <c r="J79" s="2" t="str">
        <f t="shared" si="10"/>
        <v>26-0</v>
      </c>
      <c r="K79" s="2">
        <f t="shared" si="11"/>
        <v>11</v>
      </c>
      <c r="L79" s="2" t="str">
        <f t="shared" si="12"/>
        <v>Ndeye</v>
      </c>
      <c r="M79" s="2" t="str">
        <f t="shared" si="13"/>
        <v>Ndour</v>
      </c>
      <c r="N79" s="2" t="str">
        <f t="shared" si="14"/>
        <v>Ndeye Ndour</v>
      </c>
      <c r="O79" t="str">
        <f t="shared" si="15"/>
        <v>Kaolack - Sénégal</v>
      </c>
    </row>
    <row r="80" spans="1:15" ht="15.75" customHeight="1" x14ac:dyDescent="0.45">
      <c r="A80" s="1" t="s">
        <v>329</v>
      </c>
      <c r="B80" s="1" t="s">
        <v>120</v>
      </c>
      <c r="C80" s="1" t="s">
        <v>104</v>
      </c>
      <c r="D80" s="1" t="s">
        <v>330</v>
      </c>
      <c r="E80" s="1" t="s">
        <v>331</v>
      </c>
      <c r="F80" s="1" t="s">
        <v>19</v>
      </c>
      <c r="G80" s="1" t="s">
        <v>13</v>
      </c>
      <c r="H80" s="2" t="str">
        <f t="shared" si="8"/>
        <v>CLI</v>
      </c>
      <c r="I80" s="2" t="str">
        <f t="shared" si="9"/>
        <v>0079</v>
      </c>
      <c r="J80" s="2" t="str">
        <f t="shared" si="10"/>
        <v>2026</v>
      </c>
      <c r="K80" s="2">
        <f t="shared" si="11"/>
        <v>13</v>
      </c>
      <c r="L80" s="2" t="str">
        <f t="shared" si="12"/>
        <v>Awa</v>
      </c>
      <c r="M80" s="2" t="str">
        <f t="shared" si="13"/>
        <v>Kane</v>
      </c>
      <c r="N80" s="2" t="str">
        <f t="shared" si="14"/>
        <v>Awa Kane</v>
      </c>
      <c r="O80" t="str">
        <f t="shared" si="15"/>
        <v>Saint-Louis - Sénégal</v>
      </c>
    </row>
    <row r="81" spans="1:15" ht="15.75" customHeight="1" x14ac:dyDescent="0.45">
      <c r="A81" s="1" t="s">
        <v>332</v>
      </c>
      <c r="B81" s="1" t="s">
        <v>27</v>
      </c>
      <c r="C81" s="1" t="s">
        <v>28</v>
      </c>
      <c r="D81" s="1" t="s">
        <v>29</v>
      </c>
      <c r="E81" s="1" t="s">
        <v>333</v>
      </c>
      <c r="F81" s="1" t="s">
        <v>52</v>
      </c>
      <c r="G81" s="1" t="s">
        <v>13</v>
      </c>
      <c r="H81" s="2" t="str">
        <f t="shared" si="8"/>
        <v>CLI</v>
      </c>
      <c r="I81" s="2" t="str">
        <f t="shared" si="9"/>
        <v>0080</v>
      </c>
      <c r="J81" s="2" t="str">
        <f t="shared" si="10"/>
        <v>2026</v>
      </c>
      <c r="K81" s="2">
        <f t="shared" si="11"/>
        <v>13</v>
      </c>
      <c r="L81" s="2" t="str">
        <f t="shared" si="12"/>
        <v>Aminata</v>
      </c>
      <c r="M81" s="2" t="str">
        <f t="shared" si="13"/>
        <v>Sarr</v>
      </c>
      <c r="N81" s="2" t="str">
        <f t="shared" si="14"/>
        <v>Aminata Sarr</v>
      </c>
      <c r="O81" t="str">
        <f t="shared" si="15"/>
        <v>Thiès - Sénégal</v>
      </c>
    </row>
    <row r="82" spans="1:15" ht="15.75" customHeight="1" x14ac:dyDescent="0.45">
      <c r="A82" s="1" t="s">
        <v>334</v>
      </c>
      <c r="B82" s="1" t="s">
        <v>335</v>
      </c>
      <c r="C82" s="1" t="s">
        <v>336</v>
      </c>
      <c r="D82" s="1" t="s">
        <v>23</v>
      </c>
      <c r="E82" s="1" t="s">
        <v>337</v>
      </c>
      <c r="F82" s="1" t="s">
        <v>25</v>
      </c>
      <c r="G82" s="1" t="s">
        <v>13</v>
      </c>
      <c r="H82" s="2" t="str">
        <f t="shared" si="8"/>
        <v>CLI</v>
      </c>
      <c r="I82" s="2" t="str">
        <f t="shared" si="9"/>
        <v>0081</v>
      </c>
      <c r="J82" s="2" t="str">
        <f t="shared" si="10"/>
        <v>2026</v>
      </c>
      <c r="K82" s="2">
        <f t="shared" si="11"/>
        <v>13</v>
      </c>
      <c r="L82" s="2" t="str">
        <f t="shared" si="12"/>
        <v>Abdoulaye</v>
      </c>
      <c r="M82" s="2" t="str">
        <f t="shared" si="13"/>
        <v>Mbaye</v>
      </c>
      <c r="N82" s="2" t="str">
        <f t="shared" si="14"/>
        <v>Abdoulaye Mbaye</v>
      </c>
      <c r="O82" t="str">
        <f t="shared" si="15"/>
        <v>Ziguinchor - Sénégal</v>
      </c>
    </row>
    <row r="83" spans="1:15" ht="15.75" customHeight="1" x14ac:dyDescent="0.45">
      <c r="A83" s="1" t="s">
        <v>338</v>
      </c>
      <c r="B83" s="1" t="s">
        <v>286</v>
      </c>
      <c r="C83" s="1" t="s">
        <v>59</v>
      </c>
      <c r="D83" s="1" t="s">
        <v>339</v>
      </c>
      <c r="E83" s="1" t="s">
        <v>340</v>
      </c>
      <c r="F83" s="1" t="s">
        <v>25</v>
      </c>
      <c r="G83" s="1" t="s">
        <v>13</v>
      </c>
      <c r="H83" s="2" t="str">
        <f t="shared" si="8"/>
        <v>CLI</v>
      </c>
      <c r="I83" s="2" t="str">
        <f t="shared" si="9"/>
        <v>0082</v>
      </c>
      <c r="J83" s="2" t="str">
        <f t="shared" si="10"/>
        <v>2026</v>
      </c>
      <c r="K83" s="2">
        <f t="shared" si="11"/>
        <v>13</v>
      </c>
      <c r="L83" s="2" t="str">
        <f t="shared" si="12"/>
        <v>Rokhaya</v>
      </c>
      <c r="M83" s="2" t="str">
        <f t="shared" si="13"/>
        <v>Sarr</v>
      </c>
      <c r="N83" s="2" t="str">
        <f t="shared" si="14"/>
        <v>Rokhaya Sarr</v>
      </c>
      <c r="O83" t="str">
        <f t="shared" si="15"/>
        <v>Ziguinchor - Sénégal</v>
      </c>
    </row>
    <row r="84" spans="1:15" ht="15.75" customHeight="1" x14ac:dyDescent="0.45">
      <c r="A84" s="1" t="s">
        <v>341</v>
      </c>
      <c r="B84" s="1" t="s">
        <v>342</v>
      </c>
      <c r="C84" s="1" t="s">
        <v>22</v>
      </c>
      <c r="D84" s="1" t="s">
        <v>343</v>
      </c>
      <c r="E84" s="1" t="s">
        <v>344</v>
      </c>
      <c r="F84" s="1" t="s">
        <v>31</v>
      </c>
      <c r="G84" s="1" t="s">
        <v>13</v>
      </c>
      <c r="H84" s="2" t="str">
        <f t="shared" si="8"/>
        <v>CLI</v>
      </c>
      <c r="I84" s="2" t="str">
        <f t="shared" si="9"/>
        <v>0083</v>
      </c>
      <c r="J84" s="2" t="str">
        <f t="shared" si="10"/>
        <v>2026</v>
      </c>
      <c r="K84" s="2">
        <f t="shared" si="11"/>
        <v>13</v>
      </c>
      <c r="L84" s="2" t="str">
        <f t="shared" si="12"/>
        <v>Ousmane</v>
      </c>
      <c r="M84" s="2" t="str">
        <f t="shared" si="13"/>
        <v>Mbaye</v>
      </c>
      <c r="N84" s="2" t="str">
        <f t="shared" si="14"/>
        <v>Ousmane Mbaye</v>
      </c>
      <c r="O84" t="str">
        <f t="shared" si="15"/>
        <v>Kaolack - Sénégal</v>
      </c>
    </row>
    <row r="85" spans="1:15" ht="15.75" customHeight="1" x14ac:dyDescent="0.45">
      <c r="A85" s="1" t="s">
        <v>345</v>
      </c>
      <c r="B85" s="1" t="s">
        <v>346</v>
      </c>
      <c r="C85" s="1" t="s">
        <v>28</v>
      </c>
      <c r="D85" s="1" t="s">
        <v>339</v>
      </c>
      <c r="E85" s="1" t="s">
        <v>347</v>
      </c>
      <c r="F85" s="1" t="s">
        <v>77</v>
      </c>
      <c r="G85" s="1" t="s">
        <v>13</v>
      </c>
      <c r="H85" s="2" t="str">
        <f t="shared" si="8"/>
        <v>CLI</v>
      </c>
      <c r="I85" s="2" t="str">
        <f t="shared" si="9"/>
        <v>0084</v>
      </c>
      <c r="J85" s="2" t="str">
        <f t="shared" si="10"/>
        <v>2026</v>
      </c>
      <c r="K85" s="2">
        <f t="shared" si="11"/>
        <v>13</v>
      </c>
      <c r="L85" s="2" t="str">
        <f t="shared" si="12"/>
        <v>Rokhaya</v>
      </c>
      <c r="M85" s="2" t="str">
        <f t="shared" si="13"/>
        <v>Sarr</v>
      </c>
      <c r="N85" s="2" t="str">
        <f t="shared" si="14"/>
        <v>Rokhaya Sarr</v>
      </c>
      <c r="O85" t="str">
        <f t="shared" si="15"/>
        <v>Touba - Sénégal</v>
      </c>
    </row>
    <row r="86" spans="1:15" ht="15.75" customHeight="1" x14ac:dyDescent="0.45">
      <c r="A86" s="1" t="s">
        <v>348</v>
      </c>
      <c r="B86" s="1" t="s">
        <v>174</v>
      </c>
      <c r="C86" s="1" t="s">
        <v>74</v>
      </c>
      <c r="D86" s="1" t="s">
        <v>349</v>
      </c>
      <c r="E86" s="1" t="s">
        <v>350</v>
      </c>
      <c r="F86" s="1" t="s">
        <v>52</v>
      </c>
      <c r="G86" s="1" t="s">
        <v>13</v>
      </c>
      <c r="H86" s="2" t="str">
        <f t="shared" si="8"/>
        <v>CLI</v>
      </c>
      <c r="I86" s="2" t="str">
        <f t="shared" si="9"/>
        <v>0085</v>
      </c>
      <c r="J86" s="2" t="str">
        <f t="shared" si="10"/>
        <v>2026</v>
      </c>
      <c r="K86" s="2">
        <f t="shared" si="11"/>
        <v>13</v>
      </c>
      <c r="L86" s="2" t="str">
        <f t="shared" si="12"/>
        <v>Sokhna</v>
      </c>
      <c r="M86" s="2" t="str">
        <f t="shared" si="13"/>
        <v>Ba</v>
      </c>
      <c r="N86" s="2" t="str">
        <f t="shared" si="14"/>
        <v>Sokhna Ba</v>
      </c>
      <c r="O86" t="str">
        <f t="shared" si="15"/>
        <v>Thiès - Sénégal</v>
      </c>
    </row>
    <row r="87" spans="1:15" ht="15.75" customHeight="1" x14ac:dyDescent="0.45">
      <c r="A87" s="1" t="s">
        <v>351</v>
      </c>
      <c r="B87" s="1" t="s">
        <v>99</v>
      </c>
      <c r="C87" s="1" t="s">
        <v>117</v>
      </c>
      <c r="D87" s="1" t="s">
        <v>352</v>
      </c>
      <c r="E87" s="1" t="s">
        <v>353</v>
      </c>
      <c r="F87" s="1" t="s">
        <v>19</v>
      </c>
      <c r="G87" s="1" t="s">
        <v>13</v>
      </c>
      <c r="H87" s="2" t="str">
        <f t="shared" si="8"/>
        <v>CLI</v>
      </c>
      <c r="I87" s="2" t="str">
        <f t="shared" si="9"/>
        <v>0086</v>
      </c>
      <c r="J87" s="2" t="str">
        <f t="shared" si="10"/>
        <v>2026</v>
      </c>
      <c r="K87" s="2">
        <f t="shared" si="11"/>
        <v>13</v>
      </c>
      <c r="L87" s="2" t="str">
        <f t="shared" si="12"/>
        <v>Khadija</v>
      </c>
      <c r="M87" s="2" t="str">
        <f t="shared" si="13"/>
        <v>Ndour</v>
      </c>
      <c r="N87" s="2" t="str">
        <f t="shared" si="14"/>
        <v>Khadija Ndour</v>
      </c>
      <c r="O87" t="str">
        <f t="shared" si="15"/>
        <v>Saint-Louis - Sénégal</v>
      </c>
    </row>
    <row r="88" spans="1:15" ht="15.75" customHeight="1" x14ac:dyDescent="0.45">
      <c r="A88" s="1" t="s">
        <v>354</v>
      </c>
      <c r="B88" s="1" t="s">
        <v>184</v>
      </c>
      <c r="C88" s="1" t="s">
        <v>355</v>
      </c>
      <c r="D88" s="1" t="s">
        <v>356</v>
      </c>
      <c r="E88" s="1" t="s">
        <v>357</v>
      </c>
      <c r="F88" s="1" t="s">
        <v>19</v>
      </c>
      <c r="G88" s="1" t="s">
        <v>13</v>
      </c>
      <c r="H88" s="2" t="str">
        <f t="shared" si="8"/>
        <v>CLI</v>
      </c>
      <c r="I88" s="2" t="str">
        <f t="shared" si="9"/>
        <v>0087</v>
      </c>
      <c r="J88" s="2" t="str">
        <f t="shared" si="10"/>
        <v>2026</v>
      </c>
      <c r="K88" s="2">
        <f t="shared" si="11"/>
        <v>13</v>
      </c>
      <c r="L88" s="2" t="str">
        <f t="shared" si="12"/>
        <v>Fatou</v>
      </c>
      <c r="M88" s="2" t="str">
        <f t="shared" si="13"/>
        <v>Sow</v>
      </c>
      <c r="N88" s="2" t="str">
        <f t="shared" si="14"/>
        <v>Fatou Sow</v>
      </c>
      <c r="O88" t="str">
        <f t="shared" si="15"/>
        <v>Saint-Louis - Sénégal</v>
      </c>
    </row>
    <row r="89" spans="1:15" ht="15.75" customHeight="1" x14ac:dyDescent="0.45">
      <c r="A89" s="1" t="s">
        <v>358</v>
      </c>
      <c r="B89" s="1" t="s">
        <v>154</v>
      </c>
      <c r="C89" s="1" t="s">
        <v>170</v>
      </c>
      <c r="D89" s="1" t="s">
        <v>359</v>
      </c>
      <c r="E89" s="1" t="s">
        <v>360</v>
      </c>
      <c r="F89" s="1" t="s">
        <v>31</v>
      </c>
      <c r="G89" s="1" t="s">
        <v>13</v>
      </c>
      <c r="H89" s="2" t="str">
        <f t="shared" si="8"/>
        <v>CLI</v>
      </c>
      <c r="I89" s="2" t="str">
        <f t="shared" si="9"/>
        <v>0088</v>
      </c>
      <c r="J89" s="2" t="str">
        <f t="shared" si="10"/>
        <v>2026</v>
      </c>
      <c r="K89" s="2">
        <f t="shared" si="11"/>
        <v>13</v>
      </c>
      <c r="L89" s="2" t="str">
        <f t="shared" si="12"/>
        <v>Pape</v>
      </c>
      <c r="M89" s="2" t="str">
        <f t="shared" si="13"/>
        <v>Kane</v>
      </c>
      <c r="N89" s="2" t="str">
        <f t="shared" si="14"/>
        <v>Pape Kane</v>
      </c>
      <c r="O89" t="str">
        <f t="shared" si="15"/>
        <v>Kaolack - Sénégal</v>
      </c>
    </row>
    <row r="90" spans="1:15" ht="15.75" customHeight="1" x14ac:dyDescent="0.45">
      <c r="A90" s="1" t="s">
        <v>361</v>
      </c>
      <c r="B90" s="1" t="s">
        <v>362</v>
      </c>
      <c r="C90" s="1" t="s">
        <v>363</v>
      </c>
      <c r="D90" s="1" t="s">
        <v>364</v>
      </c>
      <c r="E90" s="1" t="s">
        <v>365</v>
      </c>
      <c r="F90" s="1" t="s">
        <v>31</v>
      </c>
      <c r="G90" s="1" t="s">
        <v>13</v>
      </c>
      <c r="H90" s="2" t="str">
        <f t="shared" si="8"/>
        <v>CLI</v>
      </c>
      <c r="I90" s="2" t="str">
        <f t="shared" si="9"/>
        <v>0089</v>
      </c>
      <c r="J90" s="2" t="str">
        <f t="shared" si="10"/>
        <v>2026</v>
      </c>
      <c r="K90" s="2">
        <f t="shared" si="11"/>
        <v>13</v>
      </c>
      <c r="L90" s="2" t="str">
        <f t="shared" si="12"/>
        <v>Mariama</v>
      </c>
      <c r="M90" s="2" t="str">
        <f t="shared" si="13"/>
        <v>Diallo</v>
      </c>
      <c r="N90" s="2" t="str">
        <f t="shared" si="14"/>
        <v>Mariama Diallo</v>
      </c>
      <c r="O90" t="str">
        <f t="shared" si="15"/>
        <v>Kaolack - Sénégal</v>
      </c>
    </row>
    <row r="91" spans="1:15" ht="15.75" customHeight="1" x14ac:dyDescent="0.45">
      <c r="A91" s="1" t="s">
        <v>366</v>
      </c>
      <c r="B91" s="1" t="s">
        <v>38</v>
      </c>
      <c r="C91" s="1" t="s">
        <v>367</v>
      </c>
      <c r="D91" s="1" t="s">
        <v>368</v>
      </c>
      <c r="E91" s="1" t="s">
        <v>369</v>
      </c>
      <c r="F91" s="1" t="s">
        <v>31</v>
      </c>
      <c r="G91" s="1" t="s">
        <v>13</v>
      </c>
      <c r="H91" s="2" t="str">
        <f t="shared" si="8"/>
        <v>CLI</v>
      </c>
      <c r="I91" s="2" t="str">
        <f t="shared" si="9"/>
        <v>0090</v>
      </c>
      <c r="J91" s="2" t="str">
        <f t="shared" si="10"/>
        <v>2026</v>
      </c>
      <c r="K91" s="2">
        <f t="shared" si="11"/>
        <v>13</v>
      </c>
      <c r="L91" s="2" t="str">
        <f t="shared" si="12"/>
        <v>Cheikh</v>
      </c>
      <c r="M91" s="2" t="str">
        <f t="shared" si="13"/>
        <v>Camara</v>
      </c>
      <c r="N91" s="2" t="str">
        <f t="shared" si="14"/>
        <v>Cheikh Camara</v>
      </c>
      <c r="O91" t="str">
        <f t="shared" si="15"/>
        <v>Kaolack - Sénégal</v>
      </c>
    </row>
    <row r="92" spans="1:15" ht="15.75" customHeight="1" x14ac:dyDescent="0.45">
      <c r="A92" s="1" t="s">
        <v>370</v>
      </c>
      <c r="B92" s="1" t="s">
        <v>135</v>
      </c>
      <c r="C92" s="1" t="s">
        <v>355</v>
      </c>
      <c r="D92" s="1" t="s">
        <v>371</v>
      </c>
      <c r="E92" s="1" t="s">
        <v>372</v>
      </c>
      <c r="F92" s="1" t="s">
        <v>31</v>
      </c>
      <c r="G92" s="1" t="s">
        <v>13</v>
      </c>
      <c r="H92" s="2" t="str">
        <f t="shared" si="8"/>
        <v>CLI</v>
      </c>
      <c r="I92" s="2" t="str">
        <f t="shared" si="9"/>
        <v>0091</v>
      </c>
      <c r="J92" s="2" t="str">
        <f t="shared" si="10"/>
        <v>2026</v>
      </c>
      <c r="K92" s="2">
        <f t="shared" si="11"/>
        <v>13</v>
      </c>
      <c r="L92" s="2" t="str">
        <f t="shared" si="12"/>
        <v>Coumba</v>
      </c>
      <c r="M92" s="2" t="str">
        <f t="shared" si="13"/>
        <v>Sow</v>
      </c>
      <c r="N92" s="2" t="str">
        <f t="shared" si="14"/>
        <v>Coumba Sow</v>
      </c>
      <c r="O92" t="str">
        <f t="shared" si="15"/>
        <v>Kaolack - Sénégal</v>
      </c>
    </row>
    <row r="93" spans="1:15" ht="15.75" customHeight="1" x14ac:dyDescent="0.45">
      <c r="A93" s="1" t="s">
        <v>373</v>
      </c>
      <c r="B93" s="1" t="s">
        <v>374</v>
      </c>
      <c r="C93" s="1" t="s">
        <v>49</v>
      </c>
      <c r="D93" s="1" t="s">
        <v>375</v>
      </c>
      <c r="E93" s="1" t="s">
        <v>376</v>
      </c>
      <c r="F93" s="1" t="s">
        <v>31</v>
      </c>
      <c r="G93" s="1" t="s">
        <v>13</v>
      </c>
      <c r="H93" s="2" t="str">
        <f t="shared" si="8"/>
        <v>CLI</v>
      </c>
      <c r="I93" s="2" t="str">
        <f t="shared" si="9"/>
        <v>0092</v>
      </c>
      <c r="J93" s="2" t="str">
        <f t="shared" si="10"/>
        <v>2026</v>
      </c>
      <c r="K93" s="2">
        <f t="shared" si="11"/>
        <v>13</v>
      </c>
      <c r="L93" s="2" t="str">
        <f t="shared" si="12"/>
        <v>Moussa</v>
      </c>
      <c r="M93" s="2" t="str">
        <f t="shared" si="13"/>
        <v>Fall</v>
      </c>
      <c r="N93" s="2" t="str">
        <f t="shared" si="14"/>
        <v>Moussa Fall</v>
      </c>
      <c r="O93" t="str">
        <f t="shared" si="15"/>
        <v>Kaolack - Sénégal</v>
      </c>
    </row>
    <row r="94" spans="1:15" ht="15.75" customHeight="1" x14ac:dyDescent="0.45">
      <c r="A94" s="1" t="s">
        <v>377</v>
      </c>
      <c r="B94" s="1" t="s">
        <v>252</v>
      </c>
      <c r="C94" s="1" t="s">
        <v>378</v>
      </c>
      <c r="D94" s="1" t="s">
        <v>379</v>
      </c>
      <c r="E94" s="1" t="s">
        <v>380</v>
      </c>
      <c r="F94" s="1" t="s">
        <v>12</v>
      </c>
      <c r="G94" s="1" t="s">
        <v>13</v>
      </c>
      <c r="H94" s="2" t="str">
        <f t="shared" si="8"/>
        <v>CLI</v>
      </c>
      <c r="I94" s="2" t="str">
        <f t="shared" si="9"/>
        <v>0093</v>
      </c>
      <c r="J94" s="2" t="str">
        <f t="shared" si="10"/>
        <v>2026</v>
      </c>
      <c r="K94" s="2">
        <f t="shared" si="11"/>
        <v>13</v>
      </c>
      <c r="L94" s="2" t="str">
        <f t="shared" si="12"/>
        <v>Cheikh</v>
      </c>
      <c r="M94" s="2" t="str">
        <f t="shared" si="13"/>
        <v>Ndiaye</v>
      </c>
      <c r="N94" s="2" t="str">
        <f t="shared" si="14"/>
        <v>Cheikh Ndiaye</v>
      </c>
      <c r="O94" t="str">
        <f t="shared" si="15"/>
        <v>Dakar - Sénégal</v>
      </c>
    </row>
    <row r="95" spans="1:15" ht="15.75" customHeight="1" x14ac:dyDescent="0.45">
      <c r="A95" s="1" t="s">
        <v>381</v>
      </c>
      <c r="B95" s="1" t="s">
        <v>313</v>
      </c>
      <c r="C95" s="1" t="s">
        <v>80</v>
      </c>
      <c r="D95" s="1" t="s">
        <v>55</v>
      </c>
      <c r="E95" s="1" t="s">
        <v>382</v>
      </c>
      <c r="F95" s="1" t="s">
        <v>31</v>
      </c>
      <c r="G95" s="1" t="s">
        <v>13</v>
      </c>
      <c r="H95" s="2" t="str">
        <f t="shared" si="8"/>
        <v>CLI</v>
      </c>
      <c r="I95" s="2" t="str">
        <f t="shared" si="9"/>
        <v>0094</v>
      </c>
      <c r="J95" s="2" t="str">
        <f t="shared" si="10"/>
        <v>2026</v>
      </c>
      <c r="K95" s="2">
        <f t="shared" si="11"/>
        <v>13</v>
      </c>
      <c r="L95" s="2" t="str">
        <f t="shared" si="12"/>
        <v>Alioune</v>
      </c>
      <c r="M95" s="2" t="str">
        <f t="shared" si="13"/>
        <v>Sy</v>
      </c>
      <c r="N95" s="2" t="str">
        <f t="shared" si="14"/>
        <v>Alioune Sy</v>
      </c>
      <c r="O95" t="str">
        <f t="shared" si="15"/>
        <v>Kaolack - Sénégal</v>
      </c>
    </row>
    <row r="96" spans="1:15" ht="15.75" customHeight="1" x14ac:dyDescent="0.45">
      <c r="A96" s="1" t="s">
        <v>383</v>
      </c>
      <c r="B96" s="1" t="s">
        <v>103</v>
      </c>
      <c r="C96" s="1" t="s">
        <v>64</v>
      </c>
      <c r="D96" s="1" t="s">
        <v>384</v>
      </c>
      <c r="E96" s="1" t="s">
        <v>385</v>
      </c>
      <c r="F96" s="1" t="s">
        <v>19</v>
      </c>
      <c r="G96" s="1" t="s">
        <v>13</v>
      </c>
      <c r="H96" s="2" t="str">
        <f t="shared" si="8"/>
        <v>CLI</v>
      </c>
      <c r="I96" s="2" t="str">
        <f t="shared" si="9"/>
        <v>0095</v>
      </c>
      <c r="J96" s="2" t="str">
        <f t="shared" si="10"/>
        <v>2026</v>
      </c>
      <c r="K96" s="2">
        <f t="shared" si="11"/>
        <v>13</v>
      </c>
      <c r="L96" s="2" t="str">
        <f t="shared" si="12"/>
        <v>Mamadou</v>
      </c>
      <c r="M96" s="2" t="str">
        <f t="shared" si="13"/>
        <v>Seck</v>
      </c>
      <c r="N96" s="2" t="str">
        <f t="shared" si="14"/>
        <v>Mamadou Seck</v>
      </c>
      <c r="O96" t="str">
        <f t="shared" si="15"/>
        <v>Saint-Louis - Sénégal</v>
      </c>
    </row>
    <row r="97" spans="1:15" ht="15.75" customHeight="1" x14ac:dyDescent="0.45">
      <c r="A97" s="1" t="s">
        <v>386</v>
      </c>
      <c r="B97" s="1" t="s">
        <v>387</v>
      </c>
      <c r="C97" s="1" t="s">
        <v>140</v>
      </c>
      <c r="D97" s="1" t="s">
        <v>388</v>
      </c>
      <c r="E97" s="1" t="s">
        <v>389</v>
      </c>
      <c r="F97" s="1" t="s">
        <v>19</v>
      </c>
      <c r="G97" s="1" t="s">
        <v>13</v>
      </c>
      <c r="H97" s="2" t="str">
        <f t="shared" si="8"/>
        <v>CLI</v>
      </c>
      <c r="I97" s="2" t="str">
        <f t="shared" si="9"/>
        <v>0096</v>
      </c>
      <c r="J97" s="2" t="str">
        <f t="shared" si="10"/>
        <v>2026</v>
      </c>
      <c r="K97" s="2">
        <f t="shared" si="11"/>
        <v>13</v>
      </c>
      <c r="L97" s="2" t="str">
        <f t="shared" si="12"/>
        <v>Ousmane</v>
      </c>
      <c r="M97" s="2" t="str">
        <f t="shared" si="13"/>
        <v>Ndour</v>
      </c>
      <c r="N97" s="2" t="str">
        <f t="shared" si="14"/>
        <v>Ousmane Ndour</v>
      </c>
      <c r="O97" t="str">
        <f t="shared" si="15"/>
        <v>Saint-Louis - Sénégal</v>
      </c>
    </row>
    <row r="98" spans="1:15" ht="15.75" customHeight="1" x14ac:dyDescent="0.45">
      <c r="A98" s="1" t="s">
        <v>390</v>
      </c>
      <c r="B98" s="1" t="s">
        <v>252</v>
      </c>
      <c r="C98" s="1" t="s">
        <v>336</v>
      </c>
      <c r="D98" s="1" t="s">
        <v>391</v>
      </c>
      <c r="E98" s="1" t="s">
        <v>392</v>
      </c>
      <c r="F98" s="1" t="s">
        <v>12</v>
      </c>
      <c r="G98" s="1" t="s">
        <v>13</v>
      </c>
      <c r="H98" s="2" t="str">
        <f t="shared" si="8"/>
        <v>CLI</v>
      </c>
      <c r="I98" s="2" t="str">
        <f t="shared" si="9"/>
        <v>0097</v>
      </c>
      <c r="J98" s="2" t="str">
        <f t="shared" si="10"/>
        <v>2026</v>
      </c>
      <c r="K98" s="2">
        <f t="shared" si="11"/>
        <v>13</v>
      </c>
      <c r="L98" s="2" t="str">
        <f t="shared" si="12"/>
        <v>Cheikh</v>
      </c>
      <c r="M98" s="2" t="str">
        <f t="shared" si="13"/>
        <v>Mbaye</v>
      </c>
      <c r="N98" s="2" t="str">
        <f t="shared" si="14"/>
        <v>Cheikh Mbaye</v>
      </c>
      <c r="O98" t="str">
        <f t="shared" si="15"/>
        <v>Dakar - Sénégal</v>
      </c>
    </row>
    <row r="99" spans="1:15" ht="15.75" customHeight="1" x14ac:dyDescent="0.45">
      <c r="A99" s="1" t="s">
        <v>393</v>
      </c>
      <c r="B99" s="1" t="s">
        <v>394</v>
      </c>
      <c r="C99" s="1" t="s">
        <v>131</v>
      </c>
      <c r="D99" s="1" t="s">
        <v>160</v>
      </c>
      <c r="E99" s="1" t="s">
        <v>395</v>
      </c>
      <c r="F99" s="1" t="s">
        <v>19</v>
      </c>
      <c r="G99" s="1" t="s">
        <v>13</v>
      </c>
      <c r="H99" s="2" t="str">
        <f t="shared" si="8"/>
        <v>CLI</v>
      </c>
      <c r="I99" s="2" t="str">
        <f t="shared" si="9"/>
        <v>0098</v>
      </c>
      <c r="J99" s="2" t="str">
        <f t="shared" si="10"/>
        <v>2026</v>
      </c>
      <c r="K99" s="2">
        <f t="shared" si="11"/>
        <v>13</v>
      </c>
      <c r="L99" s="2" t="str">
        <f t="shared" si="12"/>
        <v>Moussa</v>
      </c>
      <c r="M99" s="2" t="str">
        <f t="shared" si="13"/>
        <v>Sow</v>
      </c>
      <c r="N99" s="2" t="str">
        <f t="shared" si="14"/>
        <v>Moussa Sow</v>
      </c>
      <c r="O99" t="str">
        <f t="shared" si="15"/>
        <v>Saint-Louis - Sénégal</v>
      </c>
    </row>
    <row r="100" spans="1:15" ht="15.75" customHeight="1" x14ac:dyDescent="0.45">
      <c r="A100" s="1" t="s">
        <v>396</v>
      </c>
      <c r="B100" s="1" t="s">
        <v>397</v>
      </c>
      <c r="C100" s="1" t="s">
        <v>216</v>
      </c>
      <c r="D100" s="1" t="s">
        <v>398</v>
      </c>
      <c r="E100" s="1" t="s">
        <v>399</v>
      </c>
      <c r="F100" s="1" t="s">
        <v>12</v>
      </c>
      <c r="G100" s="1" t="s">
        <v>13</v>
      </c>
      <c r="H100" s="2" t="str">
        <f t="shared" si="8"/>
        <v>CLI</v>
      </c>
      <c r="I100" s="2" t="str">
        <f t="shared" si="9"/>
        <v>0099</v>
      </c>
      <c r="J100" s="2" t="str">
        <f t="shared" si="10"/>
        <v>2026</v>
      </c>
      <c r="K100" s="2">
        <f t="shared" si="11"/>
        <v>13</v>
      </c>
      <c r="L100" s="2" t="str">
        <f t="shared" si="12"/>
        <v>Astou</v>
      </c>
      <c r="M100" s="2" t="str">
        <f t="shared" si="13"/>
        <v>Ndiaye</v>
      </c>
      <c r="N100" s="2" t="str">
        <f t="shared" si="14"/>
        <v>Astou Ndiaye</v>
      </c>
      <c r="O100" t="str">
        <f t="shared" si="15"/>
        <v>Dakar - Sénégal</v>
      </c>
    </row>
    <row r="101" spans="1:15" ht="15.75" customHeight="1" x14ac:dyDescent="0.45">
      <c r="A101" s="1" t="s">
        <v>400</v>
      </c>
      <c r="B101" s="1" t="s">
        <v>319</v>
      </c>
      <c r="C101" s="1" t="s">
        <v>28</v>
      </c>
      <c r="D101" s="1" t="s">
        <v>401</v>
      </c>
      <c r="E101" s="1" t="s">
        <v>402</v>
      </c>
      <c r="F101" s="1" t="s">
        <v>12</v>
      </c>
      <c r="G101" s="1" t="s">
        <v>13</v>
      </c>
      <c r="H101" s="2" t="str">
        <f t="shared" si="8"/>
        <v>CLI</v>
      </c>
      <c r="I101" s="2" t="str">
        <f t="shared" si="9"/>
        <v>0100</v>
      </c>
      <c r="J101" s="2" t="str">
        <f t="shared" si="10"/>
        <v>2026</v>
      </c>
      <c r="K101" s="2">
        <f t="shared" si="11"/>
        <v>13</v>
      </c>
      <c r="L101" s="2" t="str">
        <f t="shared" si="12"/>
        <v>Fatou</v>
      </c>
      <c r="M101" s="2" t="str">
        <f t="shared" si="13"/>
        <v>Sarr</v>
      </c>
      <c r="N101" s="2" t="str">
        <f t="shared" si="14"/>
        <v>Fatou Sarr</v>
      </c>
      <c r="O101" t="str">
        <f t="shared" si="15"/>
        <v>Dakar - Sénégal</v>
      </c>
    </row>
    <row r="102" spans="1:15" ht="15.75" customHeight="1" x14ac:dyDescent="0.45"/>
    <row r="103" spans="1:15" ht="15.75" customHeight="1" x14ac:dyDescent="0.45"/>
    <row r="104" spans="1:15" ht="15.75" customHeight="1" x14ac:dyDescent="0.45"/>
    <row r="105" spans="1:15" ht="15.75" customHeight="1" x14ac:dyDescent="0.45"/>
    <row r="106" spans="1:15" ht="15.75" customHeight="1" x14ac:dyDescent="0.45"/>
    <row r="107" spans="1:15" ht="15.75" customHeight="1" x14ac:dyDescent="0.45"/>
    <row r="108" spans="1:15" ht="15.75" customHeight="1" x14ac:dyDescent="0.45"/>
    <row r="109" spans="1:15" ht="15.75" customHeight="1" x14ac:dyDescent="0.45"/>
    <row r="110" spans="1:15" ht="15.75" customHeight="1" x14ac:dyDescent="0.45"/>
    <row r="111" spans="1:15" ht="15.75" customHeight="1" x14ac:dyDescent="0.45"/>
    <row r="112" spans="1:15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conditionalFormatting sqref="I2:O101">
    <cfRule type="expression" dxfId="1" priority="2">
      <formula>ISEVEN(ROW())</formula>
    </cfRule>
  </conditionalFormatting>
  <conditionalFormatting sqref="K1:K101">
    <cfRule type="expression" dxfId="0" priority="1">
      <formula>K2&lt;&gt;13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Pratique_Texte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 DJIGO</cp:lastModifiedBy>
  <dcterms:created xsi:type="dcterms:W3CDTF">2026-08-23T11:53:20Z</dcterms:created>
  <dcterms:modified xsi:type="dcterms:W3CDTF">2026-08-28T16:47:43Z</dcterms:modified>
</cp:coreProperties>
</file>