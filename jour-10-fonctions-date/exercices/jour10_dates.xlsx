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0-fonctions-date\exercices\"/>
    </mc:Choice>
  </mc:AlternateContent>
  <xr:revisionPtr revIDLastSave="0" documentId="13_ncr:1_{941AD37D-D1B2-4AD8-AE6B-701416CB7863}" xr6:coauthVersionLast="47" xr6:coauthVersionMax="47" xr10:uidLastSave="{00000000-0000-0000-0000-000000000000}"/>
  <bookViews>
    <workbookView xWindow="-98" yWindow="-98" windowWidth="19396" windowHeight="10276" activeTab="1" xr2:uid="{1365EF90-623A-4C52-ADA3-F024A815D574}"/>
  </bookViews>
  <sheets>
    <sheet name="Pratique_Dates" sheetId="1" r:id="rId1"/>
    <sheet name="Con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3" i="2"/>
  <c r="J14" i="2"/>
  <c r="J15" i="2"/>
  <c r="J16" i="2"/>
  <c r="J17" i="2"/>
  <c r="J18" i="2"/>
  <c r="J19" i="2"/>
  <c r="J20" i="2"/>
  <c r="J2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3" i="2"/>
  <c r="F4" i="2"/>
  <c r="M2" i="2"/>
  <c r="L2" i="2"/>
  <c r="J2" i="2"/>
  <c r="I2" i="2"/>
  <c r="G2" i="2"/>
  <c r="H2" i="2"/>
  <c r="F2" i="2"/>
  <c r="E6" i="1"/>
  <c r="D6" i="1"/>
  <c r="C6" i="1"/>
  <c r="D4" i="1"/>
  <c r="C4" i="1"/>
  <c r="B4" i="1"/>
  <c r="A2" i="1"/>
  <c r="A1" i="1"/>
</calcChain>
</file>

<file path=xl/sharedStrings.xml><?xml version="1.0" encoding="utf-8"?>
<sst xmlns="http://schemas.openxmlformats.org/spreadsheetml/2006/main" count="53" uniqueCount="53">
  <si>
    <t>ID</t>
  </si>
  <si>
    <t>Nom</t>
  </si>
  <si>
    <t>Date_embauche</t>
  </si>
  <si>
    <t>Debut_conge</t>
  </si>
  <si>
    <t>Fin_conge</t>
  </si>
  <si>
    <t>EMP001</t>
  </si>
  <si>
    <t>Awa Ndiaye</t>
  </si>
  <si>
    <t>EMP002</t>
  </si>
  <si>
    <t>Mamadou Diop</t>
  </si>
  <si>
    <t>EMP003</t>
  </si>
  <si>
    <t>Fatou Fall</t>
  </si>
  <si>
    <t>EMP004</t>
  </si>
  <si>
    <t>Ibrahima Sarr</t>
  </si>
  <si>
    <t>EMP005</t>
  </si>
  <si>
    <t>Astou Ndiaye</t>
  </si>
  <si>
    <t>EMP006</t>
  </si>
  <si>
    <t>Ousmane Ba</t>
  </si>
  <si>
    <t>EMP007</t>
  </si>
  <si>
    <t>Sokhna Diallo</t>
  </si>
  <si>
    <t>EMP008</t>
  </si>
  <si>
    <t>Abdoulaye Gueye</t>
  </si>
  <si>
    <t>EMP009</t>
  </si>
  <si>
    <t>Mariama Seck</t>
  </si>
  <si>
    <t>EMP010</t>
  </si>
  <si>
    <t>Coumba Faye</t>
  </si>
  <si>
    <t>EMP011</t>
  </si>
  <si>
    <t>Alioune Fall</t>
  </si>
  <si>
    <t>EMP012</t>
  </si>
  <si>
    <t>Ndeye Diop</t>
  </si>
  <si>
    <t>EMP013</t>
  </si>
  <si>
    <t>Moussa Sow</t>
  </si>
  <si>
    <t>EMP014</t>
  </si>
  <si>
    <t>Astou Sarr</t>
  </si>
  <si>
    <t>EMP015</t>
  </si>
  <si>
    <t>Fatou Ndiaye</t>
  </si>
  <si>
    <t>EMP016</t>
  </si>
  <si>
    <t>Ibrahima Fall</t>
  </si>
  <si>
    <t>EMP017</t>
  </si>
  <si>
    <t>Sokhna Ba</t>
  </si>
  <si>
    <t>EMP018</t>
  </si>
  <si>
    <t>Mamadou Sarr</t>
  </si>
  <si>
    <t>EMP019</t>
  </si>
  <si>
    <t>Awa Gueye</t>
  </si>
  <si>
    <t>EMP020</t>
  </si>
  <si>
    <t>Ousmane Diop</t>
  </si>
  <si>
    <t>Duree_conge</t>
  </si>
  <si>
    <t>Annee_conge</t>
  </si>
  <si>
    <t>Mois_conge</t>
  </si>
  <si>
    <t>Jour_conge</t>
  </si>
  <si>
    <t>Anciennete</t>
  </si>
  <si>
    <t>Date du jour</t>
  </si>
  <si>
    <t>Dernière mise à jour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</si>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</sst>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Times New Roman"/>
      <family val="1"/>
    </font>
    <font>
      <sz val="11"/>
      <name val="Aptos Narrow"/>
      <family val="2"/>
      <scheme val="minor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23"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6" tint="-0.24994659260841701"/>
      </font>
      <fill>
        <patternFill>
          <bgColor theme="9" tint="0.79998168889431442"/>
        </patternFill>
      </fill>
    </dxf>
    <dxf>
      <font>
        <b/>
        <i val="0"/>
        <color theme="5" tint="-0.24994659260841701"/>
      </font>
      <fill>
        <patternFill>
          <bgColor rgb="FFF9FDC5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6" tint="-0.24994659260841701"/>
      </font>
      <fill>
        <patternFill>
          <bgColor theme="9" tint="0.79998168889431442"/>
        </patternFill>
      </fill>
    </dxf>
    <dxf>
      <font>
        <b/>
        <i val="0"/>
        <color theme="5" tint="-0.24994659260841701"/>
      </font>
      <fill>
        <patternFill>
          <bgColor rgb="FFF9FDC5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6" tint="-0.24994659260841701"/>
      </font>
      <fill>
        <patternFill>
          <bgColor theme="9" tint="0.79998168889431442"/>
        </patternFill>
      </fill>
    </dxf>
    <dxf>
      <font>
        <b/>
        <i val="0"/>
        <color theme="5" tint="-0.24994659260841701"/>
      </font>
      <fill>
        <patternFill>
          <bgColor rgb="FFF9FDC5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/>
      </font>
      <fill>
        <patternFill>
          <bgColor theme="9" tint="0.79998168889431442"/>
        </patternFill>
      </fill>
    </dxf>
    <dxf>
      <font>
        <b/>
        <i val="0"/>
        <color theme="5" tint="-0.24994659260841701"/>
      </font>
      <fill>
        <patternFill>
          <bgColor rgb="FFFFFFCC"/>
        </patternFill>
      </fill>
    </dxf>
    <dxf>
      <font>
        <b/>
        <i val="0"/>
        <color theme="5" tint="-0.24994659260841701"/>
      </font>
      <fill>
        <patternFill>
          <bgColor rgb="FFFFFFCC"/>
        </patternFill>
      </fill>
    </dxf>
    <dxf>
      <font>
        <b/>
        <i val="0"/>
        <color theme="5" tint="-0.24994659260841701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9F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E950-8880-4A8B-966C-6AB5EE6D978B}">
  <dimension ref="A1:E6"/>
  <sheetViews>
    <sheetView workbookViewId="0">
      <selection activeCell="E7" sqref="E7"/>
    </sheetView>
  </sheetViews>
  <sheetFormatPr baseColWidth="10" defaultRowHeight="14.25" x14ac:dyDescent="0.45"/>
  <cols>
    <col min="1" max="1" width="14.796875" bestFit="1" customWidth="1"/>
  </cols>
  <sheetData>
    <row r="1" spans="1:5" x14ac:dyDescent="0.45">
      <c r="A1" s="1">
        <f ca="1">TODAY()</f>
        <v>46262</v>
      </c>
    </row>
    <row r="2" spans="1:5" x14ac:dyDescent="0.45">
      <c r="A2" s="2">
        <f ca="1">NOW()</f>
        <v>46262.882529861112</v>
      </c>
    </row>
    <row r="4" spans="1:5" x14ac:dyDescent="0.45">
      <c r="A4" s="1">
        <v>46249</v>
      </c>
      <c r="B4">
        <f>YEAR(A4)</f>
        <v>2026</v>
      </c>
      <c r="C4">
        <f>MONTH(A4)</f>
        <v>8</v>
      </c>
      <c r="D4">
        <f>DAY(A4)</f>
        <v>15</v>
      </c>
    </row>
    <row r="6" spans="1:5" x14ac:dyDescent="0.45">
      <c r="A6" s="1">
        <v>46235</v>
      </c>
      <c r="B6" s="1">
        <v>46249</v>
      </c>
      <c r="C6">
        <f>DATEDIF(A6,B6,"d")</f>
        <v>14</v>
      </c>
      <c r="D6">
        <f>DATEDIF(A6,B6,"m")</f>
        <v>0</v>
      </c>
      <c r="E6">
        <f>DATEDIF(A6,B6,"y")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09C8-6A43-451B-A0FD-55B219F0901B}">
  <dimension ref="A1:M21"/>
  <sheetViews>
    <sheetView tabSelected="1" zoomScale="104" workbookViewId="0">
      <selection activeCell="M7" sqref="M7"/>
    </sheetView>
  </sheetViews>
  <sheetFormatPr baseColWidth="10" defaultRowHeight="14.25" x14ac:dyDescent="0.45"/>
  <cols>
    <col min="2" max="2" width="14.1328125" bestFit="1" customWidth="1"/>
    <col min="3" max="3" width="13.46484375" bestFit="1" customWidth="1"/>
    <col min="4" max="4" width="11.86328125" bestFit="1" customWidth="1"/>
    <col min="6" max="6" width="10.9296875" bestFit="1" customWidth="1"/>
    <col min="7" max="7" width="11.06640625" bestFit="1" customWidth="1"/>
    <col min="13" max="13" width="16.265625" bestFit="1" customWidth="1"/>
  </cols>
  <sheetData>
    <row r="1" spans="1:13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45</v>
      </c>
      <c r="G1" s="5" t="s">
        <v>46</v>
      </c>
      <c r="H1" s="5" t="s">
        <v>47</v>
      </c>
      <c r="I1" s="4" t="s">
        <v>48</v>
      </c>
      <c r="J1" s="6" t="s">
        <v>49</v>
      </c>
      <c r="K1" s="4" t="s">
        <v>52</v>
      </c>
      <c r="L1" t="s">
        <v>50</v>
      </c>
      <c r="M1" t="s">
        <v>51</v>
      </c>
    </row>
    <row r="2" spans="1:13" x14ac:dyDescent="0.45">
      <c r="A2" t="s">
        <v>5</v>
      </c>
      <c r="B2" t="s">
        <v>6</v>
      </c>
      <c r="C2" s="1">
        <v>44997</v>
      </c>
      <c r="D2" s="1">
        <v>46244</v>
      </c>
      <c r="E2" s="1">
        <v>46254</v>
      </c>
      <c r="F2" s="3">
        <f>DATEDIF(D2,E2,"d")</f>
        <v>10</v>
      </c>
      <c r="G2">
        <f>YEAR(D2)</f>
        <v>2026</v>
      </c>
      <c r="H2">
        <f>MONTH(D2)</f>
        <v>8</v>
      </c>
      <c r="I2">
        <f>DAY(D2)</f>
        <v>10</v>
      </c>
      <c r="J2" s="3">
        <f ca="1">DATEDIF(C2,TODAY(),"y")</f>
        <v>3</v>
      </c>
      <c r="K2" s="3" t="str">
        <f ca="1">IF(TODAY()&lt;D2,"À venir",IF(TODAY()&lt;=E2,"En cours","Terminé"))</f>
        <v>Terminé</v>
      </c>
      <c r="L2" s="1">
        <f ca="1">TODAY()</f>
        <v>46262</v>
      </c>
      <c r="M2" s="2">
        <f ca="1">NOW()</f>
        <v>46262.882529861112</v>
      </c>
    </row>
    <row r="3" spans="1:13" x14ac:dyDescent="0.45">
      <c r="A3" t="s">
        <v>7</v>
      </c>
      <c r="B3" t="s">
        <v>8</v>
      </c>
      <c r="C3" s="1">
        <v>44717</v>
      </c>
      <c r="D3" s="1">
        <v>46266</v>
      </c>
      <c r="E3" s="1">
        <v>46280</v>
      </c>
      <c r="F3" s="3">
        <f t="shared" ref="F3:F21" si="0">DATEDIF(D3,E3,"d")</f>
        <v>14</v>
      </c>
      <c r="G3">
        <f t="shared" ref="G3:G21" si="1">YEAR(D3)</f>
        <v>2026</v>
      </c>
      <c r="H3">
        <f t="shared" ref="H3:H21" si="2">MONTH(D3)</f>
        <v>9</v>
      </c>
      <c r="I3">
        <f t="shared" ref="I3:I21" si="3">DAY(D3)</f>
        <v>1</v>
      </c>
      <c r="J3" s="3">
        <f t="shared" ref="J3:J21" ca="1" si="4">DATEDIF(C3,TODAY(),"y")</f>
        <v>4</v>
      </c>
      <c r="K3" s="3" t="str">
        <f t="shared" ref="K3:K21" ca="1" si="5">IF(TODAY()&lt;D3,"À venir",IF(TODAY()&lt;=E3,"En cours","Terminé"))</f>
        <v>À venir</v>
      </c>
    </row>
    <row r="4" spans="1:13" x14ac:dyDescent="0.45">
      <c r="A4" t="s">
        <v>9</v>
      </c>
      <c r="B4" t="s">
        <v>10</v>
      </c>
      <c r="C4" s="1">
        <v>45306</v>
      </c>
      <c r="D4" s="1">
        <v>46300</v>
      </c>
      <c r="E4" s="1">
        <v>46307</v>
      </c>
      <c r="F4" s="3">
        <f t="shared" si="0"/>
        <v>7</v>
      </c>
      <c r="G4">
        <f t="shared" si="1"/>
        <v>2026</v>
      </c>
      <c r="H4">
        <f t="shared" si="2"/>
        <v>10</v>
      </c>
      <c r="I4">
        <f t="shared" si="3"/>
        <v>5</v>
      </c>
      <c r="J4" s="3">
        <f t="shared" ca="1" si="4"/>
        <v>2</v>
      </c>
      <c r="K4" s="3" t="str">
        <f t="shared" ca="1" si="5"/>
        <v>À venir</v>
      </c>
    </row>
    <row r="5" spans="1:13" x14ac:dyDescent="0.45">
      <c r="A5" t="s">
        <v>11</v>
      </c>
      <c r="B5" t="s">
        <v>12</v>
      </c>
      <c r="C5" s="1">
        <v>44520</v>
      </c>
      <c r="D5" s="1">
        <v>46218</v>
      </c>
      <c r="E5" s="1">
        <v>46228</v>
      </c>
      <c r="F5" s="3">
        <f t="shared" si="0"/>
        <v>10</v>
      </c>
      <c r="G5">
        <f t="shared" si="1"/>
        <v>2026</v>
      </c>
      <c r="H5">
        <f t="shared" si="2"/>
        <v>7</v>
      </c>
      <c r="I5">
        <f t="shared" si="3"/>
        <v>15</v>
      </c>
      <c r="J5" s="3">
        <f t="shared" ca="1" si="4"/>
        <v>4</v>
      </c>
      <c r="K5" s="3" t="str">
        <f t="shared" ca="1" si="5"/>
        <v>Terminé</v>
      </c>
    </row>
    <row r="6" spans="1:13" x14ac:dyDescent="0.45">
      <c r="A6" t="s">
        <v>13</v>
      </c>
      <c r="B6" t="s">
        <v>14</v>
      </c>
      <c r="C6" s="1">
        <v>45177</v>
      </c>
      <c r="D6" s="1">
        <v>46346</v>
      </c>
      <c r="E6" s="1">
        <v>46356</v>
      </c>
      <c r="F6" s="3">
        <f t="shared" si="0"/>
        <v>10</v>
      </c>
      <c r="G6">
        <f t="shared" si="1"/>
        <v>2026</v>
      </c>
      <c r="H6">
        <f t="shared" si="2"/>
        <v>11</v>
      </c>
      <c r="I6">
        <f t="shared" si="3"/>
        <v>20</v>
      </c>
      <c r="J6" s="3">
        <f t="shared" ca="1" si="4"/>
        <v>2</v>
      </c>
      <c r="K6" s="3" t="str">
        <f t="shared" ca="1" si="5"/>
        <v>À venir</v>
      </c>
    </row>
    <row r="7" spans="1:13" x14ac:dyDescent="0.45">
      <c r="A7" t="s">
        <v>15</v>
      </c>
      <c r="B7" t="s">
        <v>16</v>
      </c>
      <c r="C7" s="1">
        <v>44661</v>
      </c>
      <c r="D7" s="1">
        <v>46270</v>
      </c>
      <c r="E7" s="1">
        <v>46285</v>
      </c>
      <c r="F7" s="3">
        <f t="shared" si="0"/>
        <v>15</v>
      </c>
      <c r="G7">
        <f t="shared" si="1"/>
        <v>2026</v>
      </c>
      <c r="H7">
        <f t="shared" si="2"/>
        <v>9</v>
      </c>
      <c r="I7">
        <f t="shared" si="3"/>
        <v>5</v>
      </c>
      <c r="J7" s="3">
        <f t="shared" ca="1" si="4"/>
        <v>4</v>
      </c>
      <c r="K7" s="3" t="str">
        <f t="shared" ca="1" si="5"/>
        <v>À venir</v>
      </c>
    </row>
    <row r="8" spans="1:13" x14ac:dyDescent="0.45">
      <c r="A8" t="s">
        <v>17</v>
      </c>
      <c r="B8" t="s">
        <v>18</v>
      </c>
      <c r="C8" s="1">
        <v>45529</v>
      </c>
      <c r="D8" s="1">
        <v>46310</v>
      </c>
      <c r="E8" s="1">
        <v>46320</v>
      </c>
      <c r="F8" s="3">
        <f t="shared" si="0"/>
        <v>10</v>
      </c>
      <c r="G8">
        <f t="shared" si="1"/>
        <v>2026</v>
      </c>
      <c r="H8">
        <f t="shared" si="2"/>
        <v>10</v>
      </c>
      <c r="I8">
        <f t="shared" si="3"/>
        <v>15</v>
      </c>
      <c r="J8" s="3">
        <f t="shared" ca="1" si="4"/>
        <v>2</v>
      </c>
      <c r="K8" s="3" t="str">
        <f t="shared" ca="1" si="5"/>
        <v>À venir</v>
      </c>
    </row>
    <row r="9" spans="1:13" x14ac:dyDescent="0.45">
      <c r="A9" t="s">
        <v>19</v>
      </c>
      <c r="B9" t="s">
        <v>20</v>
      </c>
      <c r="C9" s="1">
        <v>44168</v>
      </c>
      <c r="D9" s="1">
        <v>46235</v>
      </c>
      <c r="E9" s="1">
        <v>46249</v>
      </c>
      <c r="F9" s="3">
        <f t="shared" si="0"/>
        <v>14</v>
      </c>
      <c r="G9">
        <f t="shared" si="1"/>
        <v>2026</v>
      </c>
      <c r="H9">
        <f t="shared" si="2"/>
        <v>8</v>
      </c>
      <c r="I9">
        <f t="shared" si="3"/>
        <v>1</v>
      </c>
      <c r="J9" s="3">
        <f t="shared" ca="1" si="4"/>
        <v>5</v>
      </c>
      <c r="K9" s="3" t="str">
        <f t="shared" ca="1" si="5"/>
        <v>Terminé</v>
      </c>
    </row>
    <row r="10" spans="1:13" x14ac:dyDescent="0.45">
      <c r="A10" t="s">
        <v>21</v>
      </c>
      <c r="B10" t="s">
        <v>22</v>
      </c>
      <c r="C10" s="1">
        <v>45125</v>
      </c>
      <c r="D10" s="1">
        <v>46285</v>
      </c>
      <c r="E10" s="1">
        <v>46295</v>
      </c>
      <c r="F10" s="3">
        <f t="shared" si="0"/>
        <v>10</v>
      </c>
      <c r="G10">
        <f t="shared" si="1"/>
        <v>2026</v>
      </c>
      <c r="H10">
        <f t="shared" si="2"/>
        <v>9</v>
      </c>
      <c r="I10">
        <f t="shared" si="3"/>
        <v>20</v>
      </c>
      <c r="J10" s="3">
        <f t="shared" ca="1" si="4"/>
        <v>3</v>
      </c>
      <c r="K10" s="3" t="str">
        <f t="shared" ca="1" si="5"/>
        <v>À venir</v>
      </c>
    </row>
    <row r="11" spans="1:13" x14ac:dyDescent="0.45">
      <c r="A11" t="s">
        <v>23</v>
      </c>
      <c r="B11" t="s">
        <v>24</v>
      </c>
      <c r="C11" s="1">
        <v>45679</v>
      </c>
      <c r="D11" s="1">
        <v>46336</v>
      </c>
      <c r="E11" s="1">
        <v>46346</v>
      </c>
      <c r="F11" s="3">
        <f t="shared" si="0"/>
        <v>10</v>
      </c>
      <c r="G11">
        <f t="shared" si="1"/>
        <v>2026</v>
      </c>
      <c r="H11">
        <f t="shared" si="2"/>
        <v>11</v>
      </c>
      <c r="I11">
        <f t="shared" si="3"/>
        <v>10</v>
      </c>
      <c r="J11" s="3">
        <f t="shared" ca="1" si="4"/>
        <v>1</v>
      </c>
      <c r="K11" s="3" t="str">
        <f t="shared" ca="1" si="5"/>
        <v>À venir</v>
      </c>
    </row>
    <row r="12" spans="1:13" x14ac:dyDescent="0.45">
      <c r="A12" t="s">
        <v>25</v>
      </c>
      <c r="B12" t="s">
        <v>26</v>
      </c>
      <c r="C12" s="1">
        <v>44330</v>
      </c>
      <c r="D12" s="1">
        <v>46178</v>
      </c>
      <c r="E12" s="1">
        <v>46188</v>
      </c>
      <c r="F12" s="3">
        <f t="shared" si="0"/>
        <v>10</v>
      </c>
      <c r="G12">
        <f t="shared" si="1"/>
        <v>2026</v>
      </c>
      <c r="H12">
        <f t="shared" si="2"/>
        <v>6</v>
      </c>
      <c r="I12">
        <f t="shared" si="3"/>
        <v>5</v>
      </c>
      <c r="J12" s="3">
        <f t="shared" ca="1" si="4"/>
        <v>5</v>
      </c>
      <c r="K12" s="3" t="str">
        <f t="shared" ca="1" si="5"/>
        <v>Terminé</v>
      </c>
    </row>
    <row r="13" spans="1:13" x14ac:dyDescent="0.45">
      <c r="A13" t="s">
        <v>27</v>
      </c>
      <c r="B13" t="s">
        <v>28</v>
      </c>
      <c r="C13" s="1">
        <v>44834</v>
      </c>
      <c r="D13" s="1">
        <v>46215</v>
      </c>
      <c r="E13" s="1">
        <v>46225</v>
      </c>
      <c r="F13" s="3">
        <f t="shared" si="0"/>
        <v>10</v>
      </c>
      <c r="G13">
        <f t="shared" si="1"/>
        <v>2026</v>
      </c>
      <c r="H13">
        <f t="shared" si="2"/>
        <v>7</v>
      </c>
      <c r="I13">
        <f t="shared" si="3"/>
        <v>12</v>
      </c>
      <c r="J13" s="3">
        <f t="shared" ca="1" si="4"/>
        <v>3</v>
      </c>
      <c r="K13" s="3" t="str">
        <f t="shared" ca="1" si="5"/>
        <v>Terminé</v>
      </c>
    </row>
    <row r="14" spans="1:13" x14ac:dyDescent="0.45">
      <c r="A14" t="s">
        <v>29</v>
      </c>
      <c r="B14" t="s">
        <v>30</v>
      </c>
      <c r="C14" s="1">
        <v>45237</v>
      </c>
      <c r="D14" s="1">
        <v>46259</v>
      </c>
      <c r="E14" s="1">
        <v>46270</v>
      </c>
      <c r="F14" s="3">
        <f t="shared" si="0"/>
        <v>11</v>
      </c>
      <c r="G14">
        <f t="shared" si="1"/>
        <v>2026</v>
      </c>
      <c r="H14">
        <f t="shared" si="2"/>
        <v>8</v>
      </c>
      <c r="I14">
        <f t="shared" si="3"/>
        <v>25</v>
      </c>
      <c r="J14" s="3">
        <f t="shared" ca="1" si="4"/>
        <v>2</v>
      </c>
      <c r="K14" s="3" t="str">
        <f t="shared" ca="1" si="5"/>
        <v>En cours</v>
      </c>
    </row>
    <row r="15" spans="1:13" x14ac:dyDescent="0.45">
      <c r="A15" t="s">
        <v>31</v>
      </c>
      <c r="B15" t="s">
        <v>32</v>
      </c>
      <c r="C15" s="1">
        <v>45341</v>
      </c>
      <c r="D15" s="1">
        <v>46327</v>
      </c>
      <c r="E15" s="1">
        <v>46337</v>
      </c>
      <c r="F15" s="3">
        <f t="shared" si="0"/>
        <v>10</v>
      </c>
      <c r="G15">
        <f t="shared" si="1"/>
        <v>2026</v>
      </c>
      <c r="H15">
        <f t="shared" si="2"/>
        <v>11</v>
      </c>
      <c r="I15">
        <f t="shared" si="3"/>
        <v>1</v>
      </c>
      <c r="J15" s="3">
        <f t="shared" ca="1" si="4"/>
        <v>2</v>
      </c>
      <c r="K15" s="3" t="str">
        <f t="shared" ca="1" si="5"/>
        <v>À venir</v>
      </c>
    </row>
    <row r="16" spans="1:13" x14ac:dyDescent="0.45">
      <c r="A16" t="s">
        <v>33</v>
      </c>
      <c r="B16" t="s">
        <v>34</v>
      </c>
      <c r="C16" s="1">
        <v>44738</v>
      </c>
      <c r="D16" s="1">
        <v>46371</v>
      </c>
      <c r="E16" s="1">
        <v>46381</v>
      </c>
      <c r="F16" s="3">
        <f t="shared" si="0"/>
        <v>10</v>
      </c>
      <c r="G16">
        <f t="shared" si="1"/>
        <v>2026</v>
      </c>
      <c r="H16">
        <f t="shared" si="2"/>
        <v>12</v>
      </c>
      <c r="I16">
        <f t="shared" si="3"/>
        <v>15</v>
      </c>
      <c r="J16" s="3">
        <f t="shared" ca="1" si="4"/>
        <v>4</v>
      </c>
      <c r="K16" s="3" t="str">
        <f t="shared" ca="1" si="5"/>
        <v>À venir</v>
      </c>
    </row>
    <row r="17" spans="1:11" x14ac:dyDescent="0.45">
      <c r="A17" t="s">
        <v>35</v>
      </c>
      <c r="B17" t="s">
        <v>36</v>
      </c>
      <c r="C17" s="1">
        <v>45147</v>
      </c>
      <c r="D17" s="1">
        <v>46275</v>
      </c>
      <c r="E17" s="1">
        <v>46285</v>
      </c>
      <c r="F17" s="3">
        <f t="shared" si="0"/>
        <v>10</v>
      </c>
      <c r="G17">
        <f t="shared" si="1"/>
        <v>2026</v>
      </c>
      <c r="H17">
        <f t="shared" si="2"/>
        <v>9</v>
      </c>
      <c r="I17">
        <f t="shared" si="3"/>
        <v>10</v>
      </c>
      <c r="J17" s="3">
        <f t="shared" ca="1" si="4"/>
        <v>3</v>
      </c>
      <c r="K17" s="3" t="str">
        <f t="shared" ca="1" si="5"/>
        <v>À venir</v>
      </c>
    </row>
    <row r="18" spans="1:11" x14ac:dyDescent="0.45">
      <c r="A18" t="s">
        <v>37</v>
      </c>
      <c r="B18" t="s">
        <v>38</v>
      </c>
      <c r="C18" s="1">
        <v>45733</v>
      </c>
      <c r="D18" s="1">
        <v>46239</v>
      </c>
      <c r="E18" s="1">
        <v>46249</v>
      </c>
      <c r="F18" s="3">
        <f t="shared" si="0"/>
        <v>10</v>
      </c>
      <c r="G18">
        <f t="shared" si="1"/>
        <v>2026</v>
      </c>
      <c r="H18">
        <f t="shared" si="2"/>
        <v>8</v>
      </c>
      <c r="I18">
        <f t="shared" si="3"/>
        <v>5</v>
      </c>
      <c r="J18" s="3">
        <f t="shared" ca="1" si="4"/>
        <v>1</v>
      </c>
      <c r="K18" s="3" t="str">
        <f t="shared" ca="1" si="5"/>
        <v>Terminé</v>
      </c>
    </row>
    <row r="19" spans="1:11" x14ac:dyDescent="0.45">
      <c r="A19" t="s">
        <v>39</v>
      </c>
      <c r="B19" t="s">
        <v>40</v>
      </c>
      <c r="C19" s="1">
        <v>44493</v>
      </c>
      <c r="D19" s="1">
        <v>46315</v>
      </c>
      <c r="E19" s="1">
        <v>46325</v>
      </c>
      <c r="F19" s="3">
        <f t="shared" si="0"/>
        <v>10</v>
      </c>
      <c r="G19">
        <f t="shared" si="1"/>
        <v>2026</v>
      </c>
      <c r="H19">
        <f t="shared" si="2"/>
        <v>10</v>
      </c>
      <c r="I19">
        <f t="shared" si="3"/>
        <v>20</v>
      </c>
      <c r="J19" s="3">
        <f t="shared" ca="1" si="4"/>
        <v>4</v>
      </c>
      <c r="K19" s="3" t="str">
        <f t="shared" ca="1" si="5"/>
        <v>À venir</v>
      </c>
    </row>
    <row r="20" spans="1:11" x14ac:dyDescent="0.45">
      <c r="A20" t="s">
        <v>41</v>
      </c>
      <c r="B20" t="s">
        <v>42</v>
      </c>
      <c r="C20" s="1">
        <v>44196</v>
      </c>
      <c r="D20" s="1">
        <v>46157</v>
      </c>
      <c r="E20" s="1">
        <v>46167</v>
      </c>
      <c r="F20" s="3">
        <f t="shared" si="0"/>
        <v>10</v>
      </c>
      <c r="G20">
        <f t="shared" si="1"/>
        <v>2026</v>
      </c>
      <c r="H20">
        <f t="shared" si="2"/>
        <v>5</v>
      </c>
      <c r="I20">
        <f t="shared" si="3"/>
        <v>15</v>
      </c>
      <c r="J20" s="3">
        <f t="shared" ca="1" si="4"/>
        <v>5</v>
      </c>
      <c r="K20" s="3" t="str">
        <f t="shared" ca="1" si="5"/>
        <v>Terminé</v>
      </c>
    </row>
    <row r="21" spans="1:11" x14ac:dyDescent="0.45">
      <c r="A21" t="s">
        <v>43</v>
      </c>
      <c r="B21" t="s">
        <v>44</v>
      </c>
      <c r="C21" s="1">
        <v>45044</v>
      </c>
      <c r="D21" s="1">
        <v>46357</v>
      </c>
      <c r="E21" s="1">
        <v>46371</v>
      </c>
      <c r="F21" s="3">
        <f t="shared" si="0"/>
        <v>14</v>
      </c>
      <c r="G21">
        <f t="shared" si="1"/>
        <v>2026</v>
      </c>
      <c r="H21">
        <f t="shared" si="2"/>
        <v>12</v>
      </c>
      <c r="I21">
        <f t="shared" si="3"/>
        <v>1</v>
      </c>
      <c r="J21" s="3">
        <f t="shared" ca="1" si="4"/>
        <v>3</v>
      </c>
      <c r="K21" s="3" t="str">
        <f t="shared" ca="1" si="5"/>
        <v>À venir</v>
      </c>
    </row>
  </sheetData>
  <conditionalFormatting sqref="K1:K1048576">
    <cfRule type="containsText" dxfId="12" priority="8" operator="containsText" text="venir">
      <formula>NOT(ISERROR(SEARCH("venir",K1)))</formula>
    </cfRule>
  </conditionalFormatting>
  <conditionalFormatting sqref="K1:K21">
    <cfRule type="containsText" dxfId="11" priority="7" operator="containsText" text="cours">
      <formula>NOT(ISERROR(SEARCH("cours",K1)))</formula>
    </cfRule>
    <cfRule type="containsText" dxfId="10" priority="6" operator="containsText" text="Terminé">
      <formula>NOT(ISERROR(SEARCH("Terminé",K1)))</formula>
    </cfRule>
  </conditionalFormatting>
  <conditionalFormatting sqref="J1:J21">
    <cfRule type="cellIs" dxfId="9" priority="5" operator="greaterThanOrEqual">
      <formula>5</formula>
    </cfRule>
  </conditionalFormatting>
  <conditionalFormatting sqref="J2:J21">
    <cfRule type="cellIs" dxfId="8" priority="4" operator="between">
      <formula>2</formula>
      <formula>4</formula>
    </cfRule>
    <cfRule type="cellIs" dxfId="7" priority="3" operator="lessThan">
      <formula>2</formula>
    </cfRule>
  </conditionalFormatting>
  <conditionalFormatting sqref="F2:F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{1657B2A7-D39C-4038-92CB-7247C47FEC2C}</x14:id>
        </ext>
      </extLst>
    </cfRule>
  </conditionalFormatting>
  <conditionalFormatting sqref="A1:K21">
    <cfRule type="expression" dxfId="0" priority="1">
      <formula>ISEVEN(ROW())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57B2A7-D39C-4038-92CB-7247C47FE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Pratique_Dates</vt:lpstr>
      <vt:lpstr>Conges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2026-08-28T20:26:42Z</dcterms:created>
  <dcterms:modified xsi:type="dcterms:W3CDTF">2026-08-28T21:14:14Z</dcterms:modified>
</cp:coreProperties>
</file>