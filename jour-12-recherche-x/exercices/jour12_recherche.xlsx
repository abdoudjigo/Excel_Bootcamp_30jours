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2-recherche-x\exercices\"/>
    </mc:Choice>
  </mc:AlternateContent>
  <xr:revisionPtr revIDLastSave="0" documentId="13_ncr:1_{259C30DA-4FFC-44A4-B901-810E67B5210C}" xr6:coauthVersionLast="47" xr6:coauthVersionMax="47" xr10:uidLastSave="{00000000-0000-0000-0000-000000000000}"/>
  <bookViews>
    <workbookView xWindow="-98" yWindow="-98" windowWidth="19396" windowHeight="10276" activeTab="2" xr2:uid="{0259DF5D-C051-4EAA-9134-AC174A3CF3E1}"/>
  </bookViews>
  <sheets>
    <sheet name="Pratique_XLOOKUP" sheetId="1" r:id="rId1"/>
    <sheet name="Etudiants" sheetId="2" r:id="rId2"/>
    <sheet name="Recherch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1" i="3"/>
  <c r="B10" i="3"/>
  <c r="B9" i="3"/>
  <c r="B8" i="3"/>
  <c r="B7" i="3"/>
  <c r="B6" i="3"/>
  <c r="B5" i="3"/>
  <c r="B4" i="3"/>
  <c r="B19" i="1"/>
  <c r="B16" i="1"/>
  <c r="B15" i="1"/>
  <c r="B12" i="1"/>
  <c r="B11" i="1"/>
  <c r="B10" i="1"/>
  <c r="B9" i="1"/>
</calcChain>
</file>

<file path=xl/sharedStrings.xml><?xml version="1.0" encoding="utf-8"?>
<sst xmlns="http://schemas.openxmlformats.org/spreadsheetml/2006/main" count="566" uniqueCount="233">
  <si>
    <t>ID</t>
  </si>
  <si>
    <t>Nom</t>
  </si>
  <si>
    <t>Filière</t>
  </si>
  <si>
    <t>Math</t>
  </si>
  <si>
    <t>Python</t>
  </si>
  <si>
    <t>ST001</t>
  </si>
  <si>
    <t>Awa Ndiaye</t>
  </si>
  <si>
    <t>Data</t>
  </si>
  <si>
    <t>ST002</t>
  </si>
  <si>
    <t>Mamadou Diop</t>
  </si>
  <si>
    <t>Développement</t>
  </si>
  <si>
    <t>ST003</t>
  </si>
  <si>
    <t>Fatou Fall</t>
  </si>
  <si>
    <t>IA</t>
  </si>
  <si>
    <t>ST004</t>
  </si>
  <si>
    <t>Cheikh Ba</t>
  </si>
  <si>
    <t>ST005</t>
  </si>
  <si>
    <t>Mariama Sow</t>
  </si>
  <si>
    <t>Cybersécurité</t>
  </si>
  <si>
    <t>ID recherché</t>
  </si>
  <si>
    <t>ST0033</t>
  </si>
  <si>
    <t>Pyton</t>
  </si>
  <si>
    <t>ID inexistant</t>
  </si>
  <si>
    <t>ST999</t>
  </si>
  <si>
    <t>Sans Message</t>
  </si>
  <si>
    <t>Avec Message</t>
  </si>
  <si>
    <t>Recherche vers la gauche</t>
  </si>
  <si>
    <t>Nom Trouvé</t>
  </si>
  <si>
    <t>Sexe</t>
  </si>
  <si>
    <t>Ville</t>
  </si>
  <si>
    <t>Filiere</t>
  </si>
  <si>
    <t>Excel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</si>
  <si>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</si>
  <si>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</si>
  <si>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</si>
  <si>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</si>
  <si>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</si>
  <si>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</si>
  <si>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</si>
  <si>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</si>
  <si>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ST0002</t>
  </si>
  <si>
    <t>Alioune Diop</t>
  </si>
  <si>
    <t>M</t>
  </si>
  <si>
    <t>Ziguinchor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</si>
  <si>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</si>
  <si>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</si>
  <si>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</si>
  <si>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</si>
  <si>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</si>
  <si>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</si>
  <si>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</si>
  <si>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</si>
  <si>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</si>
  <si>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</si>
  <si>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</si>
  <si>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</si>
  <si>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</si>
  <si>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</si>
  <si>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</si>
  <si>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</si>
  <si>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</si>
  <si>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</si>
  <si>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</si>
  <si>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</si>
  <si>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</si>
  <si>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</si>
  <si>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</si>
  <si>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</si>
  <si>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</si>
  <si>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</si>
  <si>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</si>
  <si>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</si>
  <si>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</si>
  <si>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</si>
  <si>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</si>
  <si>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</si>
  <si>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</si>
  <si>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</si>
  <si>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</si>
  <si>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</si>
  <si>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</si>
  <si>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</si>
  <si>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</si>
  <si>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</si>
  <si>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</si>
  <si>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</si>
  <si>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</si>
  <si>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</si>
  <si>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</si>
  <si>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</si>
  <si>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</si>
  <si>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</si>
  <si>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</si>
  <si>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</si>
  <si>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</si>
  <si>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</si>
  <si>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</si>
  <si>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</si>
  <si>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</si>
  <si>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</si>
  <si>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</si>
  <si>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</si>
  <si>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</si>
  <si>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</si>
  <si>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</si>
  <si>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</si>
  <si>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</si>
  <si>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</si>
  <si>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</si>
  <si>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</si>
  <si>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</si>
  <si>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</si>
  <si>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</si>
  <si>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</si>
  <si>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</si>
  <si>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</si>
  <si>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</si>
  <si>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</si>
  <si>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</si>
  <si>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</si>
  <si>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</si>
  <si>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</si>
  <si>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</si>
  <si>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</si>
  <si>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</si>
  <si>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</si>
  <si>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</si>
  <si>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</si>
  <si>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</si>
  <si>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</si>
  <si>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</si>
  <si>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</si>
  <si>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</si>
  <si>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</si>
  <si>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</si>
  <si>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</si>
  <si>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</si>
  <si>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</si>
  <si>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</si>
  <si>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</si>
  <si>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</si>
  <si>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</si>
  <si>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</si>
  <si>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</si>
  <si>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</si>
  <si>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</si>
  <si>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</si>
  <si>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</si>
  <si>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</si>
  <si>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</si>
  <si>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</si>
  <si>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</si>
  <si>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</si>
  <si>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</si>
  <si>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</si>
  <si>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</si>
  <si>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</si>
  <si>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</si>
  <si>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</si>
  <si>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</si>
  <si>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</si>
  <si>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</si>
  <si>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</si>
  <si>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</si>
  <si>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</si>
  <si>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</si>
  <si>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</si>
  <si>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</si>
  <si>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</si>
  <si>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</si>
  <si>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</si>
  <si>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</si>
  <si>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</si>
  <si>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</si>
  <si>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</si>
  <si>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</si>
  <si>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</si>
  <si>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</si>
  <si>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</si>
  <si>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</si>
  <si>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</si>
  <si>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</si>
  <si>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</si>
  <si>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</si>
  <si>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</si>
  <si>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</si>
  <si>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</si>
  <si>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</si>
  <si>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</si>
  <si>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</si>
  <si>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</si>
  <si>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</si>
  <si>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</si>
  <si>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</si>
  <si>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</si>
  <si>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</si>
  <si>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</si>
  <si>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</si>
  <si>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</si>
  <si>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</si>
  <si>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</si>
  <si>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</si>
  <si>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</si>
  <si>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</si>
  <si>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</si>
  <si>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</si>
  <si>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</si>
  <si>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</si>
  <si>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</si>
  <si>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</si>
  <si>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</si>
  <si>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</si>
  <si>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</si>
  <si>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</si>
  <si>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</si>
  <si>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</si>
  <si>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</si>
  <si>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</si>
  <si>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</si>
  <si>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</si>
  <si>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</si>
  <si>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</si>
  <si>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</si>
  <si>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</si>
  <si>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</si>
  <si>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ST0097</t>
  </si>
  <si>
    <t>ST0098</t>
  </si>
  <si>
    <t>Alioune Faye</t>
  </si>
  <si>
    <t>ST0099</t>
  </si>
  <si>
    <t>🔍 RECHERCHE ÉTUDIANT</t>
  </si>
  <si>
    <t>Présence</t>
  </si>
  <si>
    <t>Nom recherché</t>
  </si>
  <si>
    <t>ID trouvé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</si>
</sst>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\ hh:mm:ss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</font>
    <font>
      <b/>
      <sz val="14"/>
      <color theme="1"/>
      <name val="Times New Roman"/>
      <family val="1"/>
    </font>
    <font>
      <b/>
      <sz val="11"/>
      <color theme="8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0" borderId="1" xfId="0" applyFont="1" applyBorder="1"/>
    <xf numFmtId="0" fontId="1" fillId="3" borderId="0" xfId="0" applyFont="1" applyFill="1"/>
    <xf numFmtId="0" fontId="3" fillId="0" borderId="1" xfId="0" applyFont="1" applyBorder="1" applyAlignment="1">
      <alignment horizontal="center" vertical="top"/>
    </xf>
    <xf numFmtId="167" fontId="0" fillId="0" borderId="0" xfId="0" applyNumberFormat="1"/>
    <xf numFmtId="0" fontId="4" fillId="4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DE72-06C0-4480-9134-0CB7DC41BA01}">
  <dimension ref="A1:I19"/>
  <sheetViews>
    <sheetView workbookViewId="0">
      <selection activeCell="B9" sqref="B9"/>
    </sheetView>
  </sheetViews>
  <sheetFormatPr baseColWidth="10" defaultRowHeight="13.9" x14ac:dyDescent="0.4"/>
  <cols>
    <col min="1" max="1" width="19.796875" style="1" bestFit="1" customWidth="1"/>
    <col min="2" max="2" width="16.19921875" style="1" bestFit="1" customWidth="1"/>
    <col min="3" max="3" width="12.796875" style="1" bestFit="1" customWidth="1"/>
    <col min="4" max="6" width="10.6640625" style="1"/>
    <col min="7" max="7" width="12.59765625" style="1" bestFit="1" customWidth="1"/>
    <col min="8" max="8" width="10.6640625" style="1"/>
    <col min="9" max="9" width="12.796875" style="1" bestFit="1" customWidth="1"/>
    <col min="10" max="16384" width="10.6640625" style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</v>
      </c>
      <c r="H1" s="1" t="s">
        <v>0</v>
      </c>
      <c r="I1" s="1" t="s">
        <v>2</v>
      </c>
    </row>
    <row r="2" spans="1:9" x14ac:dyDescent="0.4">
      <c r="A2" s="1" t="s">
        <v>5</v>
      </c>
      <c r="B2" s="1" t="s">
        <v>6</v>
      </c>
      <c r="C2" s="1" t="s">
        <v>7</v>
      </c>
      <c r="D2" s="1">
        <v>15</v>
      </c>
      <c r="E2" s="1">
        <v>17</v>
      </c>
      <c r="G2" s="1" t="s">
        <v>6</v>
      </c>
      <c r="H2" s="1" t="s">
        <v>5</v>
      </c>
      <c r="I2" s="1" t="s">
        <v>7</v>
      </c>
    </row>
    <row r="3" spans="1:9" x14ac:dyDescent="0.4">
      <c r="A3" s="1" t="s">
        <v>8</v>
      </c>
      <c r="B3" s="1" t="s">
        <v>9</v>
      </c>
      <c r="C3" s="1" t="s">
        <v>10</v>
      </c>
      <c r="D3" s="1">
        <v>12</v>
      </c>
      <c r="E3" s="1">
        <v>14</v>
      </c>
      <c r="G3" s="1" t="s">
        <v>9</v>
      </c>
      <c r="H3" s="1" t="s">
        <v>8</v>
      </c>
      <c r="I3" s="1" t="s">
        <v>10</v>
      </c>
    </row>
    <row r="4" spans="1:9" x14ac:dyDescent="0.4">
      <c r="A4" s="1" t="s">
        <v>11</v>
      </c>
      <c r="B4" s="1" t="s">
        <v>12</v>
      </c>
      <c r="C4" s="1" t="s">
        <v>13</v>
      </c>
      <c r="D4" s="1">
        <v>18</v>
      </c>
      <c r="E4" s="1">
        <v>16</v>
      </c>
      <c r="G4" s="1" t="s">
        <v>12</v>
      </c>
      <c r="H4" s="1" t="s">
        <v>11</v>
      </c>
      <c r="I4" s="1" t="s">
        <v>13</v>
      </c>
    </row>
    <row r="5" spans="1:9" x14ac:dyDescent="0.4">
      <c r="A5" s="1" t="s">
        <v>14</v>
      </c>
      <c r="B5" s="1" t="s">
        <v>15</v>
      </c>
      <c r="C5" s="1" t="s">
        <v>7</v>
      </c>
      <c r="D5" s="1">
        <v>10</v>
      </c>
      <c r="E5" s="1">
        <v>13</v>
      </c>
    </row>
    <row r="6" spans="1:9" x14ac:dyDescent="0.4">
      <c r="A6" s="1" t="s">
        <v>16</v>
      </c>
      <c r="B6" s="1" t="s">
        <v>17</v>
      </c>
      <c r="C6" s="1" t="s">
        <v>18</v>
      </c>
      <c r="D6" s="1">
        <v>14</v>
      </c>
      <c r="E6" s="1">
        <v>11</v>
      </c>
    </row>
    <row r="7" spans="1:9" x14ac:dyDescent="0.4">
      <c r="C7" s="4"/>
    </row>
    <row r="8" spans="1:9" x14ac:dyDescent="0.4">
      <c r="A8" s="2" t="s">
        <v>19</v>
      </c>
      <c r="B8" s="5" t="s">
        <v>11</v>
      </c>
    </row>
    <row r="9" spans="1:9" x14ac:dyDescent="0.4">
      <c r="A9" s="3" t="s">
        <v>1</v>
      </c>
      <c r="B9" s="5" t="str">
        <f>_xlfn.XLOOKUP(B8,A2:A6,B2:B6)</f>
        <v>Fatou Fall</v>
      </c>
    </row>
    <row r="10" spans="1:9" x14ac:dyDescent="0.4">
      <c r="A10" s="2" t="s">
        <v>2</v>
      </c>
      <c r="B10" s="5" t="str">
        <f>_xlfn.XLOOKUP(B8,A2:A6,C2:C6)</f>
        <v>IA</v>
      </c>
    </row>
    <row r="11" spans="1:9" x14ac:dyDescent="0.4">
      <c r="A11" s="3" t="s">
        <v>3</v>
      </c>
      <c r="B11" s="5">
        <f>_xlfn.XLOOKUP(B8,A2:A6,D2:D6)</f>
        <v>18</v>
      </c>
    </row>
    <row r="12" spans="1:9" x14ac:dyDescent="0.4">
      <c r="A12" s="3" t="s">
        <v>21</v>
      </c>
      <c r="B12" s="5">
        <f>_xlfn.XLOOKUP(B8,A2:A6,E2:E6)</f>
        <v>16</v>
      </c>
    </row>
    <row r="14" spans="1:9" x14ac:dyDescent="0.4">
      <c r="A14" s="2" t="s">
        <v>22</v>
      </c>
      <c r="B14" s="5" t="s">
        <v>23</v>
      </c>
    </row>
    <row r="15" spans="1:9" x14ac:dyDescent="0.4">
      <c r="A15" s="3" t="s">
        <v>24</v>
      </c>
      <c r="B15" s="5" t="e">
        <f>_xlfn.XLOOKUP(B14,A2:A6,B2:B6)</f>
        <v>#N/A</v>
      </c>
    </row>
    <row r="16" spans="1:9" x14ac:dyDescent="0.4">
      <c r="A16" s="3" t="s">
        <v>25</v>
      </c>
      <c r="B16" s="5" t="str">
        <f>_xlfn.XLOOKUP(B14,A2:A6,B2:B6,"Étudiant introuvable")</f>
        <v>Étudiant introuvable</v>
      </c>
    </row>
    <row r="18" spans="1:2" x14ac:dyDescent="0.4">
      <c r="A18" s="3" t="s">
        <v>26</v>
      </c>
      <c r="B18" s="5" t="s">
        <v>8</v>
      </c>
    </row>
    <row r="19" spans="1:2" x14ac:dyDescent="0.4">
      <c r="A19" s="3" t="s">
        <v>27</v>
      </c>
      <c r="B19" s="5" t="str">
        <f>_xlfn.XLOOKUP(B18,H2:H4,G2:G4)</f>
        <v>Mamadou Diop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3D65-74AC-459D-A09A-3BEE15D372CE}">
  <dimension ref="A1:L100"/>
  <sheetViews>
    <sheetView workbookViewId="0">
      <selection activeCell="M86" sqref="M86"/>
    </sheetView>
  </sheetViews>
  <sheetFormatPr baseColWidth="10" defaultRowHeight="14.25" x14ac:dyDescent="0.45"/>
  <cols>
    <col min="2" max="2" width="15" bestFit="1" customWidth="1"/>
    <col min="5" max="5" width="13.06640625" bestFit="1" customWidth="1"/>
    <col min="12" max="12" width="17.3984375" bestFit="1" customWidth="1"/>
  </cols>
  <sheetData>
    <row r="1" spans="1:12" x14ac:dyDescent="0.45">
      <c r="A1" s="6" t="s">
        <v>0</v>
      </c>
      <c r="B1" s="6" t="s">
        <v>1</v>
      </c>
      <c r="C1" s="6" t="s">
        <v>28</v>
      </c>
      <c r="D1" s="6" t="s">
        <v>29</v>
      </c>
      <c r="E1" s="6" t="s">
        <v>30</v>
      </c>
      <c r="F1" s="6" t="s">
        <v>3</v>
      </c>
      <c r="G1" s="6" t="s">
        <v>31</v>
      </c>
      <c r="H1" s="6" t="s">
        <v>4</v>
      </c>
      <c r="I1" s="6" t="s">
        <v>32</v>
      </c>
      <c r="J1" s="6" t="s">
        <v>33</v>
      </c>
      <c r="K1" s="6" t="s">
        <v>34</v>
      </c>
      <c r="L1" s="6" t="s">
        <v>35</v>
      </c>
    </row>
    <row r="2" spans="1:12" x14ac:dyDescent="0.45">
      <c r="A2" t="s">
        <v>36</v>
      </c>
      <c r="B2" t="s">
        <v>37</v>
      </c>
      <c r="C2" t="s">
        <v>38</v>
      </c>
      <c r="D2" t="s">
        <v>39</v>
      </c>
      <c r="E2" t="s">
        <v>7</v>
      </c>
      <c r="F2">
        <v>12.13</v>
      </c>
      <c r="G2">
        <v>11.08</v>
      </c>
      <c r="H2">
        <v>11.09</v>
      </c>
      <c r="I2">
        <v>14.41</v>
      </c>
      <c r="J2">
        <v>0.91869999999999996</v>
      </c>
      <c r="K2">
        <v>75000</v>
      </c>
      <c r="L2" s="7">
        <v>45854</v>
      </c>
    </row>
    <row r="3" spans="1:12" x14ac:dyDescent="0.45">
      <c r="A3" t="s">
        <v>40</v>
      </c>
      <c r="B3" t="s">
        <v>41</v>
      </c>
      <c r="C3" t="s">
        <v>42</v>
      </c>
      <c r="D3" t="s">
        <v>43</v>
      </c>
      <c r="E3" t="s">
        <v>13</v>
      </c>
      <c r="F3">
        <v>15.39</v>
      </c>
      <c r="G3">
        <v>18.309999999999999</v>
      </c>
      <c r="H3">
        <v>20</v>
      </c>
      <c r="I3">
        <v>12.86</v>
      </c>
      <c r="J3">
        <v>0.81930000000000003</v>
      </c>
      <c r="K3">
        <v>90000</v>
      </c>
      <c r="L3" s="7">
        <v>45633</v>
      </c>
    </row>
    <row r="4" spans="1:12" x14ac:dyDescent="0.45">
      <c r="A4" t="s">
        <v>44</v>
      </c>
      <c r="B4" t="s">
        <v>45</v>
      </c>
      <c r="C4" t="s">
        <v>42</v>
      </c>
      <c r="D4" t="s">
        <v>39</v>
      </c>
      <c r="E4" t="s">
        <v>7</v>
      </c>
      <c r="F4">
        <v>11.17</v>
      </c>
      <c r="G4">
        <v>14.41</v>
      </c>
      <c r="H4">
        <v>19.760000000000002</v>
      </c>
      <c r="I4">
        <v>13.06</v>
      </c>
      <c r="J4">
        <v>0.79079999999999995</v>
      </c>
      <c r="K4">
        <v>85000</v>
      </c>
      <c r="L4" s="7">
        <v>45682</v>
      </c>
    </row>
    <row r="5" spans="1:12" x14ac:dyDescent="0.45">
      <c r="A5" t="s">
        <v>46</v>
      </c>
      <c r="B5" t="s">
        <v>47</v>
      </c>
      <c r="C5" t="s">
        <v>38</v>
      </c>
      <c r="D5" t="s">
        <v>43</v>
      </c>
      <c r="E5" t="s">
        <v>13</v>
      </c>
      <c r="F5">
        <v>14.17</v>
      </c>
      <c r="G5">
        <v>10.220000000000001</v>
      </c>
      <c r="H5">
        <v>10.26</v>
      </c>
      <c r="I5">
        <v>14.91</v>
      </c>
      <c r="J5">
        <v>0.76400000000000001</v>
      </c>
      <c r="K5">
        <v>120000</v>
      </c>
      <c r="L5" s="7">
        <v>45844</v>
      </c>
    </row>
    <row r="6" spans="1:12" x14ac:dyDescent="0.45">
      <c r="A6" t="s">
        <v>48</v>
      </c>
      <c r="B6" t="s">
        <v>49</v>
      </c>
      <c r="C6" t="s">
        <v>38</v>
      </c>
      <c r="D6" t="s">
        <v>50</v>
      </c>
      <c r="E6" t="s">
        <v>51</v>
      </c>
      <c r="F6">
        <v>13.23</v>
      </c>
      <c r="G6">
        <v>10.49</v>
      </c>
      <c r="H6">
        <v>10.63</v>
      </c>
      <c r="I6">
        <v>13.04</v>
      </c>
      <c r="J6">
        <v>0.73070000000000002</v>
      </c>
      <c r="K6">
        <v>70000</v>
      </c>
      <c r="L6" s="7">
        <v>46019</v>
      </c>
    </row>
    <row r="7" spans="1:12" x14ac:dyDescent="0.45">
      <c r="A7" t="s">
        <v>52</v>
      </c>
      <c r="B7" t="s">
        <v>53</v>
      </c>
      <c r="C7" t="s">
        <v>42</v>
      </c>
      <c r="D7" t="s">
        <v>54</v>
      </c>
      <c r="E7" t="s">
        <v>13</v>
      </c>
      <c r="F7">
        <v>16.079999999999998</v>
      </c>
      <c r="G7">
        <v>16.989999999999998</v>
      </c>
      <c r="H7">
        <v>12.22</v>
      </c>
      <c r="I7">
        <v>11.87</v>
      </c>
      <c r="J7">
        <v>0.7429</v>
      </c>
      <c r="K7">
        <v>85000</v>
      </c>
      <c r="L7" s="7">
        <v>45826</v>
      </c>
    </row>
    <row r="8" spans="1:12" x14ac:dyDescent="0.45">
      <c r="A8" t="s">
        <v>55</v>
      </c>
      <c r="B8" t="s">
        <v>56</v>
      </c>
      <c r="C8" t="s">
        <v>38</v>
      </c>
      <c r="D8" t="s">
        <v>57</v>
      </c>
      <c r="E8" t="s">
        <v>13</v>
      </c>
      <c r="F8">
        <v>16.97</v>
      </c>
      <c r="G8">
        <v>18.260000000000002</v>
      </c>
      <c r="H8">
        <v>15.2</v>
      </c>
      <c r="I8">
        <v>12.16</v>
      </c>
      <c r="J8">
        <v>0.75839999999999996</v>
      </c>
      <c r="K8">
        <v>60000</v>
      </c>
      <c r="L8" s="7">
        <v>45915</v>
      </c>
    </row>
    <row r="9" spans="1:12" x14ac:dyDescent="0.45">
      <c r="A9" t="s">
        <v>58</v>
      </c>
      <c r="B9" t="s">
        <v>59</v>
      </c>
      <c r="C9" t="s">
        <v>42</v>
      </c>
      <c r="D9" t="s">
        <v>43</v>
      </c>
      <c r="E9" t="s">
        <v>13</v>
      </c>
      <c r="F9">
        <v>7.57</v>
      </c>
      <c r="G9">
        <v>11.81</v>
      </c>
      <c r="H9">
        <v>12.87</v>
      </c>
      <c r="I9">
        <v>10.09</v>
      </c>
      <c r="J9">
        <v>0.95250000000000001</v>
      </c>
      <c r="K9">
        <v>90000</v>
      </c>
      <c r="L9" s="7">
        <v>45901</v>
      </c>
    </row>
    <row r="10" spans="1:12" x14ac:dyDescent="0.45">
      <c r="A10" t="s">
        <v>60</v>
      </c>
      <c r="B10" t="s">
        <v>61</v>
      </c>
      <c r="C10" t="s">
        <v>38</v>
      </c>
      <c r="D10" t="s">
        <v>43</v>
      </c>
      <c r="E10" t="s">
        <v>13</v>
      </c>
      <c r="F10">
        <v>7.43</v>
      </c>
      <c r="G10">
        <v>14.27</v>
      </c>
      <c r="H10">
        <v>12.08</v>
      </c>
      <c r="I10">
        <v>8.82</v>
      </c>
      <c r="J10">
        <v>0.87990000000000002</v>
      </c>
      <c r="K10">
        <v>50000</v>
      </c>
      <c r="L10" s="7">
        <v>45724</v>
      </c>
    </row>
    <row r="11" spans="1:12" x14ac:dyDescent="0.45">
      <c r="A11" t="s">
        <v>62</v>
      </c>
      <c r="B11" t="s">
        <v>63</v>
      </c>
      <c r="C11" t="s">
        <v>38</v>
      </c>
      <c r="D11" t="s">
        <v>57</v>
      </c>
      <c r="E11" t="s">
        <v>64</v>
      </c>
      <c r="F11">
        <v>14.93</v>
      </c>
      <c r="G11">
        <v>19.32</v>
      </c>
      <c r="H11">
        <v>17.170000000000002</v>
      </c>
      <c r="I11">
        <v>16.940000000000001</v>
      </c>
      <c r="J11">
        <v>0.74860000000000004</v>
      </c>
      <c r="K11">
        <v>80000</v>
      </c>
      <c r="L11" s="7">
        <v>45731</v>
      </c>
    </row>
    <row r="12" spans="1:12" x14ac:dyDescent="0.45">
      <c r="A12" t="s">
        <v>65</v>
      </c>
      <c r="B12" t="s">
        <v>66</v>
      </c>
      <c r="C12" t="s">
        <v>42</v>
      </c>
      <c r="D12" t="s">
        <v>54</v>
      </c>
      <c r="E12" t="s">
        <v>13</v>
      </c>
      <c r="F12">
        <v>10.02</v>
      </c>
      <c r="G12">
        <v>14.25</v>
      </c>
      <c r="H12">
        <v>13.71</v>
      </c>
      <c r="I12">
        <v>9.16</v>
      </c>
      <c r="J12">
        <v>0.78959999999999997</v>
      </c>
      <c r="K12">
        <v>50000</v>
      </c>
      <c r="L12" s="7">
        <v>45834</v>
      </c>
    </row>
    <row r="13" spans="1:12" x14ac:dyDescent="0.45">
      <c r="A13" t="s">
        <v>67</v>
      </c>
      <c r="B13" t="s">
        <v>68</v>
      </c>
      <c r="C13" t="s">
        <v>42</v>
      </c>
      <c r="D13" t="s">
        <v>69</v>
      </c>
      <c r="E13" t="s">
        <v>7</v>
      </c>
      <c r="F13">
        <v>11.19</v>
      </c>
      <c r="G13">
        <v>7.93</v>
      </c>
      <c r="H13">
        <v>8.2100000000000009</v>
      </c>
      <c r="I13">
        <v>11.22</v>
      </c>
      <c r="J13">
        <v>0.9133</v>
      </c>
      <c r="K13">
        <v>75000</v>
      </c>
      <c r="L13" s="7">
        <v>45558</v>
      </c>
    </row>
    <row r="14" spans="1:12" x14ac:dyDescent="0.45">
      <c r="A14" t="s">
        <v>70</v>
      </c>
      <c r="B14" t="s">
        <v>71</v>
      </c>
      <c r="C14" t="s">
        <v>42</v>
      </c>
      <c r="D14" t="s">
        <v>50</v>
      </c>
      <c r="E14" t="s">
        <v>7</v>
      </c>
      <c r="F14">
        <v>15.52</v>
      </c>
      <c r="G14">
        <v>18.95</v>
      </c>
      <c r="H14">
        <v>14.41</v>
      </c>
      <c r="I14">
        <v>14.9</v>
      </c>
      <c r="J14">
        <v>0.87109999999999999</v>
      </c>
      <c r="K14">
        <v>85000</v>
      </c>
      <c r="L14" s="7">
        <v>46015</v>
      </c>
    </row>
    <row r="15" spans="1:12" x14ac:dyDescent="0.45">
      <c r="A15" t="s">
        <v>72</v>
      </c>
      <c r="B15" t="s">
        <v>73</v>
      </c>
      <c r="C15" t="s">
        <v>42</v>
      </c>
      <c r="D15" t="s">
        <v>54</v>
      </c>
      <c r="E15" t="s">
        <v>64</v>
      </c>
      <c r="F15">
        <v>17.22</v>
      </c>
      <c r="G15">
        <v>16.38</v>
      </c>
      <c r="H15">
        <v>14.95</v>
      </c>
      <c r="I15">
        <v>15.12</v>
      </c>
      <c r="J15">
        <v>0.73260000000000003</v>
      </c>
      <c r="K15">
        <v>75000</v>
      </c>
      <c r="L15" s="7">
        <v>45966</v>
      </c>
    </row>
    <row r="16" spans="1:12" x14ac:dyDescent="0.45">
      <c r="A16" t="s">
        <v>74</v>
      </c>
      <c r="B16" t="s">
        <v>75</v>
      </c>
      <c r="C16" t="s">
        <v>42</v>
      </c>
      <c r="D16" t="s">
        <v>39</v>
      </c>
      <c r="E16" t="s">
        <v>13</v>
      </c>
      <c r="F16">
        <v>10.09</v>
      </c>
      <c r="G16">
        <v>8.77</v>
      </c>
      <c r="H16">
        <v>5.93</v>
      </c>
      <c r="I16">
        <v>12.28</v>
      </c>
      <c r="J16">
        <v>0.95089999999999997</v>
      </c>
      <c r="K16">
        <v>80000</v>
      </c>
      <c r="L16" s="7">
        <v>45750</v>
      </c>
    </row>
    <row r="17" spans="1:12" x14ac:dyDescent="0.45">
      <c r="A17" t="s">
        <v>76</v>
      </c>
      <c r="B17" t="s">
        <v>77</v>
      </c>
      <c r="C17" t="s">
        <v>42</v>
      </c>
      <c r="D17" t="s">
        <v>54</v>
      </c>
      <c r="E17" t="s">
        <v>13</v>
      </c>
      <c r="F17">
        <v>14.6</v>
      </c>
      <c r="G17">
        <v>13.07</v>
      </c>
      <c r="H17">
        <v>11.79</v>
      </c>
      <c r="I17">
        <v>13.08</v>
      </c>
      <c r="J17">
        <v>0.79810000000000003</v>
      </c>
      <c r="K17">
        <v>60000</v>
      </c>
      <c r="L17" s="7">
        <v>45797</v>
      </c>
    </row>
    <row r="18" spans="1:12" x14ac:dyDescent="0.45">
      <c r="A18" t="s">
        <v>78</v>
      </c>
      <c r="B18" t="s">
        <v>79</v>
      </c>
      <c r="C18" t="s">
        <v>42</v>
      </c>
      <c r="D18" t="s">
        <v>39</v>
      </c>
      <c r="E18" t="s">
        <v>64</v>
      </c>
      <c r="F18">
        <v>18.2</v>
      </c>
      <c r="G18">
        <v>16.52</v>
      </c>
      <c r="H18">
        <v>13.29</v>
      </c>
      <c r="I18">
        <v>13.86</v>
      </c>
      <c r="J18">
        <v>0.84589999999999999</v>
      </c>
      <c r="K18">
        <v>100000</v>
      </c>
      <c r="L18" s="7">
        <v>45766</v>
      </c>
    </row>
    <row r="19" spans="1:12" x14ac:dyDescent="0.45">
      <c r="A19" t="s">
        <v>80</v>
      </c>
      <c r="B19" t="s">
        <v>81</v>
      </c>
      <c r="C19" t="s">
        <v>38</v>
      </c>
      <c r="D19" t="s">
        <v>39</v>
      </c>
      <c r="E19" t="s">
        <v>64</v>
      </c>
      <c r="F19">
        <v>15.58</v>
      </c>
      <c r="G19">
        <v>11.27</v>
      </c>
      <c r="H19">
        <v>16.43</v>
      </c>
      <c r="I19">
        <v>13.24</v>
      </c>
      <c r="J19">
        <v>0.55000000000000004</v>
      </c>
      <c r="K19">
        <v>110000</v>
      </c>
      <c r="L19" s="7">
        <v>45991</v>
      </c>
    </row>
    <row r="20" spans="1:12" x14ac:dyDescent="0.45">
      <c r="A20" t="s">
        <v>82</v>
      </c>
      <c r="B20" t="s">
        <v>83</v>
      </c>
      <c r="C20" t="s">
        <v>42</v>
      </c>
      <c r="D20" t="s">
        <v>39</v>
      </c>
      <c r="E20" t="s">
        <v>64</v>
      </c>
      <c r="F20">
        <v>15.42</v>
      </c>
      <c r="G20">
        <v>17.21</v>
      </c>
      <c r="H20">
        <v>16.010000000000002</v>
      </c>
      <c r="I20">
        <v>14.75</v>
      </c>
      <c r="J20">
        <v>0.55000000000000004</v>
      </c>
      <c r="K20">
        <v>85000</v>
      </c>
      <c r="L20" s="7">
        <v>46067</v>
      </c>
    </row>
    <row r="21" spans="1:12" x14ac:dyDescent="0.45">
      <c r="A21" t="s">
        <v>84</v>
      </c>
      <c r="B21" t="s">
        <v>85</v>
      </c>
      <c r="C21" t="s">
        <v>38</v>
      </c>
      <c r="D21" t="s">
        <v>43</v>
      </c>
      <c r="E21" t="s">
        <v>13</v>
      </c>
      <c r="F21">
        <v>12.83</v>
      </c>
      <c r="G21">
        <v>7.87</v>
      </c>
      <c r="H21">
        <v>11.11</v>
      </c>
      <c r="I21">
        <v>9.27</v>
      </c>
      <c r="J21">
        <v>0.82350000000000001</v>
      </c>
      <c r="K21">
        <v>50000</v>
      </c>
      <c r="L21" s="7">
        <v>45612</v>
      </c>
    </row>
    <row r="22" spans="1:12" x14ac:dyDescent="0.45">
      <c r="A22" t="s">
        <v>86</v>
      </c>
      <c r="B22" t="s">
        <v>87</v>
      </c>
      <c r="C22" t="s">
        <v>42</v>
      </c>
      <c r="D22" t="s">
        <v>50</v>
      </c>
      <c r="E22" t="s">
        <v>13</v>
      </c>
      <c r="F22">
        <v>14.68</v>
      </c>
      <c r="G22">
        <v>15.64</v>
      </c>
      <c r="H22">
        <v>10.58</v>
      </c>
      <c r="I22">
        <v>12.5</v>
      </c>
      <c r="J22">
        <v>0.87709999999999999</v>
      </c>
      <c r="K22">
        <v>50000</v>
      </c>
      <c r="L22" s="7">
        <v>45825</v>
      </c>
    </row>
    <row r="23" spans="1:12" x14ac:dyDescent="0.45">
      <c r="A23" t="s">
        <v>88</v>
      </c>
      <c r="B23" t="s">
        <v>89</v>
      </c>
      <c r="C23" t="s">
        <v>38</v>
      </c>
      <c r="D23" t="s">
        <v>39</v>
      </c>
      <c r="E23" t="s">
        <v>7</v>
      </c>
      <c r="F23">
        <v>11.98</v>
      </c>
      <c r="G23">
        <v>11.91</v>
      </c>
      <c r="H23">
        <v>9.59</v>
      </c>
      <c r="I23">
        <v>8.1</v>
      </c>
      <c r="J23">
        <v>0.83630000000000004</v>
      </c>
      <c r="K23">
        <v>100000</v>
      </c>
      <c r="L23" s="7">
        <v>45545</v>
      </c>
    </row>
    <row r="24" spans="1:12" x14ac:dyDescent="0.45">
      <c r="A24" t="s">
        <v>90</v>
      </c>
      <c r="B24" t="s">
        <v>91</v>
      </c>
      <c r="C24" t="s">
        <v>38</v>
      </c>
      <c r="D24" t="s">
        <v>69</v>
      </c>
      <c r="E24" t="s">
        <v>64</v>
      </c>
      <c r="F24">
        <v>10.3</v>
      </c>
      <c r="G24">
        <v>11.97</v>
      </c>
      <c r="H24">
        <v>13.81</v>
      </c>
      <c r="I24">
        <v>10.81</v>
      </c>
      <c r="J24">
        <v>0.94589999999999996</v>
      </c>
      <c r="K24">
        <v>130000</v>
      </c>
      <c r="L24" s="7">
        <v>45852</v>
      </c>
    </row>
    <row r="25" spans="1:12" x14ac:dyDescent="0.45">
      <c r="A25" t="s">
        <v>92</v>
      </c>
      <c r="B25" t="s">
        <v>93</v>
      </c>
      <c r="C25" t="s">
        <v>42</v>
      </c>
      <c r="D25" t="s">
        <v>50</v>
      </c>
      <c r="E25" t="s">
        <v>51</v>
      </c>
      <c r="F25">
        <v>17.48</v>
      </c>
      <c r="G25">
        <v>14.67</v>
      </c>
      <c r="H25">
        <v>10.02</v>
      </c>
      <c r="I25">
        <v>16.63</v>
      </c>
      <c r="J25">
        <v>0.58579999999999999</v>
      </c>
      <c r="K25">
        <v>120000</v>
      </c>
      <c r="L25" s="7">
        <v>45709</v>
      </c>
    </row>
    <row r="26" spans="1:12" x14ac:dyDescent="0.45">
      <c r="A26" t="s">
        <v>94</v>
      </c>
      <c r="B26" t="s">
        <v>95</v>
      </c>
      <c r="C26" t="s">
        <v>42</v>
      </c>
      <c r="D26" t="s">
        <v>54</v>
      </c>
      <c r="E26" t="s">
        <v>13</v>
      </c>
      <c r="F26">
        <v>20</v>
      </c>
      <c r="G26">
        <v>17.690000000000001</v>
      </c>
      <c r="H26">
        <v>20</v>
      </c>
      <c r="I26">
        <v>17.84</v>
      </c>
      <c r="J26">
        <v>0.9405</v>
      </c>
      <c r="K26">
        <v>80000</v>
      </c>
      <c r="L26" s="7">
        <v>45771</v>
      </c>
    </row>
    <row r="27" spans="1:12" x14ac:dyDescent="0.45">
      <c r="A27" t="s">
        <v>96</v>
      </c>
      <c r="B27" t="s">
        <v>97</v>
      </c>
      <c r="C27" t="s">
        <v>42</v>
      </c>
      <c r="D27" t="s">
        <v>54</v>
      </c>
      <c r="E27" t="s">
        <v>64</v>
      </c>
      <c r="F27">
        <v>18.41</v>
      </c>
      <c r="G27">
        <v>20</v>
      </c>
      <c r="H27">
        <v>14.71</v>
      </c>
      <c r="I27">
        <v>20</v>
      </c>
      <c r="J27">
        <v>0.81899999999999995</v>
      </c>
      <c r="K27">
        <v>85000</v>
      </c>
      <c r="L27" s="7">
        <v>45855</v>
      </c>
    </row>
    <row r="28" spans="1:12" x14ac:dyDescent="0.45">
      <c r="A28" t="s">
        <v>98</v>
      </c>
      <c r="B28" t="s">
        <v>99</v>
      </c>
      <c r="C28" t="s">
        <v>38</v>
      </c>
      <c r="D28" t="s">
        <v>39</v>
      </c>
      <c r="E28" t="s">
        <v>13</v>
      </c>
      <c r="F28">
        <v>20</v>
      </c>
      <c r="G28">
        <v>20</v>
      </c>
      <c r="H28">
        <v>19.239999999999998</v>
      </c>
      <c r="I28">
        <v>20</v>
      </c>
      <c r="J28">
        <v>0.76739999999999997</v>
      </c>
      <c r="K28">
        <v>60000</v>
      </c>
      <c r="L28" s="7">
        <v>45762</v>
      </c>
    </row>
    <row r="29" spans="1:12" x14ac:dyDescent="0.45">
      <c r="A29" t="s">
        <v>100</v>
      </c>
      <c r="B29" t="s">
        <v>101</v>
      </c>
      <c r="C29" t="s">
        <v>42</v>
      </c>
      <c r="D29" t="s">
        <v>69</v>
      </c>
      <c r="E29" t="s">
        <v>51</v>
      </c>
      <c r="F29">
        <v>8.86</v>
      </c>
      <c r="G29">
        <v>14.37</v>
      </c>
      <c r="H29">
        <v>11.44</v>
      </c>
      <c r="I29">
        <v>14.76</v>
      </c>
      <c r="J29">
        <v>0.81159999999999999</v>
      </c>
      <c r="K29">
        <v>50000</v>
      </c>
      <c r="L29" s="7">
        <v>45811</v>
      </c>
    </row>
    <row r="30" spans="1:12" x14ac:dyDescent="0.45">
      <c r="A30" t="s">
        <v>102</v>
      </c>
      <c r="B30" t="s">
        <v>75</v>
      </c>
      <c r="C30" t="s">
        <v>42</v>
      </c>
      <c r="D30" t="s">
        <v>39</v>
      </c>
      <c r="E30" t="s">
        <v>64</v>
      </c>
      <c r="F30">
        <v>14.37</v>
      </c>
      <c r="G30">
        <v>14.83</v>
      </c>
      <c r="H30">
        <v>17</v>
      </c>
      <c r="I30">
        <v>17.43</v>
      </c>
      <c r="J30">
        <v>0.97089999999999999</v>
      </c>
      <c r="K30">
        <v>110000</v>
      </c>
      <c r="L30" s="7">
        <v>46071</v>
      </c>
    </row>
    <row r="31" spans="1:12" x14ac:dyDescent="0.45">
      <c r="A31" t="s">
        <v>103</v>
      </c>
      <c r="B31" t="s">
        <v>104</v>
      </c>
      <c r="C31" t="s">
        <v>38</v>
      </c>
      <c r="D31" t="s">
        <v>54</v>
      </c>
      <c r="E31" t="s">
        <v>7</v>
      </c>
      <c r="F31">
        <v>15.56</v>
      </c>
      <c r="G31">
        <v>17.899999999999999</v>
      </c>
      <c r="H31">
        <v>20</v>
      </c>
      <c r="I31">
        <v>17.23</v>
      </c>
      <c r="J31">
        <v>0.55000000000000004</v>
      </c>
      <c r="K31">
        <v>80000</v>
      </c>
      <c r="L31" s="7">
        <v>46103</v>
      </c>
    </row>
    <row r="32" spans="1:12" x14ac:dyDescent="0.45">
      <c r="A32" t="s">
        <v>105</v>
      </c>
      <c r="B32" t="s">
        <v>106</v>
      </c>
      <c r="C32" t="s">
        <v>38</v>
      </c>
      <c r="D32" t="s">
        <v>57</v>
      </c>
      <c r="E32" t="s">
        <v>13</v>
      </c>
      <c r="F32">
        <v>12.24</v>
      </c>
      <c r="G32">
        <v>16.73</v>
      </c>
      <c r="H32">
        <v>9.0399999999999991</v>
      </c>
      <c r="I32">
        <v>17.5</v>
      </c>
      <c r="J32">
        <v>0.98560000000000003</v>
      </c>
      <c r="K32">
        <v>85000</v>
      </c>
      <c r="L32" s="7">
        <v>45540</v>
      </c>
    </row>
    <row r="33" spans="1:12" x14ac:dyDescent="0.45">
      <c r="A33" t="s">
        <v>107</v>
      </c>
      <c r="B33" t="s">
        <v>108</v>
      </c>
      <c r="C33" t="s">
        <v>38</v>
      </c>
      <c r="D33" t="s">
        <v>57</v>
      </c>
      <c r="E33" t="s">
        <v>7</v>
      </c>
      <c r="F33">
        <v>19.11</v>
      </c>
      <c r="G33">
        <v>12.44</v>
      </c>
      <c r="H33">
        <v>15.6</v>
      </c>
      <c r="I33">
        <v>17.84</v>
      </c>
      <c r="J33">
        <v>0.93830000000000002</v>
      </c>
      <c r="K33">
        <v>75000</v>
      </c>
      <c r="L33" s="7">
        <v>45800</v>
      </c>
    </row>
    <row r="34" spans="1:12" x14ac:dyDescent="0.45">
      <c r="A34" t="s">
        <v>20</v>
      </c>
      <c r="B34" t="s">
        <v>109</v>
      </c>
      <c r="C34" t="s">
        <v>38</v>
      </c>
      <c r="D34" t="s">
        <v>69</v>
      </c>
      <c r="E34" t="s">
        <v>51</v>
      </c>
      <c r="F34">
        <v>15.66</v>
      </c>
      <c r="G34">
        <v>16.04</v>
      </c>
      <c r="H34">
        <v>12.03</v>
      </c>
      <c r="I34">
        <v>17.8</v>
      </c>
      <c r="J34">
        <v>0.79310000000000003</v>
      </c>
      <c r="K34">
        <v>75000</v>
      </c>
      <c r="L34" s="7">
        <v>46128</v>
      </c>
    </row>
    <row r="35" spans="1:12" x14ac:dyDescent="0.45">
      <c r="A35" t="s">
        <v>110</v>
      </c>
      <c r="B35" t="s">
        <v>111</v>
      </c>
      <c r="C35" t="s">
        <v>42</v>
      </c>
      <c r="D35" t="s">
        <v>50</v>
      </c>
      <c r="E35" t="s">
        <v>13</v>
      </c>
      <c r="F35">
        <v>12.44</v>
      </c>
      <c r="G35">
        <v>9.73</v>
      </c>
      <c r="H35">
        <v>14.47</v>
      </c>
      <c r="I35">
        <v>14.79</v>
      </c>
      <c r="J35">
        <v>0.85240000000000005</v>
      </c>
      <c r="K35">
        <v>130000</v>
      </c>
      <c r="L35" s="7">
        <v>45907</v>
      </c>
    </row>
    <row r="36" spans="1:12" x14ac:dyDescent="0.45">
      <c r="A36" t="s">
        <v>112</v>
      </c>
      <c r="B36" t="s">
        <v>113</v>
      </c>
      <c r="C36" t="s">
        <v>42</v>
      </c>
      <c r="D36" t="s">
        <v>50</v>
      </c>
      <c r="E36" t="s">
        <v>13</v>
      </c>
      <c r="F36">
        <v>11.52</v>
      </c>
      <c r="G36">
        <v>14.33</v>
      </c>
      <c r="H36">
        <v>11.2</v>
      </c>
      <c r="I36">
        <v>10.91</v>
      </c>
      <c r="J36">
        <v>0.75270000000000004</v>
      </c>
      <c r="K36">
        <v>110000</v>
      </c>
      <c r="L36" s="7">
        <v>45679</v>
      </c>
    </row>
    <row r="37" spans="1:12" x14ac:dyDescent="0.45">
      <c r="A37" t="s">
        <v>114</v>
      </c>
      <c r="B37" t="s">
        <v>115</v>
      </c>
      <c r="C37" t="s">
        <v>38</v>
      </c>
      <c r="D37" t="s">
        <v>39</v>
      </c>
      <c r="E37" t="s">
        <v>51</v>
      </c>
      <c r="F37">
        <v>7.93</v>
      </c>
      <c r="G37">
        <v>17.28</v>
      </c>
      <c r="H37">
        <v>12.82</v>
      </c>
      <c r="I37">
        <v>12.15</v>
      </c>
      <c r="J37">
        <v>0.7046</v>
      </c>
      <c r="K37">
        <v>100000</v>
      </c>
      <c r="L37" s="7">
        <v>45951</v>
      </c>
    </row>
    <row r="38" spans="1:12" x14ac:dyDescent="0.45">
      <c r="A38" t="s">
        <v>116</v>
      </c>
      <c r="B38" t="s">
        <v>117</v>
      </c>
      <c r="C38" t="s">
        <v>42</v>
      </c>
      <c r="D38" t="s">
        <v>39</v>
      </c>
      <c r="E38" t="s">
        <v>51</v>
      </c>
      <c r="F38">
        <v>13.6</v>
      </c>
      <c r="G38">
        <v>15.85</v>
      </c>
      <c r="H38">
        <v>13.47</v>
      </c>
      <c r="I38">
        <v>14.43</v>
      </c>
      <c r="J38">
        <v>0.92279999999999995</v>
      </c>
      <c r="K38">
        <v>80000</v>
      </c>
      <c r="L38" s="7">
        <v>45637</v>
      </c>
    </row>
    <row r="39" spans="1:12" x14ac:dyDescent="0.45">
      <c r="A39" t="s">
        <v>118</v>
      </c>
      <c r="B39" t="s">
        <v>119</v>
      </c>
      <c r="C39" t="s">
        <v>42</v>
      </c>
      <c r="D39" t="s">
        <v>43</v>
      </c>
      <c r="E39" t="s">
        <v>7</v>
      </c>
      <c r="F39">
        <v>15.67</v>
      </c>
      <c r="G39">
        <v>9.23</v>
      </c>
      <c r="H39">
        <v>15.43</v>
      </c>
      <c r="I39">
        <v>14.78</v>
      </c>
      <c r="J39">
        <v>0.82920000000000005</v>
      </c>
      <c r="K39">
        <v>100000</v>
      </c>
      <c r="L39" s="7">
        <v>45551</v>
      </c>
    </row>
    <row r="40" spans="1:12" x14ac:dyDescent="0.45">
      <c r="A40" t="s">
        <v>120</v>
      </c>
      <c r="B40" t="s">
        <v>121</v>
      </c>
      <c r="C40" t="s">
        <v>38</v>
      </c>
      <c r="D40" t="s">
        <v>39</v>
      </c>
      <c r="E40" t="s">
        <v>13</v>
      </c>
      <c r="F40">
        <v>13.07</v>
      </c>
      <c r="G40">
        <v>16.190000000000001</v>
      </c>
      <c r="H40">
        <v>11.47</v>
      </c>
      <c r="I40">
        <v>12.77</v>
      </c>
      <c r="J40">
        <v>0.92720000000000002</v>
      </c>
      <c r="K40">
        <v>75000</v>
      </c>
      <c r="L40" s="7">
        <v>45978</v>
      </c>
    </row>
    <row r="41" spans="1:12" x14ac:dyDescent="0.45">
      <c r="A41" t="s">
        <v>122</v>
      </c>
      <c r="B41" t="s">
        <v>93</v>
      </c>
      <c r="C41" t="s">
        <v>42</v>
      </c>
      <c r="D41" t="s">
        <v>69</v>
      </c>
      <c r="E41" t="s">
        <v>7</v>
      </c>
      <c r="F41">
        <v>13.55</v>
      </c>
      <c r="G41">
        <v>13.79</v>
      </c>
      <c r="H41">
        <v>18.309999999999999</v>
      </c>
      <c r="I41">
        <v>14.86</v>
      </c>
      <c r="J41">
        <v>0.95599999999999996</v>
      </c>
      <c r="K41">
        <v>85000</v>
      </c>
      <c r="L41" s="7">
        <v>45896</v>
      </c>
    </row>
    <row r="42" spans="1:12" x14ac:dyDescent="0.45">
      <c r="A42" t="s">
        <v>123</v>
      </c>
      <c r="B42" t="s">
        <v>124</v>
      </c>
      <c r="C42" t="s">
        <v>38</v>
      </c>
      <c r="D42" t="s">
        <v>39</v>
      </c>
      <c r="E42" t="s">
        <v>7</v>
      </c>
      <c r="F42">
        <v>15.33</v>
      </c>
      <c r="G42">
        <v>11.39</v>
      </c>
      <c r="H42">
        <v>11.75</v>
      </c>
      <c r="I42">
        <v>7.17</v>
      </c>
      <c r="J42">
        <v>0.77600000000000002</v>
      </c>
      <c r="K42">
        <v>60000</v>
      </c>
      <c r="L42" s="7">
        <v>46065</v>
      </c>
    </row>
    <row r="43" spans="1:12" x14ac:dyDescent="0.45">
      <c r="A43" t="s">
        <v>125</v>
      </c>
      <c r="B43" t="s">
        <v>126</v>
      </c>
      <c r="C43" t="s">
        <v>42</v>
      </c>
      <c r="D43" t="s">
        <v>54</v>
      </c>
      <c r="E43" t="s">
        <v>51</v>
      </c>
      <c r="F43">
        <v>18.57</v>
      </c>
      <c r="G43">
        <v>17.399999999999999</v>
      </c>
      <c r="H43">
        <v>12.73</v>
      </c>
      <c r="I43">
        <v>19.309999999999999</v>
      </c>
      <c r="J43">
        <v>0.90200000000000002</v>
      </c>
      <c r="K43">
        <v>100000</v>
      </c>
      <c r="L43" s="7">
        <v>45777</v>
      </c>
    </row>
    <row r="44" spans="1:12" x14ac:dyDescent="0.45">
      <c r="A44" t="s">
        <v>127</v>
      </c>
      <c r="B44" t="s">
        <v>128</v>
      </c>
      <c r="C44" t="s">
        <v>42</v>
      </c>
      <c r="D44" t="s">
        <v>39</v>
      </c>
      <c r="E44" t="s">
        <v>7</v>
      </c>
      <c r="F44">
        <v>15.7</v>
      </c>
      <c r="G44">
        <v>15.52</v>
      </c>
      <c r="H44">
        <v>18.27</v>
      </c>
      <c r="I44">
        <v>13.98</v>
      </c>
      <c r="J44">
        <v>0.94040000000000001</v>
      </c>
      <c r="K44">
        <v>50000</v>
      </c>
      <c r="L44" s="7">
        <v>46133</v>
      </c>
    </row>
    <row r="45" spans="1:12" x14ac:dyDescent="0.45">
      <c r="A45" t="s">
        <v>129</v>
      </c>
      <c r="B45" t="s">
        <v>130</v>
      </c>
      <c r="C45" t="s">
        <v>38</v>
      </c>
      <c r="D45" t="s">
        <v>54</v>
      </c>
      <c r="E45" t="s">
        <v>7</v>
      </c>
      <c r="F45">
        <v>9.0399999999999991</v>
      </c>
      <c r="G45">
        <v>9.3699999999999992</v>
      </c>
      <c r="H45">
        <v>10.09</v>
      </c>
      <c r="I45">
        <v>10.94</v>
      </c>
      <c r="J45">
        <v>0.86899999999999999</v>
      </c>
      <c r="K45">
        <v>100000</v>
      </c>
      <c r="L45" s="7">
        <v>45830</v>
      </c>
    </row>
    <row r="46" spans="1:12" x14ac:dyDescent="0.45">
      <c r="A46" t="s">
        <v>131</v>
      </c>
      <c r="B46" t="s">
        <v>132</v>
      </c>
      <c r="C46" t="s">
        <v>38</v>
      </c>
      <c r="D46" t="s">
        <v>69</v>
      </c>
      <c r="E46" t="s">
        <v>64</v>
      </c>
      <c r="F46">
        <v>17.010000000000002</v>
      </c>
      <c r="G46">
        <v>16.510000000000002</v>
      </c>
      <c r="H46">
        <v>20</v>
      </c>
      <c r="I46">
        <v>20</v>
      </c>
      <c r="J46">
        <v>0.91449999999999998</v>
      </c>
      <c r="K46">
        <v>90000</v>
      </c>
      <c r="L46" s="7">
        <v>46052</v>
      </c>
    </row>
    <row r="47" spans="1:12" x14ac:dyDescent="0.45">
      <c r="A47" t="s">
        <v>133</v>
      </c>
      <c r="B47" t="s">
        <v>134</v>
      </c>
      <c r="C47" t="s">
        <v>42</v>
      </c>
      <c r="D47" t="s">
        <v>57</v>
      </c>
      <c r="E47" t="s">
        <v>64</v>
      </c>
      <c r="F47">
        <v>10.33</v>
      </c>
      <c r="G47">
        <v>12.77</v>
      </c>
      <c r="H47">
        <v>14.98</v>
      </c>
      <c r="I47">
        <v>12.66</v>
      </c>
      <c r="J47">
        <v>0.98260000000000003</v>
      </c>
      <c r="K47">
        <v>50000</v>
      </c>
      <c r="L47" s="7">
        <v>45606</v>
      </c>
    </row>
    <row r="48" spans="1:12" x14ac:dyDescent="0.45">
      <c r="A48" t="s">
        <v>135</v>
      </c>
      <c r="B48" t="s">
        <v>136</v>
      </c>
      <c r="C48" t="s">
        <v>38</v>
      </c>
      <c r="D48" t="s">
        <v>69</v>
      </c>
      <c r="E48" t="s">
        <v>51</v>
      </c>
      <c r="F48">
        <v>6.68</v>
      </c>
      <c r="G48">
        <v>8.36</v>
      </c>
      <c r="H48">
        <v>7.31</v>
      </c>
      <c r="I48">
        <v>11.94</v>
      </c>
      <c r="J48">
        <v>0.94130000000000003</v>
      </c>
      <c r="K48">
        <v>85000</v>
      </c>
      <c r="L48" s="7">
        <v>45604</v>
      </c>
    </row>
    <row r="49" spans="1:12" x14ac:dyDescent="0.45">
      <c r="A49" t="s">
        <v>137</v>
      </c>
      <c r="B49" t="s">
        <v>138</v>
      </c>
      <c r="C49" t="s">
        <v>42</v>
      </c>
      <c r="D49" t="s">
        <v>43</v>
      </c>
      <c r="E49" t="s">
        <v>13</v>
      </c>
      <c r="F49">
        <v>8.2799999999999994</v>
      </c>
      <c r="G49">
        <v>8.5299999999999994</v>
      </c>
      <c r="H49">
        <v>10.59</v>
      </c>
      <c r="I49">
        <v>7.74</v>
      </c>
      <c r="J49">
        <v>0.93630000000000002</v>
      </c>
      <c r="K49">
        <v>70000</v>
      </c>
      <c r="L49" s="7">
        <v>46083</v>
      </c>
    </row>
    <row r="50" spans="1:12" x14ac:dyDescent="0.45">
      <c r="A50" t="s">
        <v>139</v>
      </c>
      <c r="B50" t="s">
        <v>140</v>
      </c>
      <c r="C50" t="s">
        <v>42</v>
      </c>
      <c r="D50" t="s">
        <v>43</v>
      </c>
      <c r="E50" t="s">
        <v>64</v>
      </c>
      <c r="F50">
        <v>9.2799999999999994</v>
      </c>
      <c r="G50">
        <v>10.31</v>
      </c>
      <c r="H50">
        <v>11.11</v>
      </c>
      <c r="I50">
        <v>15.82</v>
      </c>
      <c r="J50">
        <v>0.92930000000000001</v>
      </c>
      <c r="K50">
        <v>85000</v>
      </c>
      <c r="L50" s="7">
        <v>46119</v>
      </c>
    </row>
    <row r="51" spans="1:12" x14ac:dyDescent="0.45">
      <c r="A51" t="s">
        <v>141</v>
      </c>
      <c r="B51" t="s">
        <v>142</v>
      </c>
      <c r="C51" t="s">
        <v>42</v>
      </c>
      <c r="D51" t="s">
        <v>50</v>
      </c>
      <c r="E51" t="s">
        <v>7</v>
      </c>
      <c r="F51">
        <v>11.37</v>
      </c>
      <c r="G51">
        <v>14.79</v>
      </c>
      <c r="H51">
        <v>17.2</v>
      </c>
      <c r="I51">
        <v>15.94</v>
      </c>
      <c r="J51">
        <v>0.77490000000000003</v>
      </c>
      <c r="K51">
        <v>50000</v>
      </c>
      <c r="L51" s="7">
        <v>46195</v>
      </c>
    </row>
    <row r="52" spans="1:12" x14ac:dyDescent="0.45">
      <c r="A52" t="s">
        <v>143</v>
      </c>
      <c r="B52" t="s">
        <v>144</v>
      </c>
      <c r="C52" t="s">
        <v>42</v>
      </c>
      <c r="D52" t="s">
        <v>57</v>
      </c>
      <c r="E52" t="s">
        <v>64</v>
      </c>
      <c r="F52">
        <v>9.2899999999999991</v>
      </c>
      <c r="G52">
        <v>12.74</v>
      </c>
      <c r="H52">
        <v>13.9</v>
      </c>
      <c r="I52">
        <v>13.09</v>
      </c>
      <c r="J52">
        <v>0.95179999999999998</v>
      </c>
      <c r="K52">
        <v>100000</v>
      </c>
      <c r="L52" s="7">
        <v>45763</v>
      </c>
    </row>
    <row r="53" spans="1:12" x14ac:dyDescent="0.45">
      <c r="A53" t="s">
        <v>145</v>
      </c>
      <c r="B53" t="s">
        <v>146</v>
      </c>
      <c r="C53" t="s">
        <v>38</v>
      </c>
      <c r="D53" t="s">
        <v>69</v>
      </c>
      <c r="E53" t="s">
        <v>64</v>
      </c>
      <c r="F53">
        <v>13.04</v>
      </c>
      <c r="G53">
        <v>9.85</v>
      </c>
      <c r="H53">
        <v>13.14</v>
      </c>
      <c r="I53">
        <v>15.59</v>
      </c>
      <c r="J53">
        <v>0.9385</v>
      </c>
      <c r="K53">
        <v>85000</v>
      </c>
      <c r="L53" s="7">
        <v>45551</v>
      </c>
    </row>
    <row r="54" spans="1:12" x14ac:dyDescent="0.45">
      <c r="A54" t="s">
        <v>147</v>
      </c>
      <c r="B54" t="s">
        <v>148</v>
      </c>
      <c r="C54" t="s">
        <v>38</v>
      </c>
      <c r="D54" t="s">
        <v>54</v>
      </c>
      <c r="E54" t="s">
        <v>13</v>
      </c>
      <c r="F54">
        <v>15.75</v>
      </c>
      <c r="G54">
        <v>17.809999999999999</v>
      </c>
      <c r="H54">
        <v>15</v>
      </c>
      <c r="I54">
        <v>12.56</v>
      </c>
      <c r="J54">
        <v>0.92410000000000003</v>
      </c>
      <c r="K54">
        <v>75000</v>
      </c>
      <c r="L54" s="7">
        <v>46221</v>
      </c>
    </row>
    <row r="55" spans="1:12" x14ac:dyDescent="0.45">
      <c r="A55" t="s">
        <v>149</v>
      </c>
      <c r="B55" t="s">
        <v>150</v>
      </c>
      <c r="C55" t="s">
        <v>38</v>
      </c>
      <c r="D55" t="s">
        <v>54</v>
      </c>
      <c r="E55" t="s">
        <v>7</v>
      </c>
      <c r="F55">
        <v>18.190000000000001</v>
      </c>
      <c r="G55">
        <v>8.83</v>
      </c>
      <c r="H55">
        <v>14.54</v>
      </c>
      <c r="I55">
        <v>13.72</v>
      </c>
      <c r="J55">
        <v>0.79700000000000004</v>
      </c>
      <c r="K55">
        <v>120000</v>
      </c>
      <c r="L55" s="7">
        <v>45956</v>
      </c>
    </row>
    <row r="56" spans="1:12" x14ac:dyDescent="0.45">
      <c r="A56" t="s">
        <v>151</v>
      </c>
      <c r="B56" t="s">
        <v>152</v>
      </c>
      <c r="C56" t="s">
        <v>38</v>
      </c>
      <c r="D56" t="s">
        <v>50</v>
      </c>
      <c r="E56" t="s">
        <v>7</v>
      </c>
      <c r="F56">
        <v>12.91</v>
      </c>
      <c r="G56">
        <v>13.8</v>
      </c>
      <c r="H56">
        <v>17.46</v>
      </c>
      <c r="I56">
        <v>17.46</v>
      </c>
      <c r="J56">
        <v>0.80020000000000002</v>
      </c>
      <c r="K56">
        <v>100000</v>
      </c>
      <c r="L56" s="7">
        <v>45708</v>
      </c>
    </row>
    <row r="57" spans="1:12" x14ac:dyDescent="0.45">
      <c r="A57" t="s">
        <v>153</v>
      </c>
      <c r="B57" t="s">
        <v>154</v>
      </c>
      <c r="C57" t="s">
        <v>38</v>
      </c>
      <c r="D57" t="s">
        <v>50</v>
      </c>
      <c r="E57" t="s">
        <v>51</v>
      </c>
      <c r="F57">
        <v>15.3</v>
      </c>
      <c r="G57">
        <v>13.68</v>
      </c>
      <c r="H57">
        <v>14.86</v>
      </c>
      <c r="I57">
        <v>10.44</v>
      </c>
      <c r="J57">
        <v>0.89</v>
      </c>
      <c r="K57">
        <v>90000</v>
      </c>
      <c r="L57" s="7">
        <v>46070</v>
      </c>
    </row>
    <row r="58" spans="1:12" x14ac:dyDescent="0.45">
      <c r="A58" t="s">
        <v>155</v>
      </c>
      <c r="B58" t="s">
        <v>156</v>
      </c>
      <c r="C58" t="s">
        <v>42</v>
      </c>
      <c r="D58" t="s">
        <v>57</v>
      </c>
      <c r="E58" t="s">
        <v>51</v>
      </c>
      <c r="F58">
        <v>15.91</v>
      </c>
      <c r="G58">
        <v>15.95</v>
      </c>
      <c r="H58">
        <v>14.56</v>
      </c>
      <c r="I58">
        <v>16.36</v>
      </c>
      <c r="J58">
        <v>0.74680000000000002</v>
      </c>
      <c r="K58">
        <v>60000</v>
      </c>
      <c r="L58" s="7">
        <v>46168</v>
      </c>
    </row>
    <row r="59" spans="1:12" x14ac:dyDescent="0.45">
      <c r="A59" t="s">
        <v>157</v>
      </c>
      <c r="B59" t="s">
        <v>124</v>
      </c>
      <c r="C59" t="s">
        <v>38</v>
      </c>
      <c r="D59" t="s">
        <v>39</v>
      </c>
      <c r="E59" t="s">
        <v>13</v>
      </c>
      <c r="F59">
        <v>7.04</v>
      </c>
      <c r="G59">
        <v>9.23</v>
      </c>
      <c r="H59">
        <v>6.56</v>
      </c>
      <c r="I59">
        <v>8.67</v>
      </c>
      <c r="J59">
        <v>0.6895</v>
      </c>
      <c r="K59">
        <v>85000</v>
      </c>
      <c r="L59" s="7">
        <v>45735</v>
      </c>
    </row>
    <row r="60" spans="1:12" x14ac:dyDescent="0.45">
      <c r="A60" t="s">
        <v>158</v>
      </c>
      <c r="B60" t="s">
        <v>159</v>
      </c>
      <c r="C60" t="s">
        <v>42</v>
      </c>
      <c r="D60" t="s">
        <v>54</v>
      </c>
      <c r="E60" t="s">
        <v>64</v>
      </c>
      <c r="F60">
        <v>14.12</v>
      </c>
      <c r="G60">
        <v>15.36</v>
      </c>
      <c r="H60">
        <v>11.46</v>
      </c>
      <c r="I60">
        <v>16.71</v>
      </c>
      <c r="J60">
        <v>0.9617</v>
      </c>
      <c r="K60">
        <v>100000</v>
      </c>
      <c r="L60" s="7">
        <v>46074</v>
      </c>
    </row>
    <row r="61" spans="1:12" x14ac:dyDescent="0.45">
      <c r="A61" t="s">
        <v>160</v>
      </c>
      <c r="B61" t="s">
        <v>161</v>
      </c>
      <c r="C61" t="s">
        <v>42</v>
      </c>
      <c r="D61" t="s">
        <v>57</v>
      </c>
      <c r="E61" t="s">
        <v>64</v>
      </c>
      <c r="F61">
        <v>9.1</v>
      </c>
      <c r="G61">
        <v>6.23</v>
      </c>
      <c r="H61">
        <v>4.51</v>
      </c>
      <c r="I61">
        <v>3.81</v>
      </c>
      <c r="J61">
        <v>0.91279999999999994</v>
      </c>
      <c r="K61">
        <v>130000</v>
      </c>
      <c r="L61" s="7">
        <v>46087</v>
      </c>
    </row>
    <row r="62" spans="1:12" x14ac:dyDescent="0.45">
      <c r="A62" t="s">
        <v>162</v>
      </c>
      <c r="B62" t="s">
        <v>163</v>
      </c>
      <c r="C62" t="s">
        <v>42</v>
      </c>
      <c r="D62" t="s">
        <v>43</v>
      </c>
      <c r="E62" t="s">
        <v>64</v>
      </c>
      <c r="F62">
        <v>14.32</v>
      </c>
      <c r="G62">
        <v>15.29</v>
      </c>
      <c r="H62">
        <v>12.15</v>
      </c>
      <c r="I62">
        <v>17.04</v>
      </c>
      <c r="J62">
        <v>0.55000000000000004</v>
      </c>
      <c r="K62">
        <v>90000</v>
      </c>
      <c r="L62" s="7">
        <v>45887</v>
      </c>
    </row>
    <row r="63" spans="1:12" x14ac:dyDescent="0.45">
      <c r="A63" t="s">
        <v>164</v>
      </c>
      <c r="B63" t="s">
        <v>165</v>
      </c>
      <c r="C63" t="s">
        <v>42</v>
      </c>
      <c r="D63" t="s">
        <v>43</v>
      </c>
      <c r="E63" t="s">
        <v>13</v>
      </c>
      <c r="F63">
        <v>12.92</v>
      </c>
      <c r="G63">
        <v>14.32</v>
      </c>
      <c r="H63">
        <v>16.98</v>
      </c>
      <c r="I63">
        <v>12.16</v>
      </c>
      <c r="J63">
        <v>0.95489999999999997</v>
      </c>
      <c r="K63">
        <v>60000</v>
      </c>
      <c r="L63" s="7">
        <v>45978</v>
      </c>
    </row>
    <row r="64" spans="1:12" x14ac:dyDescent="0.45">
      <c r="A64" t="s">
        <v>166</v>
      </c>
      <c r="B64" t="s">
        <v>167</v>
      </c>
      <c r="C64" t="s">
        <v>38</v>
      </c>
      <c r="D64" t="s">
        <v>39</v>
      </c>
      <c r="E64" t="s">
        <v>51</v>
      </c>
      <c r="F64">
        <v>15.64</v>
      </c>
      <c r="G64">
        <v>13.06</v>
      </c>
      <c r="H64">
        <v>16.170000000000002</v>
      </c>
      <c r="I64">
        <v>15.34</v>
      </c>
      <c r="J64">
        <v>0.84250000000000003</v>
      </c>
      <c r="K64">
        <v>100000</v>
      </c>
      <c r="L64" s="7">
        <v>45724</v>
      </c>
    </row>
    <row r="65" spans="1:12" x14ac:dyDescent="0.45">
      <c r="A65" t="s">
        <v>168</v>
      </c>
      <c r="B65" t="s">
        <v>68</v>
      </c>
      <c r="C65" t="s">
        <v>42</v>
      </c>
      <c r="D65" t="s">
        <v>39</v>
      </c>
      <c r="E65" t="s">
        <v>7</v>
      </c>
      <c r="F65">
        <v>13.82</v>
      </c>
      <c r="G65">
        <v>20</v>
      </c>
      <c r="H65">
        <v>18.579999999999998</v>
      </c>
      <c r="I65">
        <v>14.04</v>
      </c>
      <c r="J65">
        <v>0.9204</v>
      </c>
      <c r="K65">
        <v>50000</v>
      </c>
      <c r="L65" s="7">
        <v>46186</v>
      </c>
    </row>
    <row r="66" spans="1:12" x14ac:dyDescent="0.45">
      <c r="A66" t="s">
        <v>169</v>
      </c>
      <c r="B66" t="s">
        <v>170</v>
      </c>
      <c r="C66" t="s">
        <v>38</v>
      </c>
      <c r="D66" t="s">
        <v>39</v>
      </c>
      <c r="E66" t="s">
        <v>7</v>
      </c>
      <c r="F66">
        <v>12.29</v>
      </c>
      <c r="G66">
        <v>11.3</v>
      </c>
      <c r="H66">
        <v>8.81</v>
      </c>
      <c r="I66">
        <v>11.57</v>
      </c>
      <c r="J66">
        <v>0.80159999999999998</v>
      </c>
      <c r="K66">
        <v>75000</v>
      </c>
      <c r="L66" s="7">
        <v>46224</v>
      </c>
    </row>
    <row r="67" spans="1:12" x14ac:dyDescent="0.45">
      <c r="A67" t="s">
        <v>171</v>
      </c>
      <c r="B67" t="s">
        <v>172</v>
      </c>
      <c r="C67" t="s">
        <v>38</v>
      </c>
      <c r="D67" t="s">
        <v>43</v>
      </c>
      <c r="E67" t="s">
        <v>51</v>
      </c>
      <c r="F67">
        <v>10.73</v>
      </c>
      <c r="G67">
        <v>13.42</v>
      </c>
      <c r="H67">
        <v>13.55</v>
      </c>
      <c r="I67">
        <v>12.89</v>
      </c>
      <c r="J67">
        <v>0.87060000000000004</v>
      </c>
      <c r="K67">
        <v>130000</v>
      </c>
      <c r="L67" s="7">
        <v>46222</v>
      </c>
    </row>
    <row r="68" spans="1:12" x14ac:dyDescent="0.45">
      <c r="A68" t="s">
        <v>173</v>
      </c>
      <c r="B68" t="s">
        <v>174</v>
      </c>
      <c r="C68" t="s">
        <v>42</v>
      </c>
      <c r="D68" t="s">
        <v>54</v>
      </c>
      <c r="E68" t="s">
        <v>64</v>
      </c>
      <c r="F68">
        <v>12.39</v>
      </c>
      <c r="G68">
        <v>16.12</v>
      </c>
      <c r="H68">
        <v>14.7</v>
      </c>
      <c r="I68">
        <v>12.31</v>
      </c>
      <c r="J68">
        <v>0.84919999999999995</v>
      </c>
      <c r="K68">
        <v>110000</v>
      </c>
      <c r="L68" s="7">
        <v>46051</v>
      </c>
    </row>
    <row r="69" spans="1:12" x14ac:dyDescent="0.45">
      <c r="A69" t="s">
        <v>175</v>
      </c>
      <c r="B69" t="s">
        <v>176</v>
      </c>
      <c r="C69" t="s">
        <v>38</v>
      </c>
      <c r="D69" t="s">
        <v>57</v>
      </c>
      <c r="E69" t="s">
        <v>51</v>
      </c>
      <c r="F69">
        <v>12.99</v>
      </c>
      <c r="G69">
        <v>13.03</v>
      </c>
      <c r="H69">
        <v>11.16</v>
      </c>
      <c r="I69">
        <v>13.55</v>
      </c>
      <c r="J69">
        <v>0.80720000000000003</v>
      </c>
      <c r="K69">
        <v>120000</v>
      </c>
      <c r="L69" s="7">
        <v>45565</v>
      </c>
    </row>
    <row r="70" spans="1:12" x14ac:dyDescent="0.45">
      <c r="A70" t="s">
        <v>177</v>
      </c>
      <c r="B70" t="s">
        <v>130</v>
      </c>
      <c r="C70" t="s">
        <v>38</v>
      </c>
      <c r="D70" t="s">
        <v>54</v>
      </c>
      <c r="E70" t="s">
        <v>51</v>
      </c>
      <c r="F70">
        <v>16.13</v>
      </c>
      <c r="G70">
        <v>12.81</v>
      </c>
      <c r="H70">
        <v>14.09</v>
      </c>
      <c r="I70">
        <v>11.94</v>
      </c>
      <c r="J70">
        <v>0.86950000000000005</v>
      </c>
      <c r="K70">
        <v>75000</v>
      </c>
      <c r="L70" s="7">
        <v>45792</v>
      </c>
    </row>
    <row r="71" spans="1:12" x14ac:dyDescent="0.45">
      <c r="A71" t="s">
        <v>178</v>
      </c>
      <c r="B71" t="s">
        <v>179</v>
      </c>
      <c r="C71" t="s">
        <v>38</v>
      </c>
      <c r="D71" t="s">
        <v>39</v>
      </c>
      <c r="E71" t="s">
        <v>51</v>
      </c>
      <c r="F71">
        <v>14.26</v>
      </c>
      <c r="G71">
        <v>18.48</v>
      </c>
      <c r="H71">
        <v>15.37</v>
      </c>
      <c r="I71">
        <v>13.49</v>
      </c>
      <c r="J71">
        <v>0.72430000000000005</v>
      </c>
      <c r="K71">
        <v>100000</v>
      </c>
      <c r="L71" s="7">
        <v>45847</v>
      </c>
    </row>
    <row r="72" spans="1:12" x14ac:dyDescent="0.45">
      <c r="A72" t="s">
        <v>180</v>
      </c>
      <c r="B72" t="s">
        <v>181</v>
      </c>
      <c r="C72" t="s">
        <v>42</v>
      </c>
      <c r="D72" t="s">
        <v>54</v>
      </c>
      <c r="E72" t="s">
        <v>13</v>
      </c>
      <c r="F72">
        <v>12.56</v>
      </c>
      <c r="G72">
        <v>8.91</v>
      </c>
      <c r="H72">
        <v>7.47</v>
      </c>
      <c r="I72">
        <v>10.68</v>
      </c>
      <c r="J72">
        <v>0.7157</v>
      </c>
      <c r="K72">
        <v>100000</v>
      </c>
      <c r="L72" s="7">
        <v>46207</v>
      </c>
    </row>
    <row r="73" spans="1:12" x14ac:dyDescent="0.45">
      <c r="A73" t="s">
        <v>182</v>
      </c>
      <c r="B73" t="s">
        <v>183</v>
      </c>
      <c r="C73" t="s">
        <v>38</v>
      </c>
      <c r="D73" t="s">
        <v>50</v>
      </c>
      <c r="E73" t="s">
        <v>13</v>
      </c>
      <c r="F73">
        <v>13.48</v>
      </c>
      <c r="G73">
        <v>16.010000000000002</v>
      </c>
      <c r="H73">
        <v>17.98</v>
      </c>
      <c r="I73">
        <v>16.399999999999999</v>
      </c>
      <c r="J73">
        <v>0.88990000000000002</v>
      </c>
      <c r="K73">
        <v>70000</v>
      </c>
      <c r="L73" s="7">
        <v>45918</v>
      </c>
    </row>
    <row r="74" spans="1:12" x14ac:dyDescent="0.45">
      <c r="A74" t="s">
        <v>184</v>
      </c>
      <c r="B74" t="s">
        <v>185</v>
      </c>
      <c r="C74" t="s">
        <v>38</v>
      </c>
      <c r="D74" t="s">
        <v>43</v>
      </c>
      <c r="E74" t="s">
        <v>7</v>
      </c>
      <c r="F74">
        <v>14.73</v>
      </c>
      <c r="G74">
        <v>14.56</v>
      </c>
      <c r="H74">
        <v>16.13</v>
      </c>
      <c r="I74">
        <v>14.69</v>
      </c>
      <c r="J74">
        <v>0.76880000000000004</v>
      </c>
      <c r="K74">
        <v>130000</v>
      </c>
      <c r="L74" s="7">
        <v>45911</v>
      </c>
    </row>
    <row r="75" spans="1:12" x14ac:dyDescent="0.45">
      <c r="A75" t="s">
        <v>186</v>
      </c>
      <c r="B75" t="s">
        <v>148</v>
      </c>
      <c r="C75" t="s">
        <v>38</v>
      </c>
      <c r="D75" t="s">
        <v>57</v>
      </c>
      <c r="E75" t="s">
        <v>7</v>
      </c>
      <c r="F75">
        <v>9.31</v>
      </c>
      <c r="G75">
        <v>9.74</v>
      </c>
      <c r="H75">
        <v>10.34</v>
      </c>
      <c r="I75">
        <v>10.8</v>
      </c>
      <c r="J75">
        <v>0.90290000000000004</v>
      </c>
      <c r="K75">
        <v>130000</v>
      </c>
      <c r="L75" s="7">
        <v>45638</v>
      </c>
    </row>
    <row r="76" spans="1:12" x14ac:dyDescent="0.45">
      <c r="A76" t="s">
        <v>187</v>
      </c>
      <c r="B76" t="s">
        <v>188</v>
      </c>
      <c r="C76" t="s">
        <v>42</v>
      </c>
      <c r="D76" t="s">
        <v>43</v>
      </c>
      <c r="E76" t="s">
        <v>7</v>
      </c>
      <c r="F76">
        <v>17.55</v>
      </c>
      <c r="G76">
        <v>17.57</v>
      </c>
      <c r="H76">
        <v>14.3</v>
      </c>
      <c r="I76">
        <v>17.66</v>
      </c>
      <c r="J76">
        <v>0.96130000000000004</v>
      </c>
      <c r="K76">
        <v>60000</v>
      </c>
      <c r="L76" s="7">
        <v>46091</v>
      </c>
    </row>
    <row r="77" spans="1:12" x14ac:dyDescent="0.45">
      <c r="A77" t="s">
        <v>189</v>
      </c>
      <c r="B77" t="s">
        <v>190</v>
      </c>
      <c r="C77" t="s">
        <v>38</v>
      </c>
      <c r="D77" t="s">
        <v>54</v>
      </c>
      <c r="E77" t="s">
        <v>13</v>
      </c>
      <c r="F77">
        <v>13.96</v>
      </c>
      <c r="G77">
        <v>18.23</v>
      </c>
      <c r="H77">
        <v>12.42</v>
      </c>
      <c r="I77">
        <v>17.739999999999998</v>
      </c>
      <c r="J77">
        <v>0.65480000000000005</v>
      </c>
      <c r="K77">
        <v>110000</v>
      </c>
      <c r="L77" s="7">
        <v>45771</v>
      </c>
    </row>
    <row r="78" spans="1:12" x14ac:dyDescent="0.45">
      <c r="A78" t="s">
        <v>191</v>
      </c>
      <c r="B78" t="s">
        <v>124</v>
      </c>
      <c r="C78" t="s">
        <v>38</v>
      </c>
      <c r="D78" t="s">
        <v>54</v>
      </c>
      <c r="E78" t="s">
        <v>51</v>
      </c>
      <c r="F78">
        <v>16.010000000000002</v>
      </c>
      <c r="G78">
        <v>13.43</v>
      </c>
      <c r="H78">
        <v>14.48</v>
      </c>
      <c r="I78">
        <v>13</v>
      </c>
      <c r="J78">
        <v>0.92200000000000004</v>
      </c>
      <c r="K78">
        <v>80000</v>
      </c>
      <c r="L78" s="7">
        <v>45600</v>
      </c>
    </row>
    <row r="79" spans="1:12" x14ac:dyDescent="0.45">
      <c r="A79" t="s">
        <v>192</v>
      </c>
      <c r="B79" t="s">
        <v>193</v>
      </c>
      <c r="C79" t="s">
        <v>38</v>
      </c>
      <c r="D79" t="s">
        <v>57</v>
      </c>
      <c r="E79" t="s">
        <v>13</v>
      </c>
      <c r="F79">
        <v>10.82</v>
      </c>
      <c r="G79">
        <v>13.48</v>
      </c>
      <c r="H79">
        <v>15.12</v>
      </c>
      <c r="I79">
        <v>8.9700000000000006</v>
      </c>
      <c r="J79">
        <v>0.83409999999999995</v>
      </c>
      <c r="K79">
        <v>100000</v>
      </c>
      <c r="L79" s="7">
        <v>46227</v>
      </c>
    </row>
    <row r="80" spans="1:12" x14ac:dyDescent="0.45">
      <c r="A80" t="s">
        <v>194</v>
      </c>
      <c r="B80" t="s">
        <v>195</v>
      </c>
      <c r="C80" t="s">
        <v>42</v>
      </c>
      <c r="D80" t="s">
        <v>39</v>
      </c>
      <c r="E80" t="s">
        <v>64</v>
      </c>
      <c r="F80">
        <v>9.67</v>
      </c>
      <c r="G80">
        <v>11.6</v>
      </c>
      <c r="H80">
        <v>11.74</v>
      </c>
      <c r="I80">
        <v>11.16</v>
      </c>
      <c r="J80">
        <v>0.87749999999999995</v>
      </c>
      <c r="K80">
        <v>90000</v>
      </c>
      <c r="L80" s="7">
        <v>45669</v>
      </c>
    </row>
    <row r="81" spans="1:12" x14ac:dyDescent="0.45">
      <c r="A81" t="s">
        <v>196</v>
      </c>
      <c r="B81" t="s">
        <v>197</v>
      </c>
      <c r="C81" t="s">
        <v>42</v>
      </c>
      <c r="D81" t="s">
        <v>69</v>
      </c>
      <c r="E81" t="s">
        <v>64</v>
      </c>
      <c r="F81">
        <v>9.24</v>
      </c>
      <c r="G81">
        <v>10.43</v>
      </c>
      <c r="H81">
        <v>9.15</v>
      </c>
      <c r="I81">
        <v>12.93</v>
      </c>
      <c r="J81">
        <v>0.95140000000000002</v>
      </c>
      <c r="K81">
        <v>70000</v>
      </c>
      <c r="L81" s="7">
        <v>45547</v>
      </c>
    </row>
    <row r="82" spans="1:12" x14ac:dyDescent="0.45">
      <c r="A82" t="s">
        <v>198</v>
      </c>
      <c r="B82" t="s">
        <v>199</v>
      </c>
      <c r="C82" t="s">
        <v>42</v>
      </c>
      <c r="D82" t="s">
        <v>43</v>
      </c>
      <c r="E82" t="s">
        <v>51</v>
      </c>
      <c r="F82">
        <v>15.58</v>
      </c>
      <c r="G82">
        <v>14.85</v>
      </c>
      <c r="H82">
        <v>15.71</v>
      </c>
      <c r="I82">
        <v>11.71</v>
      </c>
      <c r="J82">
        <v>0.84179999999999999</v>
      </c>
      <c r="K82">
        <v>60000</v>
      </c>
      <c r="L82" s="7">
        <v>45590</v>
      </c>
    </row>
    <row r="83" spans="1:12" x14ac:dyDescent="0.45">
      <c r="A83" t="s">
        <v>200</v>
      </c>
      <c r="B83" t="s">
        <v>201</v>
      </c>
      <c r="C83" t="s">
        <v>38</v>
      </c>
      <c r="D83" t="s">
        <v>50</v>
      </c>
      <c r="E83" t="s">
        <v>51</v>
      </c>
      <c r="F83">
        <v>12.79</v>
      </c>
      <c r="G83">
        <v>10.57</v>
      </c>
      <c r="H83">
        <v>10.91</v>
      </c>
      <c r="I83">
        <v>8.76</v>
      </c>
      <c r="J83">
        <v>0.93310000000000004</v>
      </c>
      <c r="K83">
        <v>85000</v>
      </c>
      <c r="L83" s="7">
        <v>45852</v>
      </c>
    </row>
    <row r="84" spans="1:12" x14ac:dyDescent="0.45">
      <c r="A84" t="s">
        <v>202</v>
      </c>
      <c r="B84" t="s">
        <v>203</v>
      </c>
      <c r="C84" t="s">
        <v>38</v>
      </c>
      <c r="D84" t="s">
        <v>69</v>
      </c>
      <c r="E84" t="s">
        <v>7</v>
      </c>
      <c r="F84">
        <v>15.33</v>
      </c>
      <c r="G84">
        <v>13.59</v>
      </c>
      <c r="H84">
        <v>16.829999999999998</v>
      </c>
      <c r="I84">
        <v>13.04</v>
      </c>
      <c r="J84">
        <v>0.93730000000000002</v>
      </c>
      <c r="K84">
        <v>120000</v>
      </c>
      <c r="L84" s="7">
        <v>45608</v>
      </c>
    </row>
    <row r="85" spans="1:12" x14ac:dyDescent="0.45">
      <c r="A85" t="s">
        <v>204</v>
      </c>
      <c r="B85" t="s">
        <v>75</v>
      </c>
      <c r="C85" t="s">
        <v>42</v>
      </c>
      <c r="D85" t="s">
        <v>43</v>
      </c>
      <c r="E85" t="s">
        <v>64</v>
      </c>
      <c r="F85">
        <v>14.95</v>
      </c>
      <c r="G85">
        <v>11.37</v>
      </c>
      <c r="H85">
        <v>11.56</v>
      </c>
      <c r="I85">
        <v>9.4700000000000006</v>
      </c>
      <c r="J85">
        <v>0.83599999999999997</v>
      </c>
      <c r="K85">
        <v>120000</v>
      </c>
      <c r="L85" s="7">
        <v>46125</v>
      </c>
    </row>
    <row r="86" spans="1:12" x14ac:dyDescent="0.45">
      <c r="A86" t="s">
        <v>205</v>
      </c>
      <c r="B86" t="s">
        <v>206</v>
      </c>
      <c r="C86" t="s">
        <v>42</v>
      </c>
      <c r="D86" t="s">
        <v>50</v>
      </c>
      <c r="E86" t="s">
        <v>51</v>
      </c>
      <c r="F86">
        <v>16.07</v>
      </c>
      <c r="G86">
        <v>13.84</v>
      </c>
      <c r="H86">
        <v>6.56</v>
      </c>
      <c r="I86">
        <v>11.15</v>
      </c>
      <c r="J86">
        <v>0.84530000000000005</v>
      </c>
      <c r="K86">
        <v>75000</v>
      </c>
      <c r="L86" s="7">
        <v>45894</v>
      </c>
    </row>
    <row r="87" spans="1:12" x14ac:dyDescent="0.45">
      <c r="A87" t="s">
        <v>207</v>
      </c>
      <c r="B87" t="s">
        <v>95</v>
      </c>
      <c r="C87" t="s">
        <v>42</v>
      </c>
      <c r="D87" t="s">
        <v>50</v>
      </c>
      <c r="E87" t="s">
        <v>51</v>
      </c>
      <c r="F87">
        <v>13.13</v>
      </c>
      <c r="G87">
        <v>10.71</v>
      </c>
      <c r="H87">
        <v>15.21</v>
      </c>
      <c r="I87">
        <v>15.26</v>
      </c>
      <c r="J87">
        <v>0.74470000000000003</v>
      </c>
      <c r="K87">
        <v>120000</v>
      </c>
      <c r="L87" s="7">
        <v>45762</v>
      </c>
    </row>
    <row r="88" spans="1:12" x14ac:dyDescent="0.45">
      <c r="A88" t="s">
        <v>208</v>
      </c>
      <c r="B88" t="s">
        <v>209</v>
      </c>
      <c r="C88" t="s">
        <v>38</v>
      </c>
      <c r="D88" t="s">
        <v>57</v>
      </c>
      <c r="E88" t="s">
        <v>7</v>
      </c>
      <c r="F88">
        <v>19.649999999999999</v>
      </c>
      <c r="G88">
        <v>17.11</v>
      </c>
      <c r="H88">
        <v>18.34</v>
      </c>
      <c r="I88">
        <v>16.72</v>
      </c>
      <c r="J88">
        <v>0.67400000000000004</v>
      </c>
      <c r="K88">
        <v>75000</v>
      </c>
      <c r="L88" s="7">
        <v>45538</v>
      </c>
    </row>
    <row r="89" spans="1:12" x14ac:dyDescent="0.45">
      <c r="A89" t="s">
        <v>210</v>
      </c>
      <c r="B89" t="s">
        <v>211</v>
      </c>
      <c r="C89" t="s">
        <v>38</v>
      </c>
      <c r="D89" t="s">
        <v>39</v>
      </c>
      <c r="E89" t="s">
        <v>13</v>
      </c>
      <c r="F89">
        <v>10.68</v>
      </c>
      <c r="G89">
        <v>10.98</v>
      </c>
      <c r="H89">
        <v>6.72</v>
      </c>
      <c r="I89">
        <v>6.07</v>
      </c>
      <c r="J89">
        <v>0.76039999999999996</v>
      </c>
      <c r="K89">
        <v>90000</v>
      </c>
      <c r="L89" s="7">
        <v>45871</v>
      </c>
    </row>
    <row r="90" spans="1:12" x14ac:dyDescent="0.45">
      <c r="A90" t="s">
        <v>212</v>
      </c>
      <c r="B90" t="s">
        <v>213</v>
      </c>
      <c r="C90" t="s">
        <v>42</v>
      </c>
      <c r="D90" t="s">
        <v>39</v>
      </c>
      <c r="E90" t="s">
        <v>13</v>
      </c>
      <c r="F90">
        <v>15.78</v>
      </c>
      <c r="G90">
        <v>16.23</v>
      </c>
      <c r="H90">
        <v>17.41</v>
      </c>
      <c r="I90">
        <v>16.79</v>
      </c>
      <c r="J90">
        <v>0.84550000000000003</v>
      </c>
      <c r="K90">
        <v>75000</v>
      </c>
      <c r="L90" s="7">
        <v>45641</v>
      </c>
    </row>
    <row r="91" spans="1:12" x14ac:dyDescent="0.45">
      <c r="A91" t="s">
        <v>214</v>
      </c>
      <c r="B91" t="s">
        <v>215</v>
      </c>
      <c r="C91" t="s">
        <v>42</v>
      </c>
      <c r="D91" t="s">
        <v>50</v>
      </c>
      <c r="E91" t="s">
        <v>51</v>
      </c>
      <c r="F91">
        <v>16.489999999999998</v>
      </c>
      <c r="G91">
        <v>14.98</v>
      </c>
      <c r="H91">
        <v>15.02</v>
      </c>
      <c r="I91">
        <v>13.43</v>
      </c>
      <c r="J91">
        <v>0.67589999999999995</v>
      </c>
      <c r="K91">
        <v>85000</v>
      </c>
      <c r="L91" s="7">
        <v>46220</v>
      </c>
    </row>
    <row r="92" spans="1:12" x14ac:dyDescent="0.45">
      <c r="A92" t="s">
        <v>216</v>
      </c>
      <c r="B92" t="s">
        <v>217</v>
      </c>
      <c r="C92" t="s">
        <v>38</v>
      </c>
      <c r="D92" t="s">
        <v>54</v>
      </c>
      <c r="E92" t="s">
        <v>64</v>
      </c>
      <c r="F92">
        <v>15.45</v>
      </c>
      <c r="G92">
        <v>16.77</v>
      </c>
      <c r="H92">
        <v>11.24</v>
      </c>
      <c r="I92">
        <v>11.35</v>
      </c>
      <c r="J92">
        <v>0.89300000000000002</v>
      </c>
      <c r="K92">
        <v>85000</v>
      </c>
      <c r="L92" s="7">
        <v>45739</v>
      </c>
    </row>
    <row r="93" spans="1:12" x14ac:dyDescent="0.45">
      <c r="A93" t="s">
        <v>218</v>
      </c>
      <c r="B93" t="s">
        <v>219</v>
      </c>
      <c r="C93" t="s">
        <v>42</v>
      </c>
      <c r="D93" t="s">
        <v>69</v>
      </c>
      <c r="E93" t="s">
        <v>13</v>
      </c>
      <c r="F93">
        <v>14.4</v>
      </c>
      <c r="G93">
        <v>11.44</v>
      </c>
      <c r="H93">
        <v>15.58</v>
      </c>
      <c r="I93">
        <v>12.4</v>
      </c>
      <c r="J93">
        <v>0.94669999999999999</v>
      </c>
      <c r="K93">
        <v>100000</v>
      </c>
      <c r="L93" s="7">
        <v>45868</v>
      </c>
    </row>
    <row r="94" spans="1:12" x14ac:dyDescent="0.45">
      <c r="A94" t="s">
        <v>220</v>
      </c>
      <c r="B94" t="s">
        <v>95</v>
      </c>
      <c r="C94" t="s">
        <v>42</v>
      </c>
      <c r="D94" t="s">
        <v>57</v>
      </c>
      <c r="E94" t="s">
        <v>64</v>
      </c>
      <c r="F94">
        <v>16.260000000000002</v>
      </c>
      <c r="G94">
        <v>12.04</v>
      </c>
      <c r="H94">
        <v>16.62</v>
      </c>
      <c r="I94">
        <v>13.76</v>
      </c>
      <c r="J94">
        <v>0.82809999999999995</v>
      </c>
      <c r="K94">
        <v>85000</v>
      </c>
      <c r="L94" s="7">
        <v>45549</v>
      </c>
    </row>
    <row r="95" spans="1:12" x14ac:dyDescent="0.45">
      <c r="A95" t="s">
        <v>221</v>
      </c>
      <c r="B95" t="s">
        <v>222</v>
      </c>
      <c r="C95" t="s">
        <v>38</v>
      </c>
      <c r="D95" t="s">
        <v>54</v>
      </c>
      <c r="E95" t="s">
        <v>64</v>
      </c>
      <c r="F95">
        <v>16.86</v>
      </c>
      <c r="G95">
        <v>17.149999999999999</v>
      </c>
      <c r="H95">
        <v>13.37</v>
      </c>
      <c r="I95">
        <v>12.1</v>
      </c>
      <c r="J95">
        <v>0.73799999999999999</v>
      </c>
      <c r="K95">
        <v>85000</v>
      </c>
      <c r="L95" s="7">
        <v>45627</v>
      </c>
    </row>
    <row r="96" spans="1:12" x14ac:dyDescent="0.45">
      <c r="A96" t="s">
        <v>223</v>
      </c>
      <c r="B96" t="s">
        <v>111</v>
      </c>
      <c r="C96" t="s">
        <v>42</v>
      </c>
      <c r="D96" t="s">
        <v>50</v>
      </c>
      <c r="E96" t="s">
        <v>51</v>
      </c>
      <c r="F96">
        <v>17.95</v>
      </c>
      <c r="G96">
        <v>18.739999999999998</v>
      </c>
      <c r="H96">
        <v>15.86</v>
      </c>
      <c r="I96">
        <v>17.809999999999999</v>
      </c>
      <c r="J96">
        <v>0.88939999999999997</v>
      </c>
      <c r="K96">
        <v>100000</v>
      </c>
      <c r="L96" s="7">
        <v>45681</v>
      </c>
    </row>
    <row r="97" spans="1:12" x14ac:dyDescent="0.45">
      <c r="A97" t="s">
        <v>224</v>
      </c>
      <c r="B97" t="s">
        <v>6</v>
      </c>
      <c r="C97" t="s">
        <v>38</v>
      </c>
      <c r="D97" t="s">
        <v>54</v>
      </c>
      <c r="E97" t="s">
        <v>64</v>
      </c>
      <c r="F97">
        <v>11.97</v>
      </c>
      <c r="G97">
        <v>11.7</v>
      </c>
      <c r="H97">
        <v>10.27</v>
      </c>
      <c r="I97">
        <v>10.67</v>
      </c>
      <c r="J97">
        <v>0.83150000000000002</v>
      </c>
      <c r="K97">
        <v>80000</v>
      </c>
      <c r="L97" s="7">
        <v>45572</v>
      </c>
    </row>
    <row r="98" spans="1:12" x14ac:dyDescent="0.45">
      <c r="A98" t="s">
        <v>225</v>
      </c>
      <c r="B98" t="s">
        <v>37</v>
      </c>
      <c r="C98" t="s">
        <v>38</v>
      </c>
      <c r="D98" t="s">
        <v>54</v>
      </c>
      <c r="E98" t="s">
        <v>64</v>
      </c>
      <c r="F98">
        <v>19.989999999999998</v>
      </c>
      <c r="G98">
        <v>15.02</v>
      </c>
      <c r="H98">
        <v>19.13</v>
      </c>
      <c r="I98">
        <v>19.82</v>
      </c>
      <c r="J98">
        <v>0.92949999999999999</v>
      </c>
      <c r="K98">
        <v>85000</v>
      </c>
      <c r="L98" s="7">
        <v>46044</v>
      </c>
    </row>
    <row r="99" spans="1:12" x14ac:dyDescent="0.45">
      <c r="A99" t="s">
        <v>226</v>
      </c>
      <c r="B99" t="s">
        <v>227</v>
      </c>
      <c r="C99" t="s">
        <v>42</v>
      </c>
      <c r="D99" t="s">
        <v>50</v>
      </c>
      <c r="E99" t="s">
        <v>64</v>
      </c>
      <c r="F99">
        <v>13.82</v>
      </c>
      <c r="G99">
        <v>10.97</v>
      </c>
      <c r="H99">
        <v>8.57</v>
      </c>
      <c r="I99">
        <v>12.67</v>
      </c>
      <c r="J99">
        <v>0.94189999999999996</v>
      </c>
      <c r="K99">
        <v>50000</v>
      </c>
      <c r="L99" s="7">
        <v>46197</v>
      </c>
    </row>
    <row r="100" spans="1:12" x14ac:dyDescent="0.45">
      <c r="A100" t="s">
        <v>228</v>
      </c>
      <c r="B100" t="s">
        <v>119</v>
      </c>
      <c r="C100" t="s">
        <v>42</v>
      </c>
      <c r="D100" t="s">
        <v>43</v>
      </c>
      <c r="E100" t="s">
        <v>64</v>
      </c>
      <c r="F100">
        <v>12.63</v>
      </c>
      <c r="G100">
        <v>11.11</v>
      </c>
      <c r="H100">
        <v>15.87</v>
      </c>
      <c r="I100">
        <v>11.46</v>
      </c>
      <c r="J100">
        <v>0.92549999999999999</v>
      </c>
      <c r="K100">
        <v>120000</v>
      </c>
      <c r="L100" s="7">
        <v>46225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8780-C18B-439B-98B5-2B8275823C7B}">
  <dimension ref="A1:B14"/>
  <sheetViews>
    <sheetView tabSelected="1" workbookViewId="0">
      <selection activeCell="D12" sqref="D12"/>
    </sheetView>
  </sheetViews>
  <sheetFormatPr baseColWidth="10" defaultRowHeight="14.25" x14ac:dyDescent="0.45"/>
  <cols>
    <col min="1" max="1" width="12.73046875" bestFit="1" customWidth="1"/>
    <col min="2" max="2" width="23.53125" customWidth="1"/>
  </cols>
  <sheetData>
    <row r="1" spans="1:2" ht="17.25" x14ac:dyDescent="0.45">
      <c r="A1" s="8" t="s">
        <v>229</v>
      </c>
      <c r="B1" s="8"/>
    </row>
    <row r="2" spans="1:2" s="14" customFormat="1" ht="17.25" x14ac:dyDescent="0.45">
      <c r="A2" s="13"/>
      <c r="B2" s="13"/>
    </row>
    <row r="3" spans="1:2" x14ac:dyDescent="0.45">
      <c r="A3" s="11" t="s">
        <v>19</v>
      </c>
      <c r="B3" s="11" t="s">
        <v>141</v>
      </c>
    </row>
    <row r="4" spans="1:2" x14ac:dyDescent="0.45">
      <c r="A4" s="12" t="s">
        <v>1</v>
      </c>
      <c r="B4" s="12" t="str">
        <f>_xlfn.XLOOKUP(B3,Etudiants!A:A,Etudiants!B:B,"Introuvable")</f>
        <v>Ibrahima Mbaye</v>
      </c>
    </row>
    <row r="5" spans="1:2" x14ac:dyDescent="0.45">
      <c r="A5" s="10" t="s">
        <v>28</v>
      </c>
      <c r="B5" s="10" t="str">
        <f>_xlfn.XLOOKUP(B3,Etudiants!A:A,Etudiants!C:C,"Introuvable")</f>
        <v>M</v>
      </c>
    </row>
    <row r="6" spans="1:2" x14ac:dyDescent="0.45">
      <c r="A6" s="12" t="s">
        <v>29</v>
      </c>
      <c r="B6" s="12" t="str">
        <f>_xlfn.XLOOKUP(B3,Etudiants!A:A,Etudiants!D:D,"Introuvable")</f>
        <v>Kaolack</v>
      </c>
    </row>
    <row r="7" spans="1:2" x14ac:dyDescent="0.45">
      <c r="A7" s="10" t="s">
        <v>2</v>
      </c>
      <c r="B7" s="10" t="str">
        <f>_xlfn.XLOOKUP(B3,Etudiants!A:A,Etudiants!E:E,"Introuvable")</f>
        <v>Data</v>
      </c>
    </row>
    <row r="8" spans="1:2" x14ac:dyDescent="0.45">
      <c r="A8" s="12" t="s">
        <v>3</v>
      </c>
      <c r="B8" s="12">
        <f>_xlfn.XLOOKUP(B3,Etudiants!A:A,Etudiants!F:F,"Introuvable")</f>
        <v>11.37</v>
      </c>
    </row>
    <row r="9" spans="1:2" x14ac:dyDescent="0.45">
      <c r="A9" s="10" t="s">
        <v>31</v>
      </c>
      <c r="B9" s="10">
        <f>_xlfn.XLOOKUP(B3,Etudiants!A:A,Etudiants!G:G,"Introuvable")</f>
        <v>14.79</v>
      </c>
    </row>
    <row r="10" spans="1:2" x14ac:dyDescent="0.45">
      <c r="A10" s="12" t="s">
        <v>4</v>
      </c>
      <c r="B10" s="12">
        <f>_xlfn.XLOOKUP(B3,Etudiants!A:A,Etudiants!H:H,"Introuvable")</f>
        <v>17.2</v>
      </c>
    </row>
    <row r="11" spans="1:2" x14ac:dyDescent="0.45">
      <c r="A11" s="10" t="s">
        <v>230</v>
      </c>
      <c r="B11" s="10">
        <f>_xlfn.XLOOKUP(B3,Etudiants!A:A,Etudiants!J:J,"Introuvable")</f>
        <v>0.77490000000000003</v>
      </c>
    </row>
    <row r="13" spans="1:2" x14ac:dyDescent="0.45">
      <c r="A13" s="9" t="s">
        <v>231</v>
      </c>
      <c r="B13" s="15" t="s">
        <v>6</v>
      </c>
    </row>
    <row r="14" spans="1:2" x14ac:dyDescent="0.45">
      <c r="A14" s="9" t="s">
        <v>232</v>
      </c>
      <c r="B14" s="15" t="str">
        <f>_xlfn.XLOOKUP(B13,Etudiants!B:B,Etudiants!A:A,"Introuvable")</f>
        <v>ST0096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Pratique_XLOOKUP</vt:lpstr>
      <vt:lpstr>Etudiants</vt:lpstr>
      <vt:lpstr>Recherche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2026-08-30T15:10:29Z</dcterms:created>
  <dcterms:modified xsi:type="dcterms:W3CDTF">2026-08-30T15:58:18Z</dcterms:modified>
</cp:coreProperties>
</file>