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6-tcd\exercices\"/>
    </mc:Choice>
  </mc:AlternateContent>
  <xr:revisionPtr revIDLastSave="0" documentId="13_ncr:1_{2C61875C-2D66-4A89-9BB1-EE8AC8D0D5C7}" xr6:coauthVersionLast="47" xr6:coauthVersionMax="47" xr10:uidLastSave="{00000000-0000-0000-0000-000000000000}"/>
  <bookViews>
    <workbookView xWindow="-98" yWindow="-98" windowWidth="19396" windowHeight="10276" xr2:uid="{B3AEF5D1-9AB2-45C2-B2A2-28D6C549D0D4}"/>
  </bookViews>
  <sheets>
    <sheet name="TCD" sheetId="5" r:id="rId1"/>
    <sheet name="Ventes" sheetId="2" r:id="rId2"/>
    <sheet name="Pratique_Tableaux" sheetId="1" r:id="rId3"/>
  </sheets>
  <definedNames>
    <definedName name="Segment_Catégorie">#N/A</definedName>
    <definedName name="Segment_Vendeur">#N/A</definedName>
  </definedNames>
  <calcPr calcId="191029"/>
  <pivotCaches>
    <pivotCache cacheId="3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B3" i="2"/>
  <c r="C3" i="2" a="1"/>
  <c r="C3" i="2" s="1"/>
  <c r="D3" i="2" a="1"/>
  <c r="D3" i="2" s="1"/>
  <c r="E3" i="2" a="1"/>
  <c r="E3" i="2" s="1"/>
  <c r="F3" i="2"/>
  <c r="G3" i="2"/>
  <c r="B4" i="2"/>
  <c r="C4" i="2" a="1"/>
  <c r="C4" i="2" s="1"/>
  <c r="D4" i="2" a="1"/>
  <c r="D4" i="2" s="1"/>
  <c r="E4" i="2" a="1"/>
  <c r="E4" i="2" s="1"/>
  <c r="F4" i="2"/>
  <c r="G4" i="2"/>
  <c r="B5" i="2"/>
  <c r="C5" i="2" a="1"/>
  <c r="C5" i="2" s="1"/>
  <c r="D5" i="2" a="1"/>
  <c r="D5" i="2" s="1"/>
  <c r="E5" i="2" a="1"/>
  <c r="E5" i="2" s="1"/>
  <c r="F5" i="2"/>
  <c r="G5" i="2"/>
  <c r="B6" i="2"/>
  <c r="C6" i="2" a="1"/>
  <c r="C6" i="2" s="1"/>
  <c r="D6" i="2" a="1"/>
  <c r="D6" i="2" s="1"/>
  <c r="E6" i="2" a="1"/>
  <c r="E6" i="2" s="1"/>
  <c r="G6" i="2"/>
  <c r="H6" i="2" s="1"/>
  <c r="B7" i="2"/>
  <c r="C7" i="2" a="1"/>
  <c r="C7" i="2" s="1"/>
  <c r="D7" i="2" a="1"/>
  <c r="D7" i="2" s="1"/>
  <c r="E7" i="2" a="1"/>
  <c r="E7" i="2" s="1"/>
  <c r="F7" i="2"/>
  <c r="G7" i="2"/>
  <c r="B8" i="2"/>
  <c r="C8" i="2" a="1"/>
  <c r="C8" i="2" s="1"/>
  <c r="D8" i="2" a="1"/>
  <c r="D8" i="2" s="1"/>
  <c r="E8" i="2" a="1"/>
  <c r="E8" i="2" s="1"/>
  <c r="F8" i="2"/>
  <c r="G8" i="2"/>
  <c r="B9" i="2"/>
  <c r="C9" i="2" a="1"/>
  <c r="C9" i="2" s="1"/>
  <c r="D9" i="2" a="1"/>
  <c r="D9" i="2" s="1"/>
  <c r="E9" i="2" a="1"/>
  <c r="E9" i="2" s="1"/>
  <c r="F9" i="2"/>
  <c r="G9" i="2"/>
  <c r="B10" i="2"/>
  <c r="C10" i="2" a="1"/>
  <c r="C10" i="2" s="1"/>
  <c r="D10" i="2" a="1"/>
  <c r="D10" i="2" s="1"/>
  <c r="E10" i="2" a="1"/>
  <c r="E10" i="2" s="1"/>
  <c r="F10" i="2"/>
  <c r="G10" i="2"/>
  <c r="B11" i="2"/>
  <c r="C11" i="2" a="1"/>
  <c r="C11" i="2" s="1"/>
  <c r="D11" i="2" a="1"/>
  <c r="D11" i="2" s="1"/>
  <c r="E11" i="2" a="1"/>
  <c r="E11" i="2" s="1"/>
  <c r="F11" i="2"/>
  <c r="G11" i="2"/>
  <c r="B12" i="2"/>
  <c r="C12" i="2" a="1"/>
  <c r="C12" i="2" s="1"/>
  <c r="D12" i="2" a="1"/>
  <c r="D12" i="2" s="1"/>
  <c r="E12" i="2" a="1"/>
  <c r="E12" i="2" s="1"/>
  <c r="F12" i="2"/>
  <c r="G12" i="2"/>
  <c r="B13" i="2"/>
  <c r="C13" i="2" a="1"/>
  <c r="C13" i="2" s="1"/>
  <c r="D13" i="2" a="1"/>
  <c r="D13" i="2" s="1"/>
  <c r="E13" i="2" a="1"/>
  <c r="E13" i="2" s="1"/>
  <c r="F13" i="2"/>
  <c r="G13" i="2"/>
  <c r="B14" i="2"/>
  <c r="C14" i="2" a="1"/>
  <c r="C14" i="2" s="1"/>
  <c r="D14" i="2" a="1"/>
  <c r="D14" i="2" s="1"/>
  <c r="E14" i="2" a="1"/>
  <c r="E14" i="2" s="1"/>
  <c r="F14" i="2"/>
  <c r="G14" i="2"/>
  <c r="B15" i="2"/>
  <c r="C15" i="2" a="1"/>
  <c r="C15" i="2" s="1"/>
  <c r="D15" i="2" a="1"/>
  <c r="D15" i="2" s="1"/>
  <c r="E15" i="2" a="1"/>
  <c r="E15" i="2" s="1"/>
  <c r="F15" i="2"/>
  <c r="G15" i="2"/>
  <c r="B16" i="2"/>
  <c r="C16" i="2" a="1"/>
  <c r="C16" i="2" s="1"/>
  <c r="D16" i="2" a="1"/>
  <c r="D16" i="2" s="1"/>
  <c r="E16" i="2" a="1"/>
  <c r="E16" i="2" s="1"/>
  <c r="F16" i="2"/>
  <c r="G16" i="2"/>
  <c r="B17" i="2"/>
  <c r="C17" i="2" a="1"/>
  <c r="C17" i="2" s="1"/>
  <c r="D17" i="2" a="1"/>
  <c r="D17" i="2" s="1"/>
  <c r="E17" i="2" a="1"/>
  <c r="E17" i="2" s="1"/>
  <c r="F17" i="2"/>
  <c r="G17" i="2"/>
  <c r="B18" i="2"/>
  <c r="C18" i="2" a="1"/>
  <c r="C18" i="2" s="1"/>
  <c r="D18" i="2" a="1"/>
  <c r="D18" i="2" s="1"/>
  <c r="E18" i="2" a="1"/>
  <c r="E18" i="2" s="1"/>
  <c r="F18" i="2"/>
  <c r="G18" i="2"/>
  <c r="B19" i="2"/>
  <c r="C19" i="2" a="1"/>
  <c r="C19" i="2" s="1"/>
  <c r="D19" i="2" a="1"/>
  <c r="D19" i="2" s="1"/>
  <c r="E19" i="2" a="1"/>
  <c r="E19" i="2" s="1"/>
  <c r="F19" i="2"/>
  <c r="G19" i="2"/>
  <c r="B20" i="2"/>
  <c r="C20" i="2" a="1"/>
  <c r="C20" i="2" s="1"/>
  <c r="D20" i="2" a="1"/>
  <c r="D20" i="2" s="1"/>
  <c r="E20" i="2" a="1"/>
  <c r="E20" i="2" s="1"/>
  <c r="F20" i="2"/>
  <c r="G20" i="2"/>
  <c r="B21" i="2"/>
  <c r="C21" i="2" a="1"/>
  <c r="C21" i="2" s="1"/>
  <c r="D21" i="2" a="1"/>
  <c r="D21" i="2" s="1"/>
  <c r="E21" i="2" a="1"/>
  <c r="E21" i="2" s="1"/>
  <c r="F21" i="2"/>
  <c r="G21" i="2"/>
  <c r="B22" i="2"/>
  <c r="C22" i="2" a="1"/>
  <c r="C22" i="2" s="1"/>
  <c r="D22" i="2" a="1"/>
  <c r="D22" i="2" s="1"/>
  <c r="E22" i="2" a="1"/>
  <c r="E22" i="2" s="1"/>
  <c r="F22" i="2"/>
  <c r="G22" i="2"/>
  <c r="B23" i="2"/>
  <c r="C23" i="2" a="1"/>
  <c r="C23" i="2" s="1"/>
  <c r="D23" i="2" a="1"/>
  <c r="D23" i="2" s="1"/>
  <c r="E23" i="2" a="1"/>
  <c r="E23" i="2" s="1"/>
  <c r="F23" i="2"/>
  <c r="G23" i="2"/>
  <c r="B24" i="2"/>
  <c r="C24" i="2" a="1"/>
  <c r="C24" i="2" s="1"/>
  <c r="D24" i="2" a="1"/>
  <c r="D24" i="2" s="1"/>
  <c r="E24" i="2" a="1"/>
  <c r="E24" i="2" s="1"/>
  <c r="F24" i="2"/>
  <c r="G24" i="2"/>
  <c r="B25" i="2"/>
  <c r="C25" i="2" a="1"/>
  <c r="C25" i="2" s="1"/>
  <c r="D25" i="2" a="1"/>
  <c r="D25" i="2" s="1"/>
  <c r="E25" i="2" a="1"/>
  <c r="E25" i="2" s="1"/>
  <c r="F25" i="2"/>
  <c r="G25" i="2"/>
  <c r="B26" i="2"/>
  <c r="C26" i="2" a="1"/>
  <c r="C26" i="2" s="1"/>
  <c r="D26" i="2" a="1"/>
  <c r="D26" i="2" s="1"/>
  <c r="E26" i="2" a="1"/>
  <c r="E26" i="2" s="1"/>
  <c r="F26" i="2"/>
  <c r="G26" i="2"/>
  <c r="B27" i="2"/>
  <c r="C27" i="2" a="1"/>
  <c r="C27" i="2" s="1"/>
  <c r="D27" i="2" a="1"/>
  <c r="D27" i="2" s="1"/>
  <c r="E27" i="2" a="1"/>
  <c r="E27" i="2" s="1"/>
  <c r="F27" i="2"/>
  <c r="G27" i="2"/>
  <c r="B28" i="2"/>
  <c r="C28" i="2" a="1"/>
  <c r="C28" i="2" s="1"/>
  <c r="D28" i="2" a="1"/>
  <c r="D28" i="2" s="1"/>
  <c r="E28" i="2" a="1"/>
  <c r="E28" i="2" s="1"/>
  <c r="F28" i="2"/>
  <c r="G28" i="2"/>
  <c r="B29" i="2"/>
  <c r="C29" i="2" a="1"/>
  <c r="C29" i="2" s="1"/>
  <c r="D29" i="2" a="1"/>
  <c r="D29" i="2" s="1"/>
  <c r="E29" i="2" a="1"/>
  <c r="E29" i="2" s="1"/>
  <c r="F29" i="2"/>
  <c r="G29" i="2"/>
  <c r="B30" i="2"/>
  <c r="C30" i="2" a="1"/>
  <c r="C30" i="2" s="1"/>
  <c r="D30" i="2" a="1"/>
  <c r="D30" i="2" s="1"/>
  <c r="E30" i="2" a="1"/>
  <c r="E30" i="2" s="1"/>
  <c r="F30" i="2"/>
  <c r="G30" i="2"/>
  <c r="B31" i="2"/>
  <c r="C31" i="2" a="1"/>
  <c r="C31" i="2" s="1"/>
  <c r="D31" i="2" a="1"/>
  <c r="D31" i="2" s="1"/>
  <c r="E31" i="2" a="1"/>
  <c r="E31" i="2" s="1"/>
  <c r="F31" i="2"/>
  <c r="G31" i="2"/>
  <c r="B32" i="2"/>
  <c r="C32" i="2" a="1"/>
  <c r="C32" i="2" s="1"/>
  <c r="D32" i="2" a="1"/>
  <c r="D32" i="2" s="1"/>
  <c r="E32" i="2" a="1"/>
  <c r="E32" i="2" s="1"/>
  <c r="F32" i="2"/>
  <c r="G32" i="2"/>
  <c r="B33" i="2"/>
  <c r="C33" i="2" a="1"/>
  <c r="C33" i="2" s="1"/>
  <c r="D33" i="2" a="1"/>
  <c r="D33" i="2" s="1"/>
  <c r="E33" i="2" a="1"/>
  <c r="E33" i="2" s="1"/>
  <c r="F33" i="2"/>
  <c r="G33" i="2"/>
  <c r="B34" i="2"/>
  <c r="C34" i="2" a="1"/>
  <c r="C34" i="2" s="1"/>
  <c r="D34" i="2" a="1"/>
  <c r="D34" i="2" s="1"/>
  <c r="E34" i="2" a="1"/>
  <c r="E34" i="2" s="1"/>
  <c r="F34" i="2"/>
  <c r="G34" i="2"/>
  <c r="B35" i="2"/>
  <c r="C35" i="2" a="1"/>
  <c r="C35" i="2" s="1"/>
  <c r="D35" i="2" a="1"/>
  <c r="D35" i="2" s="1"/>
  <c r="E35" i="2" a="1"/>
  <c r="E35" i="2" s="1"/>
  <c r="F35" i="2"/>
  <c r="G35" i="2"/>
  <c r="B36" i="2"/>
  <c r="C36" i="2" a="1"/>
  <c r="C36" i="2" s="1"/>
  <c r="D36" i="2" a="1"/>
  <c r="D36" i="2" s="1"/>
  <c r="E36" i="2" a="1"/>
  <c r="E36" i="2" s="1"/>
  <c r="F36" i="2"/>
  <c r="G36" i="2"/>
  <c r="B37" i="2"/>
  <c r="C37" i="2" a="1"/>
  <c r="C37" i="2" s="1"/>
  <c r="D37" i="2" a="1"/>
  <c r="D37" i="2" s="1"/>
  <c r="E37" i="2" a="1"/>
  <c r="E37" i="2" s="1"/>
  <c r="F37" i="2"/>
  <c r="G37" i="2"/>
  <c r="B38" i="2"/>
  <c r="C38" i="2" a="1"/>
  <c r="C38" i="2" s="1"/>
  <c r="D38" i="2" a="1"/>
  <c r="D38" i="2" s="1"/>
  <c r="E38" i="2" a="1"/>
  <c r="E38" i="2" s="1"/>
  <c r="F38" i="2"/>
  <c r="G38" i="2"/>
  <c r="B39" i="2"/>
  <c r="C39" i="2" a="1"/>
  <c r="C39" i="2" s="1"/>
  <c r="D39" i="2" a="1"/>
  <c r="D39" i="2" s="1"/>
  <c r="E39" i="2" a="1"/>
  <c r="E39" i="2" s="1"/>
  <c r="F39" i="2"/>
  <c r="G39" i="2"/>
  <c r="B40" i="2"/>
  <c r="C40" i="2" a="1"/>
  <c r="C40" i="2" s="1"/>
  <c r="D40" i="2" a="1"/>
  <c r="D40" i="2" s="1"/>
  <c r="E40" i="2" a="1"/>
  <c r="E40" i="2" s="1"/>
  <c r="F40" i="2"/>
  <c r="G40" i="2"/>
  <c r="B41" i="2"/>
  <c r="C41" i="2" a="1"/>
  <c r="C41" i="2" s="1"/>
  <c r="D41" i="2" a="1"/>
  <c r="D41" i="2" s="1"/>
  <c r="E41" i="2" a="1"/>
  <c r="E41" i="2" s="1"/>
  <c r="F41" i="2"/>
  <c r="G41" i="2"/>
  <c r="B42" i="2"/>
  <c r="C42" i="2" a="1"/>
  <c r="C42" i="2" s="1"/>
  <c r="D42" i="2" a="1"/>
  <c r="D42" i="2" s="1"/>
  <c r="E42" i="2" a="1"/>
  <c r="E42" i="2" s="1"/>
  <c r="F42" i="2"/>
  <c r="G42" i="2"/>
  <c r="B43" i="2"/>
  <c r="C43" i="2" a="1"/>
  <c r="C43" i="2" s="1"/>
  <c r="D43" i="2" a="1"/>
  <c r="D43" i="2" s="1"/>
  <c r="E43" i="2" a="1"/>
  <c r="E43" i="2" s="1"/>
  <c r="F43" i="2"/>
  <c r="G43" i="2"/>
  <c r="B44" i="2"/>
  <c r="C44" i="2" a="1"/>
  <c r="C44" i="2" s="1"/>
  <c r="D44" i="2" a="1"/>
  <c r="D44" i="2" s="1"/>
  <c r="E44" i="2" a="1"/>
  <c r="E44" i="2" s="1"/>
  <c r="F44" i="2"/>
  <c r="G44" i="2"/>
  <c r="B45" i="2"/>
  <c r="C45" i="2" a="1"/>
  <c r="C45" i="2" s="1"/>
  <c r="D45" i="2" a="1"/>
  <c r="D45" i="2" s="1"/>
  <c r="E45" i="2" a="1"/>
  <c r="E45" i="2" s="1"/>
  <c r="F45" i="2"/>
  <c r="G45" i="2"/>
  <c r="B46" i="2"/>
  <c r="C46" i="2" a="1"/>
  <c r="C46" i="2" s="1"/>
  <c r="D46" i="2" a="1"/>
  <c r="D46" i="2" s="1"/>
  <c r="E46" i="2" a="1"/>
  <c r="E46" i="2" s="1"/>
  <c r="F46" i="2"/>
  <c r="G46" i="2"/>
  <c r="B47" i="2"/>
  <c r="C47" i="2" a="1"/>
  <c r="C47" i="2" s="1"/>
  <c r="D47" i="2" a="1"/>
  <c r="D47" i="2" s="1"/>
  <c r="E47" i="2" a="1"/>
  <c r="E47" i="2" s="1"/>
  <c r="F47" i="2"/>
  <c r="G47" i="2"/>
  <c r="B48" i="2"/>
  <c r="C48" i="2" a="1"/>
  <c r="C48" i="2" s="1"/>
  <c r="D48" i="2" a="1"/>
  <c r="D48" i="2" s="1"/>
  <c r="E48" i="2" a="1"/>
  <c r="E48" i="2" s="1"/>
  <c r="F48" i="2"/>
  <c r="G48" i="2"/>
  <c r="B49" i="2"/>
  <c r="C49" i="2" a="1"/>
  <c r="C49" i="2" s="1"/>
  <c r="D49" i="2" a="1"/>
  <c r="D49" i="2" s="1"/>
  <c r="E49" i="2" a="1"/>
  <c r="E49" i="2" s="1"/>
  <c r="F49" i="2"/>
  <c r="G49" i="2"/>
  <c r="B50" i="2"/>
  <c r="C50" i="2" a="1"/>
  <c r="C50" i="2" s="1"/>
  <c r="D50" i="2" a="1"/>
  <c r="D50" i="2" s="1"/>
  <c r="E50" i="2" a="1"/>
  <c r="E50" i="2" s="1"/>
  <c r="F50" i="2"/>
  <c r="G50" i="2"/>
  <c r="B51" i="2"/>
  <c r="C51" i="2" a="1"/>
  <c r="C51" i="2" s="1"/>
  <c r="D51" i="2" a="1"/>
  <c r="D51" i="2" s="1"/>
  <c r="E51" i="2" a="1"/>
  <c r="E51" i="2" s="1"/>
  <c r="F51" i="2"/>
  <c r="G51" i="2"/>
  <c r="B52" i="2"/>
  <c r="C52" i="2" a="1"/>
  <c r="C52" i="2" s="1"/>
  <c r="D52" i="2" a="1"/>
  <c r="D52" i="2" s="1"/>
  <c r="E52" i="2" a="1"/>
  <c r="E52" i="2" s="1"/>
  <c r="F52" i="2"/>
  <c r="G52" i="2"/>
  <c r="B53" i="2"/>
  <c r="C53" i="2" a="1"/>
  <c r="C53" i="2" s="1"/>
  <c r="D53" i="2" a="1"/>
  <c r="D53" i="2" s="1"/>
  <c r="E53" i="2" a="1"/>
  <c r="E53" i="2" s="1"/>
  <c r="F53" i="2"/>
  <c r="G53" i="2"/>
  <c r="B54" i="2"/>
  <c r="C54" i="2" a="1"/>
  <c r="C54" i="2" s="1"/>
  <c r="D54" i="2" a="1"/>
  <c r="D54" i="2" s="1"/>
  <c r="E54" i="2" a="1"/>
  <c r="E54" i="2" s="1"/>
  <c r="F54" i="2"/>
  <c r="G54" i="2"/>
  <c r="B55" i="2"/>
  <c r="C55" i="2" a="1"/>
  <c r="C55" i="2" s="1"/>
  <c r="D55" i="2" a="1"/>
  <c r="D55" i="2" s="1"/>
  <c r="E55" i="2" a="1"/>
  <c r="E55" i="2" s="1"/>
  <c r="F55" i="2"/>
  <c r="G55" i="2"/>
  <c r="B56" i="2"/>
  <c r="C56" i="2" a="1"/>
  <c r="C56" i="2" s="1"/>
  <c r="D56" i="2" a="1"/>
  <c r="D56" i="2" s="1"/>
  <c r="E56" i="2" a="1"/>
  <c r="E56" i="2" s="1"/>
  <c r="F56" i="2"/>
  <c r="G56" i="2"/>
  <c r="B57" i="2"/>
  <c r="C57" i="2" a="1"/>
  <c r="C57" i="2" s="1"/>
  <c r="D57" i="2" a="1"/>
  <c r="D57" i="2" s="1"/>
  <c r="E57" i="2" a="1"/>
  <c r="E57" i="2" s="1"/>
  <c r="F57" i="2"/>
  <c r="G57" i="2"/>
  <c r="B58" i="2"/>
  <c r="C58" i="2" a="1"/>
  <c r="C58" i="2" s="1"/>
  <c r="D58" i="2" a="1"/>
  <c r="D58" i="2" s="1"/>
  <c r="E58" i="2" a="1"/>
  <c r="E58" i="2" s="1"/>
  <c r="F58" i="2"/>
  <c r="G58" i="2"/>
  <c r="B59" i="2"/>
  <c r="C59" i="2" a="1"/>
  <c r="C59" i="2" s="1"/>
  <c r="D59" i="2" a="1"/>
  <c r="D59" i="2" s="1"/>
  <c r="E59" i="2" a="1"/>
  <c r="E59" i="2" s="1"/>
  <c r="F59" i="2"/>
  <c r="G59" i="2"/>
  <c r="B60" i="2"/>
  <c r="C60" i="2" a="1"/>
  <c r="C60" i="2" s="1"/>
  <c r="D60" i="2" a="1"/>
  <c r="D60" i="2" s="1"/>
  <c r="E60" i="2" a="1"/>
  <c r="E60" i="2" s="1"/>
  <c r="F60" i="2"/>
  <c r="G60" i="2"/>
  <c r="B61" i="2"/>
  <c r="C61" i="2" a="1"/>
  <c r="C61" i="2" s="1"/>
  <c r="D61" i="2" a="1"/>
  <c r="D61" i="2" s="1"/>
  <c r="E61" i="2" a="1"/>
  <c r="E61" i="2" s="1"/>
  <c r="F61" i="2"/>
  <c r="G61" i="2"/>
  <c r="B62" i="2"/>
  <c r="C62" i="2" a="1"/>
  <c r="C62" i="2" s="1"/>
  <c r="D62" i="2" a="1"/>
  <c r="D62" i="2" s="1"/>
  <c r="E62" i="2" a="1"/>
  <c r="E62" i="2" s="1"/>
  <c r="F62" i="2"/>
  <c r="G62" i="2"/>
  <c r="B63" i="2"/>
  <c r="C63" i="2" a="1"/>
  <c r="C63" i="2" s="1"/>
  <c r="D63" i="2" a="1"/>
  <c r="D63" i="2" s="1"/>
  <c r="E63" i="2" a="1"/>
  <c r="E63" i="2" s="1"/>
  <c r="F63" i="2"/>
  <c r="G63" i="2"/>
  <c r="B64" i="2"/>
  <c r="C64" i="2" a="1"/>
  <c r="C64" i="2" s="1"/>
  <c r="D64" i="2" a="1"/>
  <c r="D64" i="2" s="1"/>
  <c r="E64" i="2" a="1"/>
  <c r="E64" i="2" s="1"/>
  <c r="F64" i="2"/>
  <c r="G64" i="2"/>
  <c r="B65" i="2"/>
  <c r="C65" i="2" a="1"/>
  <c r="C65" i="2" s="1"/>
  <c r="D65" i="2" a="1"/>
  <c r="D65" i="2" s="1"/>
  <c r="E65" i="2" a="1"/>
  <c r="E65" i="2" s="1"/>
  <c r="F65" i="2"/>
  <c r="G65" i="2"/>
  <c r="B66" i="2"/>
  <c r="C66" i="2" a="1"/>
  <c r="C66" i="2" s="1"/>
  <c r="D66" i="2" a="1"/>
  <c r="D66" i="2" s="1"/>
  <c r="E66" i="2" a="1"/>
  <c r="E66" i="2" s="1"/>
  <c r="F66" i="2"/>
  <c r="G66" i="2"/>
  <c r="B67" i="2"/>
  <c r="C67" i="2" a="1"/>
  <c r="C67" i="2" s="1"/>
  <c r="D67" i="2" a="1"/>
  <c r="D67" i="2" s="1"/>
  <c r="E67" i="2" a="1"/>
  <c r="E67" i="2" s="1"/>
  <c r="F67" i="2"/>
  <c r="G67" i="2"/>
  <c r="B68" i="2"/>
  <c r="C68" i="2" a="1"/>
  <c r="C68" i="2" s="1"/>
  <c r="D68" i="2" a="1"/>
  <c r="D68" i="2" s="1"/>
  <c r="E68" i="2" a="1"/>
  <c r="E68" i="2" s="1"/>
  <c r="F68" i="2"/>
  <c r="G68" i="2"/>
  <c r="B69" i="2"/>
  <c r="C69" i="2" a="1"/>
  <c r="C69" i="2" s="1"/>
  <c r="D69" i="2" a="1"/>
  <c r="D69" i="2" s="1"/>
  <c r="E69" i="2" a="1"/>
  <c r="E69" i="2" s="1"/>
  <c r="F69" i="2"/>
  <c r="G69" i="2"/>
  <c r="B70" i="2"/>
  <c r="C70" i="2" a="1"/>
  <c r="C70" i="2" s="1"/>
  <c r="D70" i="2" a="1"/>
  <c r="D70" i="2" s="1"/>
  <c r="E70" i="2" a="1"/>
  <c r="E70" i="2" s="1"/>
  <c r="F70" i="2"/>
  <c r="G70" i="2"/>
  <c r="B71" i="2"/>
  <c r="C71" i="2" a="1"/>
  <c r="C71" i="2" s="1"/>
  <c r="D71" i="2" a="1"/>
  <c r="D71" i="2" s="1"/>
  <c r="E71" i="2" a="1"/>
  <c r="E71" i="2" s="1"/>
  <c r="F71" i="2"/>
  <c r="G71" i="2"/>
  <c r="B72" i="2"/>
  <c r="C72" i="2" a="1"/>
  <c r="C72" i="2" s="1"/>
  <c r="D72" i="2" a="1"/>
  <c r="D72" i="2" s="1"/>
  <c r="E72" i="2" a="1"/>
  <c r="E72" i="2" s="1"/>
  <c r="F72" i="2"/>
  <c r="G72" i="2"/>
  <c r="B73" i="2"/>
  <c r="C73" i="2" a="1"/>
  <c r="C73" i="2" s="1"/>
  <c r="D73" i="2" a="1"/>
  <c r="D73" i="2" s="1"/>
  <c r="E73" i="2" a="1"/>
  <c r="E73" i="2" s="1"/>
  <c r="F73" i="2"/>
  <c r="G73" i="2"/>
  <c r="B74" i="2"/>
  <c r="C74" i="2" a="1"/>
  <c r="C74" i="2" s="1"/>
  <c r="D74" i="2" a="1"/>
  <c r="D74" i="2" s="1"/>
  <c r="E74" i="2" a="1"/>
  <c r="E74" i="2" s="1"/>
  <c r="F74" i="2"/>
  <c r="G74" i="2"/>
  <c r="B75" i="2"/>
  <c r="C75" i="2" a="1"/>
  <c r="C75" i="2" s="1"/>
  <c r="D75" i="2" a="1"/>
  <c r="D75" i="2" s="1"/>
  <c r="E75" i="2" a="1"/>
  <c r="E75" i="2" s="1"/>
  <c r="F75" i="2"/>
  <c r="G75" i="2"/>
  <c r="B76" i="2"/>
  <c r="C76" i="2" a="1"/>
  <c r="C76" i="2" s="1"/>
  <c r="D76" i="2" a="1"/>
  <c r="D76" i="2" s="1"/>
  <c r="E76" i="2" a="1"/>
  <c r="E76" i="2" s="1"/>
  <c r="F76" i="2"/>
  <c r="G76" i="2"/>
  <c r="B77" i="2"/>
  <c r="C77" i="2" a="1"/>
  <c r="C77" i="2" s="1"/>
  <c r="D77" i="2" a="1"/>
  <c r="D77" i="2" s="1"/>
  <c r="E77" i="2" a="1"/>
  <c r="E77" i="2" s="1"/>
  <c r="F77" i="2"/>
  <c r="G77" i="2"/>
  <c r="B78" i="2"/>
  <c r="C78" i="2" a="1"/>
  <c r="C78" i="2" s="1"/>
  <c r="D78" i="2" a="1"/>
  <c r="D78" i="2" s="1"/>
  <c r="E78" i="2" a="1"/>
  <c r="E78" i="2" s="1"/>
  <c r="F78" i="2"/>
  <c r="G78" i="2"/>
  <c r="B79" i="2"/>
  <c r="C79" i="2" a="1"/>
  <c r="C79" i="2" s="1"/>
  <c r="D79" i="2" a="1"/>
  <c r="D79" i="2" s="1"/>
  <c r="E79" i="2" a="1"/>
  <c r="E79" i="2" s="1"/>
  <c r="F79" i="2"/>
  <c r="G79" i="2"/>
  <c r="B80" i="2"/>
  <c r="C80" i="2" a="1"/>
  <c r="C80" i="2" s="1"/>
  <c r="D80" i="2" a="1"/>
  <c r="D80" i="2" s="1"/>
  <c r="E80" i="2" a="1"/>
  <c r="E80" i="2" s="1"/>
  <c r="F80" i="2"/>
  <c r="G80" i="2"/>
  <c r="B81" i="2"/>
  <c r="C81" i="2" a="1"/>
  <c r="C81" i="2" s="1"/>
  <c r="D81" i="2" a="1"/>
  <c r="D81" i="2" s="1"/>
  <c r="E81" i="2" a="1"/>
  <c r="E81" i="2" s="1"/>
  <c r="F81" i="2"/>
  <c r="G81" i="2"/>
  <c r="B82" i="2"/>
  <c r="C82" i="2" a="1"/>
  <c r="C82" i="2" s="1"/>
  <c r="D82" i="2" a="1"/>
  <c r="D82" i="2" s="1"/>
  <c r="E82" i="2" a="1"/>
  <c r="E82" i="2" s="1"/>
  <c r="F82" i="2"/>
  <c r="G82" i="2"/>
  <c r="B83" i="2"/>
  <c r="C83" i="2" a="1"/>
  <c r="C83" i="2" s="1"/>
  <c r="D83" i="2" a="1"/>
  <c r="D83" i="2" s="1"/>
  <c r="E83" i="2" a="1"/>
  <c r="E83" i="2" s="1"/>
  <c r="F83" i="2"/>
  <c r="G83" i="2"/>
  <c r="B84" i="2"/>
  <c r="C84" i="2" a="1"/>
  <c r="C84" i="2" s="1"/>
  <c r="D84" i="2" a="1"/>
  <c r="D84" i="2" s="1"/>
  <c r="E84" i="2" a="1"/>
  <c r="E84" i="2" s="1"/>
  <c r="F84" i="2"/>
  <c r="G84" i="2"/>
  <c r="B85" i="2"/>
  <c r="C85" i="2" a="1"/>
  <c r="C85" i="2" s="1"/>
  <c r="D85" i="2" a="1"/>
  <c r="D85" i="2" s="1"/>
  <c r="E85" i="2" a="1"/>
  <c r="E85" i="2" s="1"/>
  <c r="F85" i="2"/>
  <c r="G85" i="2"/>
  <c r="B86" i="2"/>
  <c r="C86" i="2" a="1"/>
  <c r="C86" i="2" s="1"/>
  <c r="D86" i="2" a="1"/>
  <c r="D86" i="2" s="1"/>
  <c r="E86" i="2" a="1"/>
  <c r="E86" i="2" s="1"/>
  <c r="F86" i="2"/>
  <c r="G86" i="2"/>
  <c r="B87" i="2"/>
  <c r="C87" i="2" a="1"/>
  <c r="C87" i="2" s="1"/>
  <c r="D87" i="2" a="1"/>
  <c r="D87" i="2" s="1"/>
  <c r="E87" i="2" a="1"/>
  <c r="E87" i="2" s="1"/>
  <c r="F87" i="2"/>
  <c r="G87" i="2"/>
  <c r="B88" i="2"/>
  <c r="C88" i="2" a="1"/>
  <c r="C88" i="2" s="1"/>
  <c r="D88" i="2" a="1"/>
  <c r="D88" i="2" s="1"/>
  <c r="E88" i="2" a="1"/>
  <c r="E88" i="2" s="1"/>
  <c r="F88" i="2"/>
  <c r="G88" i="2"/>
  <c r="B89" i="2"/>
  <c r="C89" i="2" a="1"/>
  <c r="C89" i="2" s="1"/>
  <c r="D89" i="2" a="1"/>
  <c r="D89" i="2" s="1"/>
  <c r="E89" i="2" a="1"/>
  <c r="E89" i="2" s="1"/>
  <c r="F89" i="2"/>
  <c r="G89" i="2"/>
  <c r="B90" i="2"/>
  <c r="C90" i="2" a="1"/>
  <c r="C90" i="2" s="1"/>
  <c r="D90" i="2" a="1"/>
  <c r="D90" i="2" s="1"/>
  <c r="E90" i="2" a="1"/>
  <c r="E90" i="2" s="1"/>
  <c r="F90" i="2"/>
  <c r="G90" i="2"/>
  <c r="B91" i="2"/>
  <c r="C91" i="2" a="1"/>
  <c r="C91" i="2" s="1"/>
  <c r="D91" i="2" a="1"/>
  <c r="D91" i="2" s="1"/>
  <c r="E91" i="2" a="1"/>
  <c r="E91" i="2" s="1"/>
  <c r="F91" i="2"/>
  <c r="G91" i="2"/>
  <c r="B92" i="2"/>
  <c r="C92" i="2" a="1"/>
  <c r="C92" i="2" s="1"/>
  <c r="D92" i="2" a="1"/>
  <c r="D92" i="2" s="1"/>
  <c r="E92" i="2" a="1"/>
  <c r="E92" i="2" s="1"/>
  <c r="F92" i="2"/>
  <c r="G92" i="2"/>
  <c r="B93" i="2"/>
  <c r="C93" i="2" a="1"/>
  <c r="C93" i="2" s="1"/>
  <c r="D93" i="2" a="1"/>
  <c r="D93" i="2" s="1"/>
  <c r="E93" i="2" a="1"/>
  <c r="E93" i="2" s="1"/>
  <c r="F93" i="2"/>
  <c r="G93" i="2"/>
  <c r="B94" i="2"/>
  <c r="C94" i="2" a="1"/>
  <c r="C94" i="2" s="1"/>
  <c r="D94" i="2" a="1"/>
  <c r="D94" i="2" s="1"/>
  <c r="E94" i="2" a="1"/>
  <c r="E94" i="2" s="1"/>
  <c r="F94" i="2"/>
  <c r="G94" i="2"/>
  <c r="B95" i="2"/>
  <c r="C95" i="2" a="1"/>
  <c r="C95" i="2" s="1"/>
  <c r="D95" i="2" a="1"/>
  <c r="D95" i="2" s="1"/>
  <c r="E95" i="2" a="1"/>
  <c r="E95" i="2" s="1"/>
  <c r="F95" i="2"/>
  <c r="G95" i="2"/>
  <c r="B96" i="2"/>
  <c r="C96" i="2" a="1"/>
  <c r="C96" i="2" s="1"/>
  <c r="D96" i="2" a="1"/>
  <c r="D96" i="2" s="1"/>
  <c r="E96" i="2" a="1"/>
  <c r="E96" i="2" s="1"/>
  <c r="F96" i="2"/>
  <c r="G96" i="2"/>
  <c r="B97" i="2"/>
  <c r="C97" i="2" a="1"/>
  <c r="C97" i="2" s="1"/>
  <c r="D97" i="2" a="1"/>
  <c r="D97" i="2" s="1"/>
  <c r="E97" i="2" a="1"/>
  <c r="E97" i="2" s="1"/>
  <c r="F97" i="2"/>
  <c r="G97" i="2"/>
  <c r="B98" i="2"/>
  <c r="C98" i="2" a="1"/>
  <c r="C98" i="2" s="1"/>
  <c r="D98" i="2" a="1"/>
  <c r="D98" i="2" s="1"/>
  <c r="E98" i="2" a="1"/>
  <c r="E98" i="2" s="1"/>
  <c r="F98" i="2"/>
  <c r="G98" i="2"/>
  <c r="B99" i="2"/>
  <c r="C99" i="2" a="1"/>
  <c r="C99" i="2" s="1"/>
  <c r="D99" i="2" a="1"/>
  <c r="D99" i="2" s="1"/>
  <c r="E99" i="2" a="1"/>
  <c r="E99" i="2" s="1"/>
  <c r="F99" i="2"/>
  <c r="G99" i="2"/>
  <c r="B100" i="2"/>
  <c r="C100" i="2" a="1"/>
  <c r="C100" i="2" s="1"/>
  <c r="D100" i="2" a="1"/>
  <c r="D100" i="2" s="1"/>
  <c r="E100" i="2" a="1"/>
  <c r="E100" i="2" s="1"/>
  <c r="F100" i="2"/>
  <c r="G100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G2" i="2"/>
  <c r="F2" i="2"/>
  <c r="E2" i="2" a="1"/>
  <c r="E2" i="2" s="1"/>
  <c r="D2" i="2" a="1"/>
  <c r="D2" i="2" s="1"/>
  <c r="C2" i="2" a="1"/>
  <c r="C2" i="2" s="1"/>
  <c r="B2" i="2"/>
  <c r="F8" i="1"/>
  <c r="F3" i="1"/>
  <c r="F4" i="1"/>
  <c r="F5" i="1"/>
  <c r="F6" i="1"/>
  <c r="F7" i="1"/>
  <c r="F2" i="1"/>
  <c r="L10" i="2" l="1"/>
  <c r="H2" i="2"/>
  <c r="H100" i="2"/>
  <c r="J100" i="2" s="1"/>
  <c r="H98" i="2"/>
  <c r="J98" i="2" s="1"/>
  <c r="H96" i="2"/>
  <c r="J96" i="2" s="1"/>
  <c r="H94" i="2"/>
  <c r="J94" i="2" s="1"/>
  <c r="H92" i="2"/>
  <c r="J92" i="2" s="1"/>
  <c r="H90" i="2"/>
  <c r="J90" i="2" s="1"/>
  <c r="H88" i="2"/>
  <c r="J88" i="2" s="1"/>
  <c r="H86" i="2"/>
  <c r="J86" i="2" s="1"/>
  <c r="H62" i="2"/>
  <c r="J62" i="2" s="1"/>
  <c r="H60" i="2"/>
  <c r="J60" i="2" s="1"/>
  <c r="H58" i="2"/>
  <c r="J58" i="2" s="1"/>
  <c r="H56" i="2"/>
  <c r="J56" i="2" s="1"/>
  <c r="H54" i="2"/>
  <c r="J54" i="2" s="1"/>
  <c r="H50" i="2"/>
  <c r="J50" i="2" s="1"/>
  <c r="H48" i="2"/>
  <c r="J48" i="2" s="1"/>
  <c r="H46" i="2"/>
  <c r="J46" i="2" s="1"/>
  <c r="H43" i="2"/>
  <c r="J43" i="2" s="1"/>
  <c r="H41" i="2"/>
  <c r="J41" i="2" s="1"/>
  <c r="H39" i="2"/>
  <c r="J39" i="2" s="1"/>
  <c r="H37" i="2"/>
  <c r="J37" i="2" s="1"/>
  <c r="H35" i="2"/>
  <c r="J35" i="2" s="1"/>
  <c r="H33" i="2"/>
  <c r="J33" i="2" s="1"/>
  <c r="H31" i="2"/>
  <c r="J31" i="2" s="1"/>
  <c r="H29" i="2"/>
  <c r="J29" i="2" s="1"/>
  <c r="H27" i="2"/>
  <c r="J27" i="2" s="1"/>
  <c r="H25" i="2"/>
  <c r="J25" i="2" s="1"/>
  <c r="H23" i="2"/>
  <c r="J23" i="2" s="1"/>
  <c r="H21" i="2"/>
  <c r="J21" i="2" s="1"/>
  <c r="H19" i="2"/>
  <c r="J19" i="2" s="1"/>
  <c r="H17" i="2"/>
  <c r="J17" i="2" s="1"/>
  <c r="H15" i="2"/>
  <c r="J15" i="2" s="1"/>
  <c r="H13" i="2"/>
  <c r="J13" i="2" s="1"/>
  <c r="H11" i="2"/>
  <c r="J11" i="2" s="1"/>
  <c r="H9" i="2"/>
  <c r="J9" i="2" s="1"/>
  <c r="H7" i="2"/>
  <c r="J7" i="2" s="1"/>
  <c r="H5" i="2"/>
  <c r="J5" i="2" s="1"/>
  <c r="H85" i="2"/>
  <c r="J85" i="2" s="1"/>
  <c r="H83" i="2"/>
  <c r="J83" i="2" s="1"/>
  <c r="H81" i="2"/>
  <c r="J81" i="2" s="1"/>
  <c r="H79" i="2"/>
  <c r="J79" i="2" s="1"/>
  <c r="H77" i="2"/>
  <c r="J77" i="2" s="1"/>
  <c r="H75" i="2"/>
  <c r="J75" i="2" s="1"/>
  <c r="H73" i="2"/>
  <c r="J73" i="2" s="1"/>
  <c r="H71" i="2"/>
  <c r="J71" i="2" s="1"/>
  <c r="H69" i="2"/>
  <c r="J69" i="2" s="1"/>
  <c r="H67" i="2"/>
  <c r="J67" i="2" s="1"/>
  <c r="H65" i="2"/>
  <c r="J65" i="2" s="1"/>
  <c r="H63" i="2"/>
  <c r="J63" i="2" s="1"/>
  <c r="H59" i="2"/>
  <c r="J59" i="2" s="1"/>
  <c r="H55" i="2"/>
  <c r="J55" i="2" s="1"/>
  <c r="H53" i="2"/>
  <c r="J53" i="2" s="1"/>
  <c r="H51" i="2"/>
  <c r="J51" i="2" s="1"/>
  <c r="H49" i="2"/>
  <c r="J49" i="2" s="1"/>
  <c r="H47" i="2"/>
  <c r="J47" i="2" s="1"/>
  <c r="H42" i="2"/>
  <c r="J42" i="2" s="1"/>
  <c r="H40" i="2"/>
  <c r="J40" i="2" s="1"/>
  <c r="H38" i="2"/>
  <c r="J38" i="2" s="1"/>
  <c r="H34" i="2"/>
  <c r="J34" i="2" s="1"/>
  <c r="H30" i="2"/>
  <c r="J30" i="2" s="1"/>
  <c r="H26" i="2"/>
  <c r="J26" i="2" s="1"/>
  <c r="H22" i="2"/>
  <c r="J22" i="2" s="1"/>
  <c r="H18" i="2"/>
  <c r="J18" i="2" s="1"/>
  <c r="H14" i="2"/>
  <c r="J14" i="2" s="1"/>
  <c r="H10" i="2"/>
  <c r="J10" i="2" s="1"/>
  <c r="J6" i="2"/>
  <c r="H4" i="2"/>
  <c r="J4" i="2" s="1"/>
  <c r="H24" i="2"/>
  <c r="J24" i="2" s="1"/>
  <c r="H16" i="2"/>
  <c r="J16" i="2" s="1"/>
  <c r="H12" i="2"/>
  <c r="J12" i="2" s="1"/>
  <c r="H8" i="2"/>
  <c r="J8" i="2" s="1"/>
  <c r="H45" i="2"/>
  <c r="J45" i="2" s="1"/>
  <c r="H36" i="2"/>
  <c r="J36" i="2" s="1"/>
  <c r="H32" i="2"/>
  <c r="J32" i="2" s="1"/>
  <c r="H28" i="2"/>
  <c r="J28" i="2" s="1"/>
  <c r="H20" i="2"/>
  <c r="J20" i="2" s="1"/>
  <c r="H99" i="2"/>
  <c r="J99" i="2" s="1"/>
  <c r="H97" i="2"/>
  <c r="J97" i="2" s="1"/>
  <c r="H95" i="2"/>
  <c r="J95" i="2" s="1"/>
  <c r="H93" i="2"/>
  <c r="J93" i="2" s="1"/>
  <c r="H91" i="2"/>
  <c r="J91" i="2" s="1"/>
  <c r="H89" i="2"/>
  <c r="J89" i="2" s="1"/>
  <c r="H87" i="2"/>
  <c r="J87" i="2" s="1"/>
  <c r="H84" i="2"/>
  <c r="J84" i="2" s="1"/>
  <c r="H82" i="2"/>
  <c r="J82" i="2" s="1"/>
  <c r="H80" i="2"/>
  <c r="J80" i="2" s="1"/>
  <c r="H78" i="2"/>
  <c r="J78" i="2" s="1"/>
  <c r="H76" i="2"/>
  <c r="J76" i="2" s="1"/>
  <c r="H74" i="2"/>
  <c r="J74" i="2" s="1"/>
  <c r="H72" i="2"/>
  <c r="J72" i="2" s="1"/>
  <c r="H70" i="2"/>
  <c r="J70" i="2" s="1"/>
  <c r="H68" i="2"/>
  <c r="J68" i="2" s="1"/>
  <c r="H66" i="2"/>
  <c r="J66" i="2" s="1"/>
  <c r="H64" i="2"/>
  <c r="J64" i="2" s="1"/>
  <c r="H61" i="2"/>
  <c r="J61" i="2" s="1"/>
  <c r="H57" i="2"/>
  <c r="J57" i="2" s="1"/>
  <c r="H52" i="2"/>
  <c r="J52" i="2" s="1"/>
  <c r="H44" i="2"/>
  <c r="J44" i="2" s="1"/>
  <c r="H3" i="2"/>
  <c r="J3" i="2" s="1"/>
  <c r="B9" i="1"/>
  <c r="L6" i="2" l="1"/>
  <c r="J2" i="2"/>
  <c r="L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<sst xmlns="http://schemas.openxmlformats.org/spreadsheetml/2006/main" count="74" uniqueCount="38">
  <si>
    <t>Date</t>
  </si>
  <si>
    <t>Produit</t>
  </si>
  <si>
    <t>Catégorie</t>
  </si>
  <si>
    <t>Quantité</t>
  </si>
  <si>
    <t>Prix_Unitaire</t>
  </si>
  <si>
    <t>Laptop</t>
  </si>
  <si>
    <t>Informatique</t>
  </si>
  <si>
    <t>Souris</t>
  </si>
  <si>
    <t>Clavier</t>
  </si>
  <si>
    <t>Casque</t>
  </si>
  <si>
    <t>Accessoires</t>
  </si>
  <si>
    <t>Écran</t>
  </si>
  <si>
    <t>Chiffres_Affaires</t>
  </si>
  <si>
    <t>Chiffre d'affaires total</t>
  </si>
  <si>
    <t>Tablette</t>
  </si>
  <si>
    <t>Vente_ID</t>
  </si>
  <si>
    <t>Vendeur</t>
  </si>
  <si>
    <t>Chiffre_Affaires</t>
  </si>
  <si>
    <t>Remise</t>
  </si>
  <si>
    <t>Montant_Net</t>
  </si>
  <si>
    <t>Chiffre d'affaires brut</t>
  </si>
  <si>
    <t>Chiffre d'affaires net</t>
  </si>
  <si>
    <t>Quantité totale</t>
  </si>
  <si>
    <t>Étiquettes de lignes</t>
  </si>
  <si>
    <t>Audio</t>
  </si>
  <si>
    <t>Périphériques</t>
  </si>
  <si>
    <t>Stockage</t>
  </si>
  <si>
    <t>Total général</t>
  </si>
  <si>
    <t>Somme de Chiffre_Affaires</t>
  </si>
  <si>
    <t>Étiquettes de colonnes</t>
  </si>
  <si>
    <t>Abdoulaye Gueye</t>
  </si>
  <si>
    <t>Awa Ndiaye</t>
  </si>
  <si>
    <t>Cheikh Ba</t>
  </si>
  <si>
    <t>Fatou Fall</t>
  </si>
  <si>
    <t>Mamadou Diop</t>
  </si>
  <si>
    <t>Mariama Sow</t>
  </si>
  <si>
    <t>Ousmane Ndiaye</t>
  </si>
  <si>
    <t>Sokhna Diallo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</si>
</sst>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[$CFA-280C]_-;\-* #,##0.00\ [$CFA-280C]_-;_-* &quot;-&quot;??\ [$CFA-280C]_-;_-@_-"/>
    <numFmt numFmtId="165" formatCode="_-* #,##0\ [$CFA-280C]_-;\-* #,##0\ [$CFA-280C]_-;_-* &quot;-&quot;\ [$CFA-280C]_-;_-@_-"/>
    <numFmt numFmtId="166" formatCode="_-* #,##0.0\ [$CFA-280C]_-;\-* #,##0.0\ [$CFA-280C]_-;_-* &quot;-&quot;?\ [$CFA-280C]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3"/>
      <name val="Times New Roman"/>
      <family val="1"/>
    </font>
    <font>
      <sz val="11"/>
      <color rgb="FFF9FAFB"/>
      <name val="Times New Roman"/>
      <family val="1"/>
    </font>
    <font>
      <sz val="11"/>
      <color rgb="FFF9FAFB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2" borderId="1" xfId="0" applyFill="1" applyBorder="1"/>
    <xf numFmtId="0" fontId="8" fillId="0" borderId="1" xfId="0" applyFont="1" applyBorder="1"/>
    <xf numFmtId="0" fontId="7" fillId="2" borderId="1" xfId="0" applyFont="1" applyFill="1" applyBorder="1"/>
    <xf numFmtId="164" fontId="8" fillId="0" borderId="1" xfId="1" applyNumberFormat="1" applyFont="1" applyBorder="1"/>
    <xf numFmtId="165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Monétaire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numFmt numFmtId="166" formatCode="_-* #,##0.0\ [$CFA-280C]_-;\-* #,##0.0\ [$CFA-280C]_-;_-* &quot;-&quot;?\ [$CFA-280C]_-;_-@_-"/>
    </dxf>
    <dxf>
      <numFmt numFmtId="0" formatCode="General"/>
    </dxf>
    <dxf>
      <numFmt numFmtId="165" formatCode="_-* #,##0\ [$CFA-280C]_-;\-* #,##0\ [$CFA-280C]_-;_-* &quot;-&quot;\ [$CFA-280C]_-;_-@_-"/>
    </dxf>
    <dxf>
      <numFmt numFmtId="165" formatCode="_-* #,##0\ [$CFA-280C]_-;\-* #,##0\ [$CFA-280C]_-;_-* &quot;-&quot;\ [$CFA-280C]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[jour16_tcd.xlsx]TCD!Tableau croisé dynamique8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TCD!$B$26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TCD!$A$27:$A$56</c:f>
              <c:strCache>
                <c:ptCount val="29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16/09/2026</c:v>
                </c:pt>
                <c:pt idx="16">
                  <c:v>17/09/2026</c:v>
                </c:pt>
                <c:pt idx="17">
                  <c:v>18/09/2026</c:v>
                </c:pt>
                <c:pt idx="18">
                  <c:v>19/09/2026</c:v>
                </c:pt>
                <c:pt idx="19">
                  <c:v>20/09/2026</c:v>
                </c:pt>
                <c:pt idx="20">
                  <c:v>21/09/2026</c:v>
                </c:pt>
                <c:pt idx="21">
                  <c:v>22/09/2026</c:v>
                </c:pt>
                <c:pt idx="22">
                  <c:v>23/09/2026</c:v>
                </c:pt>
                <c:pt idx="23">
                  <c:v>24/09/2026</c:v>
                </c:pt>
                <c:pt idx="24">
                  <c:v>25/09/2026</c:v>
                </c:pt>
                <c:pt idx="25">
                  <c:v>26/09/2026</c:v>
                </c:pt>
                <c:pt idx="26">
                  <c:v>28/09/2026</c:v>
                </c:pt>
                <c:pt idx="27">
                  <c:v>29/09/2026</c:v>
                </c:pt>
                <c:pt idx="28">
                  <c:v>30/09/2026</c:v>
                </c:pt>
              </c:strCache>
            </c:strRef>
          </c:cat>
          <c:val>
            <c:numRef>
              <c:f>TCD!$B$27:$B$56</c:f>
              <c:numCache>
                <c:formatCode>_-* #\ ##0\ [$CFA-280C]_-;\-* #\ ##0\ [$CFA-280C]_-;_-* "-"\ [$CFA-280C]_-;_-@_-</c:formatCode>
                <c:ptCount val="29"/>
                <c:pt idx="0">
                  <c:v>3799406</c:v>
                </c:pt>
                <c:pt idx="1">
                  <c:v>327240</c:v>
                </c:pt>
                <c:pt idx="2">
                  <c:v>3732733</c:v>
                </c:pt>
                <c:pt idx="3">
                  <c:v>7148564</c:v>
                </c:pt>
                <c:pt idx="4">
                  <c:v>4989226</c:v>
                </c:pt>
                <c:pt idx="5">
                  <c:v>5237752</c:v>
                </c:pt>
                <c:pt idx="6">
                  <c:v>2674483</c:v>
                </c:pt>
                <c:pt idx="7">
                  <c:v>3627813</c:v>
                </c:pt>
                <c:pt idx="8">
                  <c:v>5085054</c:v>
                </c:pt>
                <c:pt idx="9">
                  <c:v>8783075</c:v>
                </c:pt>
                <c:pt idx="10">
                  <c:v>4938555</c:v>
                </c:pt>
                <c:pt idx="11">
                  <c:v>3176305</c:v>
                </c:pt>
                <c:pt idx="12">
                  <c:v>8537245</c:v>
                </c:pt>
                <c:pt idx="13">
                  <c:v>388182</c:v>
                </c:pt>
                <c:pt idx="14">
                  <c:v>8353687</c:v>
                </c:pt>
                <c:pt idx="15">
                  <c:v>560517</c:v>
                </c:pt>
                <c:pt idx="16">
                  <c:v>8961621</c:v>
                </c:pt>
                <c:pt idx="17">
                  <c:v>11598569</c:v>
                </c:pt>
                <c:pt idx="18">
                  <c:v>5473896</c:v>
                </c:pt>
                <c:pt idx="19">
                  <c:v>4151077</c:v>
                </c:pt>
                <c:pt idx="20">
                  <c:v>2103101</c:v>
                </c:pt>
                <c:pt idx="21">
                  <c:v>2723021</c:v>
                </c:pt>
                <c:pt idx="22">
                  <c:v>8237905</c:v>
                </c:pt>
                <c:pt idx="23">
                  <c:v>523634</c:v>
                </c:pt>
                <c:pt idx="24">
                  <c:v>4889066</c:v>
                </c:pt>
                <c:pt idx="25">
                  <c:v>5249925</c:v>
                </c:pt>
                <c:pt idx="26">
                  <c:v>507192</c:v>
                </c:pt>
                <c:pt idx="27">
                  <c:v>7031413</c:v>
                </c:pt>
                <c:pt idx="28">
                  <c:v>3036162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8-4B96-A572-583EA6CE1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435919"/>
        <c:axId val="1308690847"/>
      </c:lineChart>
      <c:catAx>
        <c:axId val="147743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8690847"/>
        <c:crosses val="autoZero"/>
        <c:auto val="1"/>
        <c:lblAlgn val="ctr"/>
        <c:lblOffset val="100"/>
        <c:noMultiLvlLbl val="0"/>
      </c:catAx>
      <c:valAx>
        <c:axId val="13086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[$CFA-280C]_-;\-* #\ ##0\ [$CFA-280C]_-;_-* &quot;-&quot;\ [$CFA-28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743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297655</xdr:colOff>
      <xdr:row>24</xdr:row>
      <xdr:rowOff>152400</xdr:rowOff>
    </xdr:from>
    <xdr:to>
      <xdr:col>5</xdr:col>
      <xdr:colOff>950118</xdr:colOff>
      <xdr:row>40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B9C73A-DDB0-F8D9-994A-991F96A08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509587</xdr:colOff>
      <xdr:row>40</xdr:row>
      <xdr:rowOff>166687</xdr:rowOff>
    </xdr:from>
    <xdr:to>
      <xdr:col>4</xdr:col>
      <xdr:colOff>4761</xdr:colOff>
      <xdr:row>55</xdr:row>
      <xdr:rowOff>47629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égorie">
              <a:extLst>
                <a:ext uri="{FF2B5EF4-FFF2-40B4-BE49-F238E27FC236}">
                  <a16:creationId xmlns:a16="http://schemas.microsoft.com/office/drawing/2014/main" id="{D0A397D9-67D9-1215-32E5-5E600F74A1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298" y="7433182"/>
              <a:ext cx="1832236" cy="26058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314325</xdr:colOff>
      <xdr:row>40</xdr:row>
      <xdr:rowOff>176212</xdr:rowOff>
    </xdr:from>
    <xdr:to>
      <xdr:col>5</xdr:col>
      <xdr:colOff>557213</xdr:colOff>
      <xdr:row>55</xdr:row>
      <xdr:rowOff>57154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Vendeur">
              <a:extLst>
                <a:ext uri="{FF2B5EF4-FFF2-40B4-BE49-F238E27FC236}">
                  <a16:creationId xmlns:a16="http://schemas.microsoft.com/office/drawing/2014/main" id="{0F3A242F-5A81-08AF-3BFD-205F96B3DF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u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98" y="7442707"/>
              <a:ext cx="1828752" cy="26058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ou DJIGO" refreshedDate="46267.347258680558" createdVersion="8" refreshedVersion="8" minRefreshableVersion="3" recordCount="99" xr:uid="{00E13D9B-C898-42E4-881E-4E7C8D730855}">
  <cacheSource type="worksheet">
    <worksheetSource name="tblVentes"/>
  </cacheSource>
  <cacheFields count="10">
    <cacheField name="Date" numFmtId="14">
      <sharedItems containsSemiMixedTypes="0" containsNonDate="0" containsDate="1" containsString="0" minDate="2026-09-01T00:00:00" maxDate="2026-10-01T00:00:00" count="29">
        <d v="2026-09-13T00:00:00"/>
        <d v="2026-09-21T00:00:00"/>
        <d v="2026-09-17T00:00:00"/>
        <d v="2026-09-10T00:00:00"/>
        <d v="2026-09-06T00:00:00"/>
        <d v="2026-09-16T00:00:00"/>
        <d v="2026-09-30T00:00:00"/>
        <d v="2026-09-25T00:00:00"/>
        <d v="2026-09-08T00:00:00"/>
        <d v="2026-09-15T00:00:00"/>
        <d v="2026-09-01T00:00:00"/>
        <d v="2026-09-29T00:00:00"/>
        <d v="2026-09-23T00:00:00"/>
        <d v="2026-09-04T00:00:00"/>
        <d v="2026-09-12T00:00:00"/>
        <d v="2026-09-11T00:00:00"/>
        <d v="2026-09-05T00:00:00"/>
        <d v="2026-09-26T00:00:00"/>
        <d v="2026-09-09T00:00:00"/>
        <d v="2026-09-18T00:00:00"/>
        <d v="2026-09-03T00:00:00"/>
        <d v="2026-09-02T00:00:00"/>
        <d v="2026-09-28T00:00:00"/>
        <d v="2026-09-20T00:00:00"/>
        <d v="2026-09-19T00:00:00"/>
        <d v="2026-09-07T00:00:00"/>
        <d v="2026-09-22T00:00:00"/>
        <d v="2026-09-24T00:00:00"/>
        <d v="2026-09-14T00:00:00"/>
      </sharedItems>
    </cacheField>
    <cacheField name="Vente_ID" numFmtId="0">
      <sharedItems/>
    </cacheField>
    <cacheField name="Produit" numFmtId="0">
      <sharedItems/>
    </cacheField>
    <cacheField name="Catégorie" numFmtId="0">
      <sharedItems count="5">
        <s v="Stockage"/>
        <s v="Périphériques"/>
        <s v="Audio"/>
        <s v="Informatique"/>
        <s v="Accessoires"/>
      </sharedItems>
    </cacheField>
    <cacheField name="Vendeur" numFmtId="0">
      <sharedItems count="8">
        <s v="Cheikh Ba"/>
        <s v="Fatou Fall"/>
        <s v="Mariama Sow"/>
        <s v="Ousmane Ndiaye"/>
        <s v="Mamadou Diop"/>
        <s v="Awa Ndiaye"/>
        <s v="Sokhna Diallo"/>
        <s v="Abdoulaye Gueye"/>
      </sharedItems>
    </cacheField>
    <cacheField name="Quantité" numFmtId="0">
      <sharedItems containsSemiMixedTypes="0" containsString="0" containsNumber="1" containsInteger="1" minValue="1" maxValue="10"/>
    </cacheField>
    <cacheField name="Prix_Unitaire" numFmtId="165">
      <sharedItems containsSemiMixedTypes="0" containsString="0" containsNumber="1" containsInteger="1" minValue="5871" maxValue="495142" count="99">
        <n v="91800"/>
        <n v="57366"/>
        <n v="468193"/>
        <n v="482949"/>
        <n v="495142"/>
        <n v="14774"/>
        <n v="83202"/>
        <n v="201668"/>
        <n v="450224"/>
        <n v="52627"/>
        <n v="414823"/>
        <n v="346603"/>
        <n v="236416"/>
        <n v="98566"/>
        <n v="413969"/>
        <n v="232073"/>
        <n v="139063"/>
        <n v="49149"/>
        <n v="407549"/>
        <n v="177851"/>
        <n v="424002"/>
        <n v="321185"/>
        <n v="165903"/>
        <n v="47799"/>
        <n v="160025"/>
        <n v="270871"/>
        <n v="326294"/>
        <n v="456647"/>
        <n v="287854"/>
        <n v="387162"/>
        <n v="407428"/>
        <n v="262291"/>
        <n v="69658"/>
        <n v="427789"/>
        <n v="53023"/>
        <n v="433035"/>
        <n v="277037"/>
        <n v="129369"/>
        <n v="402408"/>
        <n v="299900"/>
        <n v="109080"/>
        <n v="84532"/>
        <n v="128241"/>
        <n v="276138"/>
        <n v="160023"/>
        <n v="372765"/>
        <n v="65089"/>
        <n v="112194"/>
        <n v="310864"/>
        <n v="389546"/>
        <n v="133834"/>
        <n v="106641"/>
        <n v="252737"/>
        <n v="273999"/>
        <n v="372693"/>
        <n v="288600"/>
        <n v="244241"/>
        <n v="217085"/>
        <n v="34978"/>
        <n v="53825"/>
        <n v="377914"/>
        <n v="464611"/>
        <n v="169918"/>
        <n v="420586"/>
        <n v="62203"/>
        <n v="353855"/>
        <n v="191778"/>
        <n v="5871"/>
        <n v="404298"/>
        <n v="116538"/>
        <n v="243077"/>
        <n v="378403"/>
        <n v="118113"/>
        <n v="374092"/>
        <n v="366756"/>
        <n v="484809"/>
        <n v="361366"/>
        <n v="357681"/>
        <n v="398443"/>
        <n v="321066"/>
        <n v="150083"/>
        <n v="382069"/>
        <n v="35033"/>
        <n v="52111"/>
        <n v="477386"/>
        <n v="159115"/>
        <n v="19064"/>
        <n v="178499"/>
        <n v="389003"/>
        <n v="15408"/>
        <n v="59410"/>
        <n v="420340"/>
        <n v="261817"/>
        <n v="30487"/>
        <n v="388226"/>
        <n v="51245"/>
        <n v="388182"/>
        <n v="326556"/>
        <n v="115151"/>
      </sharedItems>
    </cacheField>
    <cacheField name="Chiffre_Affaires" numFmtId="165">
      <sharedItems containsSemiMixedTypes="0" containsString="0" containsNumber="1" containsInteger="1" minValue="41097" maxValue="4681930" count="99">
        <n v="183600"/>
        <n v="401562"/>
        <n v="4681930"/>
        <n v="2414745"/>
        <n v="2970852"/>
        <n v="88644"/>
        <n v="249606"/>
        <n v="1815012"/>
        <n v="2701344"/>
        <n v="368389"/>
        <n v="2903761"/>
        <n v="1733015"/>
        <n v="1654912"/>
        <n v="788528"/>
        <n v="1655876"/>
        <n v="928292"/>
        <n v="556252"/>
        <n v="196596"/>
        <n v="407549"/>
        <n v="711404"/>
        <n v="1272006"/>
        <n v="2890665"/>
        <n v="829515"/>
        <n v="430191"/>
        <n v="1440225"/>
        <n v="812613"/>
        <n v="1631470"/>
        <n v="4566470"/>
        <n v="1151416"/>
        <n v="2322972"/>
        <n v="3259424"/>
        <n v="1311455"/>
        <n v="278632"/>
        <n v="3422312"/>
        <n v="318138"/>
        <n v="3031245"/>
        <n v="2216296"/>
        <n v="646845"/>
        <n v="3621672"/>
        <n v="2999000"/>
        <n v="327240"/>
        <n v="507192"/>
        <n v="384723"/>
        <n v="2485242"/>
        <n v="960138"/>
        <n v="1118295"/>
        <n v="390534"/>
        <n v="673164"/>
        <n v="621728"/>
        <n v="3116368"/>
        <n v="401502"/>
        <n v="426564"/>
        <n v="2527370"/>
        <n v="1643994"/>
        <n v="745386"/>
        <n v="2886000"/>
        <n v="732723"/>
        <n v="1736680"/>
        <n v="174890"/>
        <n v="430600"/>
        <n v="377914"/>
        <n v="3252277"/>
        <n v="1019508"/>
        <n v="3364688"/>
        <n v="248812"/>
        <n v="2830840"/>
        <n v="575334"/>
        <n v="41097"/>
        <n v="3638682"/>
        <n v="233076"/>
        <n v="1701539"/>
        <n v="1135209"/>
        <n v="236226"/>
        <n v="1496368"/>
        <n v="1467024"/>
        <n v="969618"/>
        <n v="722732"/>
        <n v="2861448"/>
        <n v="2789101"/>
        <n v="2889594"/>
        <n v="600332"/>
        <n v="2674483"/>
        <n v="210198"/>
        <n v="364777"/>
        <n v="477386"/>
        <n v="159115"/>
        <n v="171576"/>
        <n v="713996"/>
        <n v="2723021"/>
        <n v="61632"/>
        <n v="534690"/>
        <n v="1681360"/>
        <n v="523634"/>
        <n v="121948"/>
        <n v="1552904"/>
        <n v="153735"/>
        <n v="388182"/>
        <n v="2612448"/>
        <n v="115151"/>
      </sharedItems>
    </cacheField>
    <cacheField name="Remise" numFmtId="0">
      <sharedItems containsSemiMixedTypes="0" containsString="0" containsNumber="1" minValue="4.3559578538442941E-4" maxValue="0.14941262645913844"/>
    </cacheField>
    <cacheField name="Montant_Net" numFmtId="166">
      <sharedItems containsSemiMixedTypes="0" containsString="0" containsNumber="1" minValue="40094.790916037127" maxValue="4548894.1268826528"/>
    </cacheField>
  </cacheFields>
  <extLst>
    <ext xmlns:x14="http://schemas.microsoft.com/office/spreadsheetml/2009/9/main" uri="{725AE2AE-9491-48be-B2B4-4EB974FC3084}">
      <x14:pivotCacheDefinition pivotCacheId="11076192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s v="V0001"/>
    <s v="Souris"/>
    <x v="0"/>
    <x v="0"/>
    <n v="2"/>
    <x v="0"/>
    <x v="0"/>
    <n v="0.10232643301900414"/>
    <n v="164812.86689771083"/>
  </r>
  <r>
    <x v="1"/>
    <s v="V0002"/>
    <s v="Casque"/>
    <x v="0"/>
    <x v="1"/>
    <n v="7"/>
    <x v="1"/>
    <x v="1"/>
    <n v="0.11227592166211807"/>
    <n v="356476.25634551654"/>
  </r>
  <r>
    <x v="2"/>
    <s v="V0003"/>
    <s v="Laptop"/>
    <x v="1"/>
    <x v="0"/>
    <n v="10"/>
    <x v="2"/>
    <x v="2"/>
    <n v="0.13143119598463837"/>
    <n v="4066578.340583642"/>
  </r>
  <r>
    <x v="3"/>
    <s v="V0004"/>
    <s v="Casque"/>
    <x v="1"/>
    <x v="2"/>
    <n v="5"/>
    <x v="3"/>
    <x v="3"/>
    <n v="4.4988197399249738E-2"/>
    <n v="2306109.9752711486"/>
  </r>
  <r>
    <x v="4"/>
    <s v="V0005"/>
    <s v="Clavier"/>
    <x v="0"/>
    <x v="3"/>
    <n v="6"/>
    <x v="4"/>
    <x v="4"/>
    <n v="0.10029329183157482"/>
    <n v="2672895.4733755821"/>
  </r>
  <r>
    <x v="5"/>
    <s v="V0006"/>
    <s v="Tablette"/>
    <x v="2"/>
    <x v="0"/>
    <n v="6"/>
    <x v="5"/>
    <x v="5"/>
    <n v="0.13279640947883448"/>
    <n v="76872.395078158195"/>
  </r>
  <r>
    <x v="6"/>
    <s v="V0007"/>
    <s v="Carte graphique"/>
    <x v="2"/>
    <x v="3"/>
    <n v="3"/>
    <x v="6"/>
    <x v="6"/>
    <n v="7.0342605774553313E-2"/>
    <n v="232048.06354303684"/>
  </r>
  <r>
    <x v="6"/>
    <s v="V0008"/>
    <s v="Clavier"/>
    <x v="3"/>
    <x v="0"/>
    <n v="9"/>
    <x v="7"/>
    <x v="7"/>
    <n v="8.6647461838702963E-2"/>
    <n v="1657745.8169932121"/>
  </r>
  <r>
    <x v="7"/>
    <s v="V0009"/>
    <s v="Clavier"/>
    <x v="2"/>
    <x v="3"/>
    <n v="6"/>
    <x v="8"/>
    <x v="8"/>
    <n v="0.10431627111698795"/>
    <n v="2419549.8669157512"/>
  </r>
  <r>
    <x v="8"/>
    <s v="V0010"/>
    <s v="Disque dur"/>
    <x v="1"/>
    <x v="3"/>
    <n v="7"/>
    <x v="9"/>
    <x v="9"/>
    <n v="3.3213579820160578E-2"/>
    <n v="356153.48254363087"/>
  </r>
  <r>
    <x v="3"/>
    <s v="V0011"/>
    <s v="Souris"/>
    <x v="4"/>
    <x v="2"/>
    <n v="7"/>
    <x v="10"/>
    <x v="10"/>
    <n v="4.9703859142532343E-2"/>
    <n v="2759432.8722724211"/>
  </r>
  <r>
    <x v="9"/>
    <s v="V0012"/>
    <s v="Imprimante"/>
    <x v="3"/>
    <x v="4"/>
    <n v="5"/>
    <x v="11"/>
    <x v="11"/>
    <n v="0.11398667945444969"/>
    <n v="1535474.3747052469"/>
  </r>
  <r>
    <x v="10"/>
    <s v="V0013"/>
    <s v="Laptop"/>
    <x v="4"/>
    <x v="3"/>
    <n v="7"/>
    <x v="12"/>
    <x v="12"/>
    <n v="5.8412726292107447E-2"/>
    <n v="1558244.0783064759"/>
  </r>
  <r>
    <x v="11"/>
    <s v="V0014"/>
    <s v="Carte graphique"/>
    <x v="1"/>
    <x v="2"/>
    <n v="8"/>
    <x v="13"/>
    <x v="13"/>
    <n v="0.11189300756120325"/>
    <n v="700297.23053377948"/>
  </r>
  <r>
    <x v="12"/>
    <s v="V0015"/>
    <s v="Clavier"/>
    <x v="0"/>
    <x v="4"/>
    <n v="4"/>
    <x v="14"/>
    <x v="14"/>
    <n v="4.9335528300729542E-2"/>
    <n v="1574182.4827395012"/>
  </r>
  <r>
    <x v="13"/>
    <s v="V0016"/>
    <s v="Souris"/>
    <x v="0"/>
    <x v="5"/>
    <n v="4"/>
    <x v="15"/>
    <x v="15"/>
    <n v="6.1990838067846554E-2"/>
    <n v="870746.40094832261"/>
  </r>
  <r>
    <x v="7"/>
    <s v="V0017"/>
    <s v="Imprimante"/>
    <x v="3"/>
    <x v="5"/>
    <n v="4"/>
    <x v="16"/>
    <x v="16"/>
    <n v="0.12684253919329413"/>
    <n v="485695.58388865174"/>
  </r>
  <r>
    <x v="14"/>
    <s v="V0018"/>
    <s v="Disque dur"/>
    <x v="1"/>
    <x v="0"/>
    <n v="4"/>
    <x v="17"/>
    <x v="17"/>
    <n v="4.9348079817035095E-2"/>
    <n v="186894.36490029015"/>
  </r>
  <r>
    <x v="15"/>
    <s v="V0019"/>
    <s v="Disque dur"/>
    <x v="1"/>
    <x v="4"/>
    <n v="1"/>
    <x v="18"/>
    <x v="18"/>
    <n v="4.9424758404483009E-2"/>
    <n v="387405.98913701135"/>
  </r>
  <r>
    <x v="16"/>
    <s v="V0020"/>
    <s v="Casque"/>
    <x v="2"/>
    <x v="1"/>
    <n v="4"/>
    <x v="19"/>
    <x v="19"/>
    <n v="0.12139656435476519"/>
    <n v="625041.99853176263"/>
  </r>
  <r>
    <x v="16"/>
    <s v="V0021"/>
    <s v="Casque"/>
    <x v="3"/>
    <x v="1"/>
    <n v="3"/>
    <x v="20"/>
    <x v="20"/>
    <n v="1.2117797894859112E-2"/>
    <n v="1256592.0883709518"/>
  </r>
  <r>
    <x v="16"/>
    <s v="V0022"/>
    <s v="Imprimante"/>
    <x v="1"/>
    <x v="5"/>
    <n v="9"/>
    <x v="21"/>
    <x v="21"/>
    <n v="8.4255227186516859E-2"/>
    <n v="2647111.3637048872"/>
  </r>
  <r>
    <x v="11"/>
    <s v="V0023"/>
    <s v="Laptop"/>
    <x v="1"/>
    <x v="2"/>
    <n v="5"/>
    <x v="22"/>
    <x v="22"/>
    <n v="6.8113274003085686E-2"/>
    <n v="773014.01751533046"/>
  </r>
  <r>
    <x v="17"/>
    <s v="V0024"/>
    <s v="Clavier"/>
    <x v="0"/>
    <x v="0"/>
    <n v="9"/>
    <x v="23"/>
    <x v="23"/>
    <n v="1.1382026714289905E-2"/>
    <n v="425294.55454575294"/>
  </r>
  <r>
    <x v="12"/>
    <s v="V0025"/>
    <s v="Souris"/>
    <x v="2"/>
    <x v="6"/>
    <n v="9"/>
    <x v="24"/>
    <x v="24"/>
    <n v="3.5845690384638786E-2"/>
    <n v="1388599.1405657835"/>
  </r>
  <r>
    <x v="13"/>
    <s v="V0026"/>
    <s v="RAM"/>
    <x v="1"/>
    <x v="2"/>
    <n v="3"/>
    <x v="25"/>
    <x v="25"/>
    <n v="7.1882450624496941E-2"/>
    <n v="754200.38615067571"/>
  </r>
  <r>
    <x v="7"/>
    <s v="V0027"/>
    <s v="RAM"/>
    <x v="4"/>
    <x v="5"/>
    <n v="5"/>
    <x v="26"/>
    <x v="26"/>
    <n v="7.7047361274093298E-2"/>
    <n v="1505769.5415021551"/>
  </r>
  <r>
    <x v="12"/>
    <s v="V0028"/>
    <s v="Imprimante"/>
    <x v="2"/>
    <x v="1"/>
    <n v="10"/>
    <x v="27"/>
    <x v="27"/>
    <n v="3.8488970949873912E-3"/>
    <n v="4548894.1268826528"/>
  </r>
  <r>
    <x v="18"/>
    <s v="V0029"/>
    <s v="Carte graphique"/>
    <x v="4"/>
    <x v="4"/>
    <n v="4"/>
    <x v="28"/>
    <x v="28"/>
    <n v="1.3894893104361759E-3"/>
    <n v="1149816.1197761348"/>
  </r>
  <r>
    <x v="19"/>
    <s v="V0030"/>
    <s v="Écran"/>
    <x v="4"/>
    <x v="1"/>
    <n v="6"/>
    <x v="29"/>
    <x v="29"/>
    <n v="5.1722833576561787E-2"/>
    <n v="2202821.3058409872"/>
  </r>
  <r>
    <x v="8"/>
    <s v="V0031"/>
    <s v="Clavier"/>
    <x v="4"/>
    <x v="7"/>
    <n v="8"/>
    <x v="30"/>
    <x v="30"/>
    <n v="2.4499351808237417E-2"/>
    <n v="3179570.2247317876"/>
  </r>
  <r>
    <x v="19"/>
    <s v="V0032"/>
    <s v="Casque"/>
    <x v="3"/>
    <x v="4"/>
    <n v="5"/>
    <x v="31"/>
    <x v="31"/>
    <n v="0.14684385054541954"/>
    <n v="1118875.8979829568"/>
  </r>
  <r>
    <x v="19"/>
    <s v="V0033"/>
    <s v="RAM"/>
    <x v="2"/>
    <x v="4"/>
    <n v="4"/>
    <x v="32"/>
    <x v="32"/>
    <n v="2.4761977060429705E-3"/>
    <n v="277942.05208076985"/>
  </r>
  <r>
    <x v="17"/>
    <s v="V0034"/>
    <s v="RAM"/>
    <x v="1"/>
    <x v="0"/>
    <n v="8"/>
    <x v="33"/>
    <x v="33"/>
    <n v="7.3255244277829201E-2"/>
    <n v="3171609.6984450538"/>
  </r>
  <r>
    <x v="5"/>
    <s v="V0035"/>
    <s v="Disque dur"/>
    <x v="4"/>
    <x v="6"/>
    <n v="6"/>
    <x v="34"/>
    <x v="34"/>
    <n v="4.0406844381243642E-3"/>
    <n v="316852.504734224"/>
  </r>
  <r>
    <x v="13"/>
    <s v="V0036"/>
    <s v="Clavier"/>
    <x v="1"/>
    <x v="2"/>
    <n v="7"/>
    <x v="35"/>
    <x v="35"/>
    <n v="3.7292390133011513E-2"/>
    <n v="2918202.6288712593"/>
  </r>
  <r>
    <x v="20"/>
    <s v="V0037"/>
    <s v="Imprimante"/>
    <x v="2"/>
    <x v="4"/>
    <n v="8"/>
    <x v="36"/>
    <x v="36"/>
    <n v="8.1872653059738953E-2"/>
    <n v="2034841.9665143129"/>
  </r>
  <r>
    <x v="18"/>
    <s v="V0038"/>
    <s v="Imprimante"/>
    <x v="3"/>
    <x v="2"/>
    <n v="5"/>
    <x v="37"/>
    <x v="37"/>
    <n v="8.4244976809329172E-2"/>
    <n v="592351.55797576951"/>
  </r>
  <r>
    <x v="9"/>
    <s v="V0039"/>
    <s v="Écran"/>
    <x v="1"/>
    <x v="6"/>
    <n v="9"/>
    <x v="38"/>
    <x v="38"/>
    <n v="9.125113910882697E-2"/>
    <n v="3291190.3045214564"/>
  </r>
  <r>
    <x v="9"/>
    <s v="V0040"/>
    <s v="RAM"/>
    <x v="1"/>
    <x v="1"/>
    <n v="10"/>
    <x v="39"/>
    <x v="39"/>
    <n v="0.12164073909305026"/>
    <n v="2634199.423459942"/>
  </r>
  <r>
    <x v="21"/>
    <s v="V0041"/>
    <s v="RAM"/>
    <x v="0"/>
    <x v="0"/>
    <n v="3"/>
    <x v="40"/>
    <x v="40"/>
    <n v="0.11440308777862676"/>
    <n v="289802.73355532216"/>
  </r>
  <r>
    <x v="22"/>
    <s v="V0042"/>
    <s v="Laptop"/>
    <x v="2"/>
    <x v="0"/>
    <n v="6"/>
    <x v="41"/>
    <x v="41"/>
    <n v="3.2504174605200074E-2"/>
    <n v="490706.14267363935"/>
  </r>
  <r>
    <x v="20"/>
    <s v="V0043"/>
    <s v="Souris"/>
    <x v="2"/>
    <x v="3"/>
    <n v="3"/>
    <x v="42"/>
    <x v="42"/>
    <n v="0.13858880323977649"/>
    <n v="331404.69985118345"/>
  </r>
  <r>
    <x v="19"/>
    <s v="V0044"/>
    <s v="Souris"/>
    <x v="4"/>
    <x v="3"/>
    <n v="9"/>
    <x v="43"/>
    <x v="43"/>
    <n v="6.6711142865980469E-2"/>
    <n v="2319448.6658814652"/>
  </r>
  <r>
    <x v="20"/>
    <s v="V0045"/>
    <s v="Tablette"/>
    <x v="3"/>
    <x v="3"/>
    <n v="6"/>
    <x v="44"/>
    <x v="44"/>
    <n v="0.1271733124521687"/>
    <n v="838034.07012879965"/>
  </r>
  <r>
    <x v="15"/>
    <s v="V0046"/>
    <s v="Imprimante"/>
    <x v="2"/>
    <x v="2"/>
    <n v="3"/>
    <x v="45"/>
    <x v="45"/>
    <n v="0.1426504475741153"/>
    <n v="958769.71773010481"/>
  </r>
  <r>
    <x v="15"/>
    <s v="V0047"/>
    <s v="Tablette"/>
    <x v="2"/>
    <x v="1"/>
    <n v="6"/>
    <x v="46"/>
    <x v="46"/>
    <n v="6.127434303281476E-2"/>
    <n v="366604.28571802273"/>
  </r>
  <r>
    <x v="13"/>
    <s v="V0048"/>
    <s v="Imprimante"/>
    <x v="0"/>
    <x v="2"/>
    <n v="6"/>
    <x v="47"/>
    <x v="47"/>
    <n v="7.3674970297240738E-2"/>
    <n v="623568.66229482822"/>
  </r>
  <r>
    <x v="14"/>
    <s v="V0049"/>
    <s v="RAM"/>
    <x v="2"/>
    <x v="5"/>
    <n v="2"/>
    <x v="48"/>
    <x v="48"/>
    <n v="0.10158489721494791"/>
    <n v="558569.82502434484"/>
  </r>
  <r>
    <x v="2"/>
    <s v="V0050"/>
    <s v="Carte graphique"/>
    <x v="1"/>
    <x v="6"/>
    <n v="8"/>
    <x v="49"/>
    <x v="49"/>
    <n v="0.10869213215121677"/>
    <n v="2777643.3175121769"/>
  </r>
  <r>
    <x v="10"/>
    <s v="V0051"/>
    <s v="Écran"/>
    <x v="3"/>
    <x v="2"/>
    <n v="3"/>
    <x v="50"/>
    <x v="50"/>
    <n v="4.2513063754978743E-2"/>
    <n v="384432.91987624852"/>
  </r>
  <r>
    <x v="19"/>
    <s v="V0052"/>
    <s v="Disque dur"/>
    <x v="0"/>
    <x v="0"/>
    <n v="4"/>
    <x v="51"/>
    <x v="51"/>
    <n v="0.12316328437243243"/>
    <n v="374026.97676495777"/>
  </r>
  <r>
    <x v="11"/>
    <s v="V0053"/>
    <s v="Écran"/>
    <x v="4"/>
    <x v="5"/>
    <n v="10"/>
    <x v="52"/>
    <x v="52"/>
    <n v="0.10560607440885947"/>
    <n v="2260464.3757212809"/>
  </r>
  <r>
    <x v="23"/>
    <s v="V0054"/>
    <s v="Casque"/>
    <x v="0"/>
    <x v="3"/>
    <n v="6"/>
    <x v="53"/>
    <x v="53"/>
    <n v="0.14941262645913844"/>
    <n v="1398360.5385769352"/>
  </r>
  <r>
    <x v="14"/>
    <s v="V0055"/>
    <s v="RAM"/>
    <x v="2"/>
    <x v="7"/>
    <n v="2"/>
    <x v="54"/>
    <x v="54"/>
    <n v="3.9054222127795926E-2"/>
    <n v="716275.52958505065"/>
  </r>
  <r>
    <x v="11"/>
    <s v="V0056"/>
    <s v="Laptop"/>
    <x v="2"/>
    <x v="2"/>
    <n v="10"/>
    <x v="55"/>
    <x v="55"/>
    <n v="3.0304298892973872E-2"/>
    <n v="2798541.7933948771"/>
  </r>
  <r>
    <x v="2"/>
    <s v="V0057"/>
    <s v="Casque"/>
    <x v="3"/>
    <x v="1"/>
    <n v="3"/>
    <x v="56"/>
    <x v="56"/>
    <n v="0.14823969988049315"/>
    <n v="624104.36238446541"/>
  </r>
  <r>
    <x v="0"/>
    <s v="V0058"/>
    <s v="Laptop"/>
    <x v="1"/>
    <x v="7"/>
    <n v="8"/>
    <x v="57"/>
    <x v="57"/>
    <n v="9.169693645127415E-2"/>
    <n v="1577431.7644038012"/>
  </r>
  <r>
    <x v="18"/>
    <s v="V0059"/>
    <s v="Disque dur"/>
    <x v="4"/>
    <x v="7"/>
    <n v="5"/>
    <x v="58"/>
    <x v="58"/>
    <n v="0.12554609692263158"/>
    <n v="152933.24310920096"/>
  </r>
  <r>
    <x v="2"/>
    <s v="V0060"/>
    <s v="Carte graphique"/>
    <x v="2"/>
    <x v="6"/>
    <n v="8"/>
    <x v="59"/>
    <x v="59"/>
    <n v="5.4035425675645642E-2"/>
    <n v="407332.34570406697"/>
  </r>
  <r>
    <x v="17"/>
    <s v="V0061"/>
    <s v="Imprimante"/>
    <x v="4"/>
    <x v="6"/>
    <n v="1"/>
    <x v="60"/>
    <x v="60"/>
    <n v="1.9773899027483364E-2"/>
    <n v="370441.16672292765"/>
  </r>
  <r>
    <x v="0"/>
    <s v="V0062"/>
    <s v="RAM"/>
    <x v="3"/>
    <x v="2"/>
    <n v="7"/>
    <x v="61"/>
    <x v="61"/>
    <n v="2.2085097956482589E-2"/>
    <n v="3180450.1438733847"/>
  </r>
  <r>
    <x v="17"/>
    <s v="V0063"/>
    <s v="Tablette"/>
    <x v="4"/>
    <x v="7"/>
    <n v="6"/>
    <x v="62"/>
    <x v="62"/>
    <n v="6.1421852932297426E-2"/>
    <n v="956887.92956069938"/>
  </r>
  <r>
    <x v="0"/>
    <s v="V0064"/>
    <s v="Laptop"/>
    <x v="2"/>
    <x v="5"/>
    <n v="8"/>
    <x v="63"/>
    <x v="63"/>
    <n v="1.5637916097077036E-2"/>
    <n v="3312071.2913631583"/>
  </r>
  <r>
    <x v="6"/>
    <s v="V0065"/>
    <s v="Laptop"/>
    <x v="0"/>
    <x v="2"/>
    <n v="4"/>
    <x v="64"/>
    <x v="64"/>
    <n v="4.3215827992739543E-3"/>
    <n v="247736.73834054705"/>
  </r>
  <r>
    <x v="18"/>
    <s v="V0066"/>
    <s v="Casque"/>
    <x v="0"/>
    <x v="5"/>
    <n v="8"/>
    <x v="65"/>
    <x v="65"/>
    <n v="2.8783034975232456E-2"/>
    <n v="2749359.8332707128"/>
  </r>
  <r>
    <x v="12"/>
    <s v="V0067"/>
    <s v="Clavier"/>
    <x v="0"/>
    <x v="4"/>
    <n v="3"/>
    <x v="66"/>
    <x v="66"/>
    <n v="0.12506835128031144"/>
    <n v="503377.9251844933"/>
  </r>
  <r>
    <x v="23"/>
    <s v="V0068"/>
    <s v="Carte graphique"/>
    <x v="4"/>
    <x v="1"/>
    <n v="7"/>
    <x v="67"/>
    <x v="67"/>
    <n v="2.4386429276172728E-2"/>
    <n v="40094.790916037127"/>
  </r>
  <r>
    <x v="19"/>
    <s v="V0069"/>
    <s v="Tablette"/>
    <x v="3"/>
    <x v="6"/>
    <n v="9"/>
    <x v="68"/>
    <x v="68"/>
    <n v="9.7564777596982261E-2"/>
    <n v="3283674.7999238577"/>
  </r>
  <r>
    <x v="15"/>
    <s v="V0070"/>
    <s v="Souris"/>
    <x v="4"/>
    <x v="3"/>
    <n v="2"/>
    <x v="69"/>
    <x v="69"/>
    <n v="0.13638281013671605"/>
    <n v="201288.44014457476"/>
  </r>
  <r>
    <x v="1"/>
    <s v="V0071"/>
    <s v="Écran"/>
    <x v="2"/>
    <x v="6"/>
    <n v="7"/>
    <x v="70"/>
    <x v="70"/>
    <n v="2.433795117830017E-2"/>
    <n v="1660127.0268900264"/>
  </r>
  <r>
    <x v="14"/>
    <s v="V0072"/>
    <s v="Souris"/>
    <x v="3"/>
    <x v="4"/>
    <n v="3"/>
    <x v="71"/>
    <x v="71"/>
    <n v="8.3905093738483413E-2"/>
    <n v="1039959.1824422299"/>
  </r>
  <r>
    <x v="13"/>
    <s v="V0073"/>
    <s v="Tablette"/>
    <x v="3"/>
    <x v="5"/>
    <n v="2"/>
    <x v="72"/>
    <x v="72"/>
    <n v="8.6008834379651941E-2"/>
    <n v="215908.47708983236"/>
  </r>
  <r>
    <x v="23"/>
    <s v="V0074"/>
    <s v="Disque dur"/>
    <x v="3"/>
    <x v="3"/>
    <n v="4"/>
    <x v="73"/>
    <x v="73"/>
    <n v="2.2341407282209784E-2"/>
    <n v="1462937.0330679342"/>
  </r>
  <r>
    <x v="13"/>
    <s v="V0075"/>
    <s v="Imprimante"/>
    <x v="4"/>
    <x v="6"/>
    <n v="4"/>
    <x v="74"/>
    <x v="74"/>
    <n v="5.5206804182816926E-2"/>
    <n v="1386034.2933005074"/>
  </r>
  <r>
    <x v="23"/>
    <s v="V0076"/>
    <s v="Carte graphique"/>
    <x v="0"/>
    <x v="7"/>
    <n v="2"/>
    <x v="75"/>
    <x v="75"/>
    <n v="0.1132196322145233"/>
    <n v="859838.20665141824"/>
  </r>
  <r>
    <x v="6"/>
    <s v="V0077"/>
    <s v="Clavier"/>
    <x v="2"/>
    <x v="3"/>
    <n v="2"/>
    <x v="76"/>
    <x v="76"/>
    <n v="9.6243137773025844E-2"/>
    <n v="653174.00455102546"/>
  </r>
  <r>
    <x v="24"/>
    <s v="V0078"/>
    <s v="Laptop"/>
    <x v="3"/>
    <x v="1"/>
    <n v="8"/>
    <x v="77"/>
    <x v="77"/>
    <n v="0.13735713022903767"/>
    <n v="2468407.7144203805"/>
  </r>
  <r>
    <x v="15"/>
    <s v="V0079"/>
    <s v="Laptop"/>
    <x v="2"/>
    <x v="3"/>
    <n v="7"/>
    <x v="78"/>
    <x v="78"/>
    <n v="1.6030188326741249E-2"/>
    <n v="2744391.1857076976"/>
  </r>
  <r>
    <x v="3"/>
    <s v="V0080"/>
    <s v="Souris"/>
    <x v="4"/>
    <x v="0"/>
    <n v="9"/>
    <x v="79"/>
    <x v="79"/>
    <n v="2.0584360346686831E-2"/>
    <n v="2830113.5558483759"/>
  </r>
  <r>
    <x v="19"/>
    <s v="V0081"/>
    <s v="Tablette"/>
    <x v="0"/>
    <x v="7"/>
    <n v="4"/>
    <x v="80"/>
    <x v="80"/>
    <n v="5.9206768074959712E-2"/>
    <n v="564788.28250802332"/>
  </r>
  <r>
    <x v="25"/>
    <s v="V0082"/>
    <s v="Disque dur"/>
    <x v="2"/>
    <x v="3"/>
    <n v="7"/>
    <x v="81"/>
    <x v="81"/>
    <n v="3.4164156090846692E-2"/>
    <n v="2583111.5453256844"/>
  </r>
  <r>
    <x v="3"/>
    <s v="V0083"/>
    <s v="RAM"/>
    <x v="4"/>
    <x v="1"/>
    <n v="6"/>
    <x v="82"/>
    <x v="82"/>
    <n v="0.12814108366367255"/>
    <n v="183263.00049606338"/>
  </r>
  <r>
    <x v="3"/>
    <s v="V0084"/>
    <s v="Casque"/>
    <x v="0"/>
    <x v="6"/>
    <n v="7"/>
    <x v="83"/>
    <x v="83"/>
    <n v="3.9769265795589794E-2"/>
    <n v="350270.08653088211"/>
  </r>
  <r>
    <x v="14"/>
    <s v="V0085"/>
    <s v="Imprimante"/>
    <x v="2"/>
    <x v="5"/>
    <n v="1"/>
    <x v="84"/>
    <x v="84"/>
    <n v="0.13889795801318547"/>
    <n v="411078.05941591744"/>
  </r>
  <r>
    <x v="18"/>
    <s v="V0086"/>
    <s v="RAM"/>
    <x v="4"/>
    <x v="5"/>
    <n v="1"/>
    <x v="85"/>
    <x v="85"/>
    <n v="1.4062836620678497E-2"/>
    <n v="156877.39175110075"/>
  </r>
  <r>
    <x v="20"/>
    <s v="V0087"/>
    <s v="Carte graphique"/>
    <x v="0"/>
    <x v="6"/>
    <n v="9"/>
    <x v="86"/>
    <x v="86"/>
    <n v="0.12405063163407122"/>
    <n v="150291.88882675258"/>
  </r>
  <r>
    <x v="4"/>
    <s v="V0088"/>
    <s v="Imprimante"/>
    <x v="4"/>
    <x v="1"/>
    <n v="4"/>
    <x v="87"/>
    <x v="87"/>
    <n v="7.621593107338491E-2"/>
    <n v="659578.13007732749"/>
  </r>
  <r>
    <x v="26"/>
    <s v="V0089"/>
    <s v="Clavier"/>
    <x v="3"/>
    <x v="2"/>
    <n v="7"/>
    <x v="88"/>
    <x v="88"/>
    <n v="9.0097951186164475E-3"/>
    <n v="2698487.13868631"/>
  </r>
  <r>
    <x v="10"/>
    <s v="V0090"/>
    <s v="Clavier"/>
    <x v="4"/>
    <x v="5"/>
    <n v="4"/>
    <x v="89"/>
    <x v="89"/>
    <n v="0.13729958663428202"/>
    <n v="53169.951876555933"/>
  </r>
  <r>
    <x v="19"/>
    <s v="V0091"/>
    <s v="Carte graphique"/>
    <x v="1"/>
    <x v="1"/>
    <n v="9"/>
    <x v="90"/>
    <x v="90"/>
    <n v="4.3559578538442941E-4"/>
    <n v="534457.09128951281"/>
  </r>
  <r>
    <x v="10"/>
    <s v="V0092"/>
    <s v="Imprimante"/>
    <x v="3"/>
    <x v="0"/>
    <n v="4"/>
    <x v="91"/>
    <x v="91"/>
    <n v="8.4706304680304809E-2"/>
    <n v="1538938.2075627227"/>
  </r>
  <r>
    <x v="27"/>
    <s v="V0093"/>
    <s v="Disque dur"/>
    <x v="3"/>
    <x v="7"/>
    <n v="2"/>
    <x v="92"/>
    <x v="92"/>
    <n v="4.6513875287032998E-2"/>
    <n v="499277.75342794979"/>
  </r>
  <r>
    <x v="18"/>
    <s v="V0094"/>
    <s v="Casque"/>
    <x v="2"/>
    <x v="1"/>
    <n v="4"/>
    <x v="93"/>
    <x v="93"/>
    <n v="3.1762904402742022E-2"/>
    <n v="118074.57733389443"/>
  </r>
  <r>
    <x v="4"/>
    <s v="V0095"/>
    <s v="Imprimante"/>
    <x v="2"/>
    <x v="5"/>
    <n v="4"/>
    <x v="94"/>
    <x v="94"/>
    <n v="0.11710842633137576"/>
    <n v="1371045.8563163013"/>
  </r>
  <r>
    <x v="5"/>
    <s v="V0096"/>
    <s v="Disque dur"/>
    <x v="1"/>
    <x v="1"/>
    <n v="3"/>
    <x v="95"/>
    <x v="95"/>
    <n v="2.0969842567847442E-2"/>
    <n v="150511.20125283199"/>
  </r>
  <r>
    <x v="28"/>
    <s v="V0097"/>
    <s v="RAM"/>
    <x v="3"/>
    <x v="3"/>
    <n v="1"/>
    <x v="96"/>
    <x v="96"/>
    <n v="7.3209344303930821E-2"/>
    <n v="359763.45030941156"/>
  </r>
  <r>
    <x v="24"/>
    <s v="V0098"/>
    <s v="Souris"/>
    <x v="0"/>
    <x v="3"/>
    <n v="8"/>
    <x v="97"/>
    <x v="97"/>
    <n v="9.2869898078376048E-2"/>
    <n v="2369830.2205049424"/>
  </r>
  <r>
    <x v="16"/>
    <s v="V0099"/>
    <s v="RAM"/>
    <x v="2"/>
    <x v="5"/>
    <n v="1"/>
    <x v="98"/>
    <x v="98"/>
    <n v="4.901974029440212E-2"/>
    <n v="109506.327885359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E986B-7F1E-4565-B621-42703341F1F6}" name="Tableau croisé dynamique8" cacheId="3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26:B56" firstHeaderRow="1" firstDataRow="1" firstDataCol="1"/>
  <pivotFields count="10">
    <pivotField axis="axisRow" numFmtId="14" showAll="0">
      <items count="30">
        <item x="10"/>
        <item x="21"/>
        <item x="20"/>
        <item x="13"/>
        <item x="16"/>
        <item x="4"/>
        <item x="25"/>
        <item x="8"/>
        <item x="18"/>
        <item x="3"/>
        <item x="15"/>
        <item x="14"/>
        <item x="0"/>
        <item x="28"/>
        <item x="9"/>
        <item x="5"/>
        <item x="2"/>
        <item x="19"/>
        <item x="24"/>
        <item x="23"/>
        <item x="1"/>
        <item x="26"/>
        <item x="12"/>
        <item x="27"/>
        <item x="7"/>
        <item x="17"/>
        <item x="22"/>
        <item x="11"/>
        <item x="6"/>
        <item t="default"/>
      </items>
    </pivotField>
    <pivotField showAll="0"/>
    <pivotField showAll="0"/>
    <pivotField showAll="0">
      <items count="6">
        <item x="4"/>
        <item x="2"/>
        <item x="3"/>
        <item x="1"/>
        <item x="0"/>
        <item t="default"/>
      </items>
    </pivotField>
    <pivotField showAll="0">
      <items count="9">
        <item x="7"/>
        <item x="5"/>
        <item x="0"/>
        <item x="1"/>
        <item x="4"/>
        <item x="2"/>
        <item x="3"/>
        <item x="6"/>
        <item t="default"/>
      </items>
    </pivotField>
    <pivotField showAll="0"/>
    <pivotField numFmtId="165" showAll="0"/>
    <pivotField dataField="1" numFmtId="165" showAll="0"/>
    <pivotField showAll="0"/>
    <pivotField numFmtId="166"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omme de Chiffre_Affaires" fld="7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9C7FC-3336-4783-B347-E412DD001DD1}" name="Tableau croisé dynamique7" cacheId="3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Vendeur">
  <location ref="A14:G24" firstHeaderRow="1" firstDataRow="2" firstDataCol="1"/>
  <pivotFields count="10">
    <pivotField numFmtId="14" showAll="0">
      <items count="30">
        <item x="10"/>
        <item x="21"/>
        <item x="20"/>
        <item x="13"/>
        <item x="16"/>
        <item x="4"/>
        <item x="25"/>
        <item x="8"/>
        <item x="18"/>
        <item x="3"/>
        <item x="15"/>
        <item x="14"/>
        <item x="0"/>
        <item x="28"/>
        <item x="9"/>
        <item x="5"/>
        <item x="2"/>
        <item x="19"/>
        <item x="24"/>
        <item x="23"/>
        <item x="1"/>
        <item x="26"/>
        <item x="12"/>
        <item x="27"/>
        <item x="7"/>
        <item x="17"/>
        <item x="22"/>
        <item x="11"/>
        <item x="6"/>
        <item t="default"/>
      </items>
    </pivotField>
    <pivotField showAll="0"/>
    <pivotField showAll="0"/>
    <pivotField axis="axisCol" showAll="0">
      <items count="6">
        <item x="4"/>
        <item x="2"/>
        <item x="3"/>
        <item x="1"/>
        <item x="0"/>
        <item t="default"/>
      </items>
    </pivotField>
    <pivotField axis="axisRow" showAll="0">
      <items count="9">
        <item x="7"/>
        <item x="5"/>
        <item x="0"/>
        <item x="1"/>
        <item x="4"/>
        <item x="2"/>
        <item x="3"/>
        <item x="6"/>
        <item t="default"/>
      </items>
    </pivotField>
    <pivotField showAll="0"/>
    <pivotField numFmtId="165" showAll="0"/>
    <pivotField dataField="1" numFmtId="165" showAll="0"/>
    <pivotField showAll="0"/>
    <pivotField numFmtId="166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Chiffre_Affaires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1C4AD-4CF6-448A-9BFD-A723FA2233B4}" name="Tableau croisé dynamique4" cacheId="3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D3:E12" firstHeaderRow="1" firstDataRow="1" firstDataCol="1"/>
  <pivotFields count="10">
    <pivotField numFmtId="14" showAll="0">
      <items count="30">
        <item x="10"/>
        <item x="21"/>
        <item x="20"/>
        <item x="13"/>
        <item x="16"/>
        <item x="4"/>
        <item x="25"/>
        <item x="8"/>
        <item x="18"/>
        <item x="3"/>
        <item x="15"/>
        <item x="14"/>
        <item x="0"/>
        <item x="28"/>
        <item x="9"/>
        <item x="5"/>
        <item x="2"/>
        <item x="19"/>
        <item x="24"/>
        <item x="23"/>
        <item x="1"/>
        <item x="26"/>
        <item x="12"/>
        <item x="27"/>
        <item x="7"/>
        <item x="17"/>
        <item x="22"/>
        <item x="11"/>
        <item x="6"/>
        <item t="default"/>
      </items>
    </pivotField>
    <pivotField showAll="0"/>
    <pivotField showAll="0"/>
    <pivotField showAll="0"/>
    <pivotField axis="axisRow" showAll="0" sortType="descending">
      <items count="9">
        <item x="6"/>
        <item x="3"/>
        <item x="2"/>
        <item x="4"/>
        <item x="1"/>
        <item x="0"/>
        <item x="5"/>
        <item x="7"/>
        <item t="default"/>
      </items>
    </pivotField>
    <pivotField showAll="0"/>
    <pivotField numFmtId="165" showAll="0"/>
    <pivotField dataField="1" numFmtId="165" showAll="0"/>
    <pivotField showAll="0"/>
    <pivotField numFmtId="166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Chiffre_Affaires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6A3EC-7D5F-4481-9745-EDDB3892576C}" name="Tableau croisé dynamique3" cacheId="3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numFmtId="14" showAll="0">
      <items count="30">
        <item x="10"/>
        <item x="21"/>
        <item x="20"/>
        <item x="13"/>
        <item x="16"/>
        <item x="4"/>
        <item x="25"/>
        <item x="8"/>
        <item x="18"/>
        <item x="3"/>
        <item x="15"/>
        <item x="14"/>
        <item x="0"/>
        <item x="28"/>
        <item x="9"/>
        <item x="5"/>
        <item x="2"/>
        <item x="19"/>
        <item x="24"/>
        <item x="23"/>
        <item x="1"/>
        <item x="26"/>
        <item x="12"/>
        <item x="27"/>
        <item x="7"/>
        <item x="17"/>
        <item x="22"/>
        <item x="11"/>
        <item x="6"/>
        <item t="default"/>
      </items>
    </pivotField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numFmtId="165" showAll="0"/>
    <pivotField dataField="1" numFmtId="165" showAll="0"/>
    <pivotField showAll="0"/>
    <pivotField numFmtId="166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Chiffre_Affaires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égorie" xr10:uid="{3E8AF131-D021-4397-9E90-1A62B5323636}" sourceName="Catégorie">
  <pivotTables>
    <pivotTable tabId="5" name="Tableau croisé dynamique8"/>
  </pivotTables>
  <data>
    <tabular pivotCacheId="1107619231">
      <items count="5">
        <i x="4" s="1"/>
        <i x="2" s="1"/>
        <i x="3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endeur" xr10:uid="{EAA5C917-74C6-48C0-A983-82F9D8AD846A}" sourceName="Vendeur">
  <pivotTables>
    <pivotTable tabId="5" name="Tableau croisé dynamique8"/>
  </pivotTables>
  <data>
    <tabular pivotCacheId="1107619231">
      <items count="8">
        <i x="7" s="1"/>
        <i x="5" s="1"/>
        <i x="0" s="1"/>
        <i x="1" s="1"/>
        <i x="4" s="1"/>
        <i x="2" s="1"/>
        <i x="3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égorie" xr10:uid="{A2B151FA-07EF-4B78-99C7-35A56FAD7CB8}" cache="Segment_Catégorie" caption="Catégorie" rowHeight="249238"/>
  <slicer name="Vendeur" xr10:uid="{C9933BCA-266F-4D58-80E3-BBA5CCD1C413}" cache="Segment_Vendeur" caption="Vendeur" rowHeight="249238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B5F25-59D0-4889-9FCD-CD66A4401070}" name="tblVentes" displayName="tblVentes" ref="A1:J100" totalsRowShown="0">
  <autoFilter ref="A1:J100" xr:uid="{CF5B5F25-59D0-4889-9FCD-CD66A4401070}"/>
  <tableColumns count="10">
    <tableColumn id="1" xr3:uid="{8EA08086-9E4E-4D00-9E6A-87371141DC57}" name="Date" dataDxfId="12">
      <calculatedColumnFormula>DATE(2026,9,RANDBETWEEN(1,30))</calculatedColumnFormula>
    </tableColumn>
    <tableColumn id="2" xr3:uid="{14130F04-D402-4D88-857C-70004528E39F}" name="Vente_ID">
      <calculatedColumnFormula>"V"&amp;TEXT(ROW()-1,"0000")</calculatedColumnFormula>
    </tableColumn>
    <tableColumn id="3" xr3:uid="{ECBAC027-D198-4A89-B5EE-DFDC2DA383E4}" name="Produit">
      <calculatedColumnFormula array="1">INDEX({"Laptop";"Souris";"Clavier";"Écran";"Casque";"Tablette";"Imprimante";"Disque dur";"RAM";"Carte graphique"},RANDBETWEEN(1,10))</calculatedColumnFormula>
    </tableColumn>
    <tableColumn id="4" xr3:uid="{0CD79F30-2E6B-4A20-8086-3FCDACD632A2}" name="Catégorie">
      <calculatedColumnFormula array="1">INDEX({"Informatique";"Accessoires";"Périphériques";"Stockage";"Audio"},RANDBETWEEN(1,5))</calculatedColumnFormula>
    </tableColumn>
    <tableColumn id="5" xr3:uid="{3FBCC64F-4F51-4DFF-9305-FFD4E8C3F7F5}" name="Vendeur">
      <calculatedColumnFormula array="1">INDEX({"Awa Ndiaye";"Mamadou Diop";"Fatou Fall";"Cheikh Ba";"Mariama Sow";"Ousmane Ndiaye";"Sokhna Diallo";"Abdoulaye Gueye"},RANDBETWEEN(1,8))</calculatedColumnFormula>
    </tableColumn>
    <tableColumn id="6" xr3:uid="{60D5BC1F-73C0-4FC6-B4CE-2A6416982017}" name="Quantité">
      <calculatedColumnFormula>RANDBETWEEN(1,10)</calculatedColumnFormula>
    </tableColumn>
    <tableColumn id="7" xr3:uid="{6F54EB94-0352-41D0-B363-655AE9ADCB79}" name="Prix_Unitaire" dataDxfId="11">
      <calculatedColumnFormula>RANDBETWEEN(5000,500000)</calculatedColumnFormula>
    </tableColumn>
    <tableColumn id="8" xr3:uid="{E523763F-4638-456F-BA7E-21298196466D}" name="Chiffre_Affaires" dataDxfId="10">
      <calculatedColumnFormula>tblVentes[[#This Row],[Prix_Unitaire]]*tblVentes[[#This Row],[Quantité]]</calculatedColumnFormula>
    </tableColumn>
    <tableColumn id="9" xr3:uid="{3D5DDAF7-3FAD-494E-9616-83C320AC9291}" name="Remise" dataDxfId="9">
      <calculatedColumnFormula>RAND()*0.15</calculatedColumnFormula>
    </tableColumn>
    <tableColumn id="10" xr3:uid="{E4CB6485-2E95-4939-8D9D-7AFCE9A15FAC}" name="Montant_Net" dataDxfId="8">
      <calculatedColumnFormula>tblVentes[[#This Row],[Chiffre_Affaires]]*(1-tblVentes[[#This Row],[Remise]])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158ED-8C9D-4DC5-80C5-4B5AA36B39F2}" name="Ventes" displayName="Ventes" ref="A1:F8" totalsRowShown="0" headerRowDxfId="7" dataDxfId="6">
  <autoFilter ref="A1:F8" xr:uid="{9F5158ED-8C9D-4DC5-80C5-4B5AA36B39F2}"/>
  <tableColumns count="6">
    <tableColumn id="1" xr3:uid="{0B924086-6A28-4C89-B360-5AC43F3BAB5D}" name="Date" dataDxfId="5"/>
    <tableColumn id="2" xr3:uid="{F5BD38C5-B6C5-4D05-A858-D1EB1FD854F1}" name="Produit" dataDxfId="4"/>
    <tableColumn id="3" xr3:uid="{485B7944-F1F1-4804-9C9F-F49CF50562C9}" name="Catégorie" dataDxfId="3"/>
    <tableColumn id="4" xr3:uid="{65AB073D-BF63-410D-B454-3B13ECDCC7F1}" name="Quantité" dataDxfId="2"/>
    <tableColumn id="5" xr3:uid="{3105216B-2AB5-4C8A-AF70-5F242346A60B}" name="Prix_Unitaire" dataDxfId="1"/>
    <tableColumn id="6" xr3:uid="{8D695BB1-A4F6-49EC-A696-B71D3FF67A4B}" name="Chiffres_Affaires" dataDxfId="0">
      <calculatedColumnFormula>Ventes[[#This Row],[Quantité]]*Ventes[[#This Row],[Prix_Unitaire]]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8EDA-C444-438C-AD00-BEB33678F020}">
  <dimension ref="A3:G56"/>
  <sheetViews>
    <sheetView tabSelected="1" topLeftCell="A40" zoomScale="97" zoomScaleNormal="97" workbookViewId="0">
      <selection activeCell="A31" sqref="A31"/>
    </sheetView>
  </sheetViews>
  <sheetFormatPr baseColWidth="10" defaultRowHeight="14.25" x14ac:dyDescent="0.45"/>
  <cols>
    <col min="1" max="1" width="20.06640625" bestFit="1" customWidth="1"/>
    <col min="2" max="2" width="22.796875" bestFit="1" customWidth="1"/>
    <col min="3" max="3" width="14.1328125" bestFit="1" customWidth="1"/>
    <col min="4" max="4" width="18.53125" bestFit="1" customWidth="1"/>
    <col min="5" max="5" width="22.19921875" bestFit="1" customWidth="1"/>
    <col min="6" max="6" width="14.1328125" bestFit="1" customWidth="1"/>
    <col min="7" max="7" width="15.1328125" bestFit="1" customWidth="1"/>
  </cols>
  <sheetData>
    <row r="3" spans="1:7" x14ac:dyDescent="0.45">
      <c r="A3" s="15" t="s">
        <v>23</v>
      </c>
      <c r="B3" t="s">
        <v>28</v>
      </c>
      <c r="D3" s="15" t="s">
        <v>23</v>
      </c>
      <c r="E3" t="s">
        <v>28</v>
      </c>
    </row>
    <row r="4" spans="1:7" x14ac:dyDescent="0.45">
      <c r="A4" s="16" t="s">
        <v>10</v>
      </c>
      <c r="B4" s="11">
        <v>25602749</v>
      </c>
      <c r="D4" s="16" t="s">
        <v>37</v>
      </c>
      <c r="E4" s="11">
        <v>16648515</v>
      </c>
    </row>
    <row r="5" spans="1:7" x14ac:dyDescent="0.45">
      <c r="A5" s="16" t="s">
        <v>24</v>
      </c>
      <c r="B5" s="11">
        <v>32857011</v>
      </c>
      <c r="D5" s="16" t="s">
        <v>36</v>
      </c>
      <c r="E5" s="11">
        <v>24335590</v>
      </c>
    </row>
    <row r="6" spans="1:7" x14ac:dyDescent="0.45">
      <c r="A6" s="16" t="s">
        <v>6</v>
      </c>
      <c r="B6" s="11">
        <v>27365355</v>
      </c>
      <c r="D6" s="16" t="s">
        <v>35</v>
      </c>
      <c r="E6" s="11">
        <v>22730323</v>
      </c>
    </row>
    <row r="7" spans="1:7" x14ac:dyDescent="0.45">
      <c r="A7" s="16" t="s">
        <v>25</v>
      </c>
      <c r="B7" s="11">
        <v>32006232</v>
      </c>
      <c r="D7" s="16" t="s">
        <v>34</v>
      </c>
      <c r="E7" s="11">
        <v>10464782</v>
      </c>
    </row>
    <row r="8" spans="1:7" x14ac:dyDescent="0.45">
      <c r="A8" s="16" t="s">
        <v>26</v>
      </c>
      <c r="B8" s="11">
        <v>18015072</v>
      </c>
      <c r="D8" s="16" t="s">
        <v>33</v>
      </c>
      <c r="E8" s="11">
        <v>18033783</v>
      </c>
    </row>
    <row r="9" spans="1:7" x14ac:dyDescent="0.45">
      <c r="A9" s="16" t="s">
        <v>27</v>
      </c>
      <c r="B9" s="11">
        <v>135846419</v>
      </c>
      <c r="D9" s="16" t="s">
        <v>32</v>
      </c>
      <c r="E9" s="11">
        <v>16650235</v>
      </c>
    </row>
    <row r="10" spans="1:7" x14ac:dyDescent="0.45">
      <c r="D10" s="16" t="s">
        <v>31</v>
      </c>
      <c r="E10" s="11">
        <v>17953719</v>
      </c>
    </row>
    <row r="11" spans="1:7" x14ac:dyDescent="0.45">
      <c r="D11" s="16" t="s">
        <v>30</v>
      </c>
      <c r="E11" s="11">
        <v>9029472</v>
      </c>
    </row>
    <row r="12" spans="1:7" x14ac:dyDescent="0.45">
      <c r="D12" s="16" t="s">
        <v>27</v>
      </c>
      <c r="E12" s="11">
        <v>135846419</v>
      </c>
    </row>
    <row r="14" spans="1:7" x14ac:dyDescent="0.45">
      <c r="A14" s="15" t="s">
        <v>28</v>
      </c>
      <c r="B14" s="15" t="s">
        <v>29</v>
      </c>
    </row>
    <row r="15" spans="1:7" x14ac:dyDescent="0.45">
      <c r="A15" s="15" t="s">
        <v>16</v>
      </c>
      <c r="B15" t="s">
        <v>10</v>
      </c>
      <c r="C15" t="s">
        <v>24</v>
      </c>
      <c r="D15" t="s">
        <v>6</v>
      </c>
      <c r="E15" t="s">
        <v>25</v>
      </c>
      <c r="F15" t="s">
        <v>26</v>
      </c>
      <c r="G15" t="s">
        <v>27</v>
      </c>
    </row>
    <row r="16" spans="1:7" x14ac:dyDescent="0.45">
      <c r="A16" s="16" t="s">
        <v>30</v>
      </c>
      <c r="B16" s="11">
        <v>4453822</v>
      </c>
      <c r="C16" s="11">
        <v>745386</v>
      </c>
      <c r="D16" s="11">
        <v>523634</v>
      </c>
      <c r="E16" s="11">
        <v>1736680</v>
      </c>
      <c r="F16" s="11">
        <v>1569950</v>
      </c>
      <c r="G16" s="11">
        <v>9029472</v>
      </c>
    </row>
    <row r="17" spans="1:7" x14ac:dyDescent="0.45">
      <c r="A17" s="16" t="s">
        <v>31</v>
      </c>
      <c r="B17" s="11">
        <v>4379587</v>
      </c>
      <c r="C17" s="11">
        <v>6131857</v>
      </c>
      <c r="D17" s="11">
        <v>792478</v>
      </c>
      <c r="E17" s="11">
        <v>2890665</v>
      </c>
      <c r="F17" s="11">
        <v>3759132</v>
      </c>
      <c r="G17" s="11">
        <v>17953719</v>
      </c>
    </row>
    <row r="18" spans="1:7" x14ac:dyDescent="0.45">
      <c r="A18" s="16" t="s">
        <v>32</v>
      </c>
      <c r="B18" s="11">
        <v>2889594</v>
      </c>
      <c r="C18" s="11">
        <v>595836</v>
      </c>
      <c r="D18" s="11">
        <v>3496372</v>
      </c>
      <c r="E18" s="11">
        <v>8300838</v>
      </c>
      <c r="F18" s="11">
        <v>1367595</v>
      </c>
      <c r="G18" s="11">
        <v>16650235</v>
      </c>
    </row>
    <row r="19" spans="1:7" x14ac:dyDescent="0.45">
      <c r="A19" s="16" t="s">
        <v>33</v>
      </c>
      <c r="B19" s="11">
        <v>3288263</v>
      </c>
      <c r="C19" s="11">
        <v>5790356</v>
      </c>
      <c r="D19" s="11">
        <v>4866177</v>
      </c>
      <c r="E19" s="11">
        <v>3687425</v>
      </c>
      <c r="F19" s="11">
        <v>401562</v>
      </c>
      <c r="G19" s="11">
        <v>18033783</v>
      </c>
    </row>
    <row r="20" spans="1:7" x14ac:dyDescent="0.45">
      <c r="A20" s="16" t="s">
        <v>34</v>
      </c>
      <c r="B20" s="11">
        <v>1151416</v>
      </c>
      <c r="C20" s="11">
        <v>2494928</v>
      </c>
      <c r="D20" s="11">
        <v>4179679</v>
      </c>
      <c r="E20" s="11">
        <v>407549</v>
      </c>
      <c r="F20" s="11">
        <v>2231210</v>
      </c>
      <c r="G20" s="11">
        <v>10464782</v>
      </c>
    </row>
    <row r="21" spans="1:7" x14ac:dyDescent="0.45">
      <c r="A21" s="16" t="s">
        <v>35</v>
      </c>
      <c r="B21" s="11">
        <v>2903761</v>
      </c>
      <c r="C21" s="11">
        <v>4004295</v>
      </c>
      <c r="D21" s="11">
        <v>7023645</v>
      </c>
      <c r="E21" s="11">
        <v>7876646</v>
      </c>
      <c r="F21" s="11">
        <v>921976</v>
      </c>
      <c r="G21" s="11">
        <v>22730323</v>
      </c>
    </row>
    <row r="22" spans="1:7" x14ac:dyDescent="0.45">
      <c r="A22" s="16" t="s">
        <v>36</v>
      </c>
      <c r="B22" s="11">
        <v>4373230</v>
      </c>
      <c r="C22" s="11">
        <v>9521989</v>
      </c>
      <c r="D22" s="11">
        <v>2844688</v>
      </c>
      <c r="E22" s="11">
        <v>368389</v>
      </c>
      <c r="F22" s="11">
        <v>7227294</v>
      </c>
      <c r="G22" s="11">
        <v>24335590</v>
      </c>
    </row>
    <row r="23" spans="1:7" x14ac:dyDescent="0.45">
      <c r="A23" s="16" t="s">
        <v>37</v>
      </c>
      <c r="B23" s="11">
        <v>2163076</v>
      </c>
      <c r="C23" s="11">
        <v>3572364</v>
      </c>
      <c r="D23" s="11">
        <v>3638682</v>
      </c>
      <c r="E23" s="11">
        <v>6738040</v>
      </c>
      <c r="F23" s="11">
        <v>536353</v>
      </c>
      <c r="G23" s="11">
        <v>16648515</v>
      </c>
    </row>
    <row r="24" spans="1:7" x14ac:dyDescent="0.45">
      <c r="A24" s="16" t="s">
        <v>27</v>
      </c>
      <c r="B24" s="11">
        <v>25602749</v>
      </c>
      <c r="C24" s="11">
        <v>32857011</v>
      </c>
      <c r="D24" s="11">
        <v>27365355</v>
      </c>
      <c r="E24" s="11">
        <v>32006232</v>
      </c>
      <c r="F24" s="11">
        <v>18015072</v>
      </c>
      <c r="G24" s="11">
        <v>135846419</v>
      </c>
    </row>
    <row r="26" spans="1:7" x14ac:dyDescent="0.45">
      <c r="A26" s="15" t="s">
        <v>23</v>
      </c>
      <c r="B26" t="s">
        <v>28</v>
      </c>
    </row>
    <row r="27" spans="1:7" x14ac:dyDescent="0.45">
      <c r="A27" s="17">
        <v>46266</v>
      </c>
      <c r="B27" s="11">
        <v>3799406</v>
      </c>
    </row>
    <row r="28" spans="1:7" x14ac:dyDescent="0.45">
      <c r="A28" s="17">
        <v>46267</v>
      </c>
      <c r="B28" s="11">
        <v>327240</v>
      </c>
    </row>
    <row r="29" spans="1:7" x14ac:dyDescent="0.45">
      <c r="A29" s="17">
        <v>46268</v>
      </c>
      <c r="B29" s="11">
        <v>3732733</v>
      </c>
    </row>
    <row r="30" spans="1:7" x14ac:dyDescent="0.45">
      <c r="A30" s="17">
        <v>46269</v>
      </c>
      <c r="B30" s="11">
        <v>7148564</v>
      </c>
    </row>
    <row r="31" spans="1:7" x14ac:dyDescent="0.45">
      <c r="A31" s="17">
        <v>46270</v>
      </c>
      <c r="B31" s="11">
        <v>4989226</v>
      </c>
    </row>
    <row r="32" spans="1:7" x14ac:dyDescent="0.45">
      <c r="A32" s="17">
        <v>46271</v>
      </c>
      <c r="B32" s="11">
        <v>5237752</v>
      </c>
    </row>
    <row r="33" spans="1:2" x14ac:dyDescent="0.45">
      <c r="A33" s="17">
        <v>46272</v>
      </c>
      <c r="B33" s="11">
        <v>2674483</v>
      </c>
    </row>
    <row r="34" spans="1:2" x14ac:dyDescent="0.45">
      <c r="A34" s="17">
        <v>46273</v>
      </c>
      <c r="B34" s="11">
        <v>3627813</v>
      </c>
    </row>
    <row r="35" spans="1:2" x14ac:dyDescent="0.45">
      <c r="A35" s="17">
        <v>46274</v>
      </c>
      <c r="B35" s="11">
        <v>5085054</v>
      </c>
    </row>
    <row r="36" spans="1:2" x14ac:dyDescent="0.45">
      <c r="A36" s="17">
        <v>46275</v>
      </c>
      <c r="B36" s="11">
        <v>8783075</v>
      </c>
    </row>
    <row r="37" spans="1:2" x14ac:dyDescent="0.45">
      <c r="A37" s="17">
        <v>46276</v>
      </c>
      <c r="B37" s="11">
        <v>4938555</v>
      </c>
    </row>
    <row r="38" spans="1:2" x14ac:dyDescent="0.45">
      <c r="A38" s="17">
        <v>46277</v>
      </c>
      <c r="B38" s="11">
        <v>3176305</v>
      </c>
    </row>
    <row r="39" spans="1:2" x14ac:dyDescent="0.45">
      <c r="A39" s="17">
        <v>46278</v>
      </c>
      <c r="B39" s="11">
        <v>8537245</v>
      </c>
    </row>
    <row r="40" spans="1:2" x14ac:dyDescent="0.45">
      <c r="A40" s="17">
        <v>46279</v>
      </c>
      <c r="B40" s="11">
        <v>388182</v>
      </c>
    </row>
    <row r="41" spans="1:2" x14ac:dyDescent="0.45">
      <c r="A41" s="17">
        <v>46280</v>
      </c>
      <c r="B41" s="11">
        <v>8353687</v>
      </c>
    </row>
    <row r="42" spans="1:2" x14ac:dyDescent="0.45">
      <c r="A42" s="17">
        <v>46281</v>
      </c>
      <c r="B42" s="11">
        <v>560517</v>
      </c>
    </row>
    <row r="43" spans="1:2" x14ac:dyDescent="0.45">
      <c r="A43" s="17">
        <v>46282</v>
      </c>
      <c r="B43" s="11">
        <v>8961621</v>
      </c>
    </row>
    <row r="44" spans="1:2" x14ac:dyDescent="0.45">
      <c r="A44" s="17">
        <v>46283</v>
      </c>
      <c r="B44" s="11">
        <v>11598569</v>
      </c>
    </row>
    <row r="45" spans="1:2" x14ac:dyDescent="0.45">
      <c r="A45" s="17">
        <v>46284</v>
      </c>
      <c r="B45" s="11">
        <v>5473896</v>
      </c>
    </row>
    <row r="46" spans="1:2" x14ac:dyDescent="0.45">
      <c r="A46" s="17">
        <v>46285</v>
      </c>
      <c r="B46" s="11">
        <v>4151077</v>
      </c>
    </row>
    <row r="47" spans="1:2" x14ac:dyDescent="0.45">
      <c r="A47" s="17">
        <v>46286</v>
      </c>
      <c r="B47" s="11">
        <v>2103101</v>
      </c>
    </row>
    <row r="48" spans="1:2" x14ac:dyDescent="0.45">
      <c r="A48" s="17">
        <v>46287</v>
      </c>
      <c r="B48" s="11">
        <v>2723021</v>
      </c>
    </row>
    <row r="49" spans="1:2" x14ac:dyDescent="0.45">
      <c r="A49" s="17">
        <v>46288</v>
      </c>
      <c r="B49" s="11">
        <v>8237905</v>
      </c>
    </row>
    <row r="50" spans="1:2" x14ac:dyDescent="0.45">
      <c r="A50" s="17">
        <v>46289</v>
      </c>
      <c r="B50" s="11">
        <v>523634</v>
      </c>
    </row>
    <row r="51" spans="1:2" x14ac:dyDescent="0.45">
      <c r="A51" s="17">
        <v>46290</v>
      </c>
      <c r="B51" s="11">
        <v>4889066</v>
      </c>
    </row>
    <row r="52" spans="1:2" x14ac:dyDescent="0.45">
      <c r="A52" s="17">
        <v>46291</v>
      </c>
      <c r="B52" s="11">
        <v>5249925</v>
      </c>
    </row>
    <row r="53" spans="1:2" x14ac:dyDescent="0.45">
      <c r="A53" s="17">
        <v>46293</v>
      </c>
      <c r="B53" s="11">
        <v>507192</v>
      </c>
    </row>
    <row r="54" spans="1:2" x14ac:dyDescent="0.45">
      <c r="A54" s="17">
        <v>46294</v>
      </c>
      <c r="B54" s="11">
        <v>7031413</v>
      </c>
    </row>
    <row r="55" spans="1:2" x14ac:dyDescent="0.45">
      <c r="A55" s="17">
        <v>46295</v>
      </c>
      <c r="B55" s="11">
        <v>3036162</v>
      </c>
    </row>
    <row r="56" spans="1:2" x14ac:dyDescent="0.45">
      <c r="A56" s="17" t="s">
        <v>27</v>
      </c>
      <c r="B56" s="11">
        <v>135846419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68F3-AE63-43E3-927B-46E905040BA4}">
  <dimension ref="A1:L100"/>
  <sheetViews>
    <sheetView workbookViewId="0">
      <selection activeCell="K14" sqref="K14"/>
    </sheetView>
  </sheetViews>
  <sheetFormatPr baseColWidth="10" defaultRowHeight="14.25" x14ac:dyDescent="0.45"/>
  <cols>
    <col min="3" max="3" width="13.1328125" bestFit="1" customWidth="1"/>
    <col min="4" max="4" width="12.33203125" customWidth="1"/>
    <col min="5" max="5" width="14.1328125" bestFit="1" customWidth="1"/>
    <col min="7" max="7" width="14.86328125" style="11" customWidth="1"/>
    <col min="8" max="8" width="17.796875" style="11" bestFit="1" customWidth="1"/>
    <col min="9" max="9" width="11.86328125" customWidth="1"/>
    <col min="10" max="10" width="14.59765625" style="14" bestFit="1" customWidth="1"/>
    <col min="12" max="12" width="18.9296875" bestFit="1" customWidth="1"/>
  </cols>
  <sheetData>
    <row r="1" spans="1:12" x14ac:dyDescent="0.45">
      <c r="A1" t="s">
        <v>0</v>
      </c>
      <c r="B1" t="s">
        <v>15</v>
      </c>
      <c r="C1" t="s">
        <v>1</v>
      </c>
      <c r="D1" t="s">
        <v>2</v>
      </c>
      <c r="E1" t="s">
        <v>16</v>
      </c>
      <c r="F1" t="s">
        <v>3</v>
      </c>
      <c r="G1" s="11" t="s">
        <v>4</v>
      </c>
      <c r="H1" s="12" t="s">
        <v>17</v>
      </c>
      <c r="I1" s="6" t="s">
        <v>18</v>
      </c>
      <c r="J1" s="13" t="s">
        <v>19</v>
      </c>
    </row>
    <row r="2" spans="1:12" x14ac:dyDescent="0.45">
      <c r="A2" s="1">
        <f ca="1">DATE(2026,9,RANDBETWEEN(1,30))</f>
        <v>46269</v>
      </c>
      <c r="B2" t="str">
        <f>"V"&amp;TEXT(ROW()-1,"0000")</f>
        <v>V0001</v>
      </c>
      <c r="C2" t="str" cm="1">
        <f t="array" aca="1" ref="C2" ca="1">INDEX({"Laptop";"Souris";"Clavier";"Écran";"Casque";"Tablette";"Imprimante";"Disque dur";"RAM";"Carte graphique"},RANDBETWEEN(1,10))</f>
        <v>Casque</v>
      </c>
      <c r="D2" t="str" cm="1">
        <f t="array" aca="1" ref="D2" ca="1">INDEX({"Informatique";"Accessoires";"Périphériques";"Stockage";"Audio"},RANDBETWEEN(1,5))</f>
        <v>Informatique</v>
      </c>
      <c r="E2" t="str" cm="1">
        <f t="array" aca="1" ref="E2" ca="1">INDEX({"Awa Ndiaye";"Mamadou Diop";"Fatou Fall";"Cheikh Ba";"Mariama Sow";"Ousmane Ndiaye";"Sokhna Diallo";"Abdoulaye Gueye"},RANDBETWEEN(1,8))</f>
        <v>Mamadou Diop</v>
      </c>
      <c r="F2">
        <f ca="1">RANDBETWEEN(1,10)</f>
        <v>1</v>
      </c>
      <c r="G2" s="11">
        <f ca="1">RANDBETWEEN(5000,500000)</f>
        <v>401928</v>
      </c>
      <c r="H2" s="11">
        <f ca="1">tblVentes[[#This Row],[Prix_Unitaire]]*tblVentes[[#This Row],[Quantité]]</f>
        <v>401928</v>
      </c>
      <c r="I2">
        <f ca="1">RAND()*0.15</f>
        <v>0.10986528951310189</v>
      </c>
      <c r="J2" s="14">
        <f ca="1">tblVentes[[#This Row],[Chiffre_Affaires]]*(1-tblVentes[[#This Row],[Remise]])</f>
        <v>357770.06391657796</v>
      </c>
    </row>
    <row r="3" spans="1:12" x14ac:dyDescent="0.45">
      <c r="A3" s="1">
        <f t="shared" ref="A3:A66" ca="1" si="0">DATE(2026,9,RANDBETWEEN(1,30))</f>
        <v>46295</v>
      </c>
      <c r="B3" t="str">
        <f t="shared" ref="B3:B66" si="1">"V"&amp;TEXT(ROW()-1,"0000")</f>
        <v>V0002</v>
      </c>
      <c r="C3" t="str" cm="1">
        <f t="array" aca="1" ref="C3" ca="1">INDEX({"Laptop";"Souris";"Clavier";"Écran";"Casque";"Tablette";"Imprimante";"Disque dur";"RAM";"Carte graphique"},RANDBETWEEN(1,10))</f>
        <v>Casque</v>
      </c>
      <c r="D3" t="str" cm="1">
        <f t="array" aca="1" ref="D3" ca="1">INDEX({"Informatique";"Accessoires";"Périphériques";"Stockage";"Audio"},RANDBETWEEN(1,5))</f>
        <v>Stockage</v>
      </c>
      <c r="E3" t="str" cm="1">
        <f t="array" aca="1" ref="E3" ca="1">INDEX({"Awa Ndiaye";"Mamadou Diop";"Fatou Fall";"Cheikh Ba";"Mariama Sow";"Ousmane Ndiaye";"Sokhna Diallo";"Abdoulaye Gueye"},RANDBETWEEN(1,8))</f>
        <v>Mariama Sow</v>
      </c>
      <c r="F3">
        <f t="shared" ref="F3:F66" ca="1" si="2">RANDBETWEEN(1,10)</f>
        <v>2</v>
      </c>
      <c r="G3" s="11">
        <f t="shared" ref="G3:G66" ca="1" si="3">RANDBETWEEN(5000,500000)</f>
        <v>210440</v>
      </c>
      <c r="H3" s="11">
        <f ca="1">tblVentes[[#This Row],[Prix_Unitaire]]*tblVentes[[#This Row],[Quantité]]</f>
        <v>420880</v>
      </c>
      <c r="I3">
        <f t="shared" ref="I3:I33" ca="1" si="4">RAND()*0.15</f>
        <v>8.1541866554678766E-2</v>
      </c>
      <c r="J3" s="14">
        <f ca="1">tblVentes[[#This Row],[Chiffre_Affaires]]*(1-tblVentes[[#This Row],[Remise]])</f>
        <v>386560.65920446679</v>
      </c>
    </row>
    <row r="4" spans="1:12" x14ac:dyDescent="0.45">
      <c r="A4" s="1">
        <f t="shared" ca="1" si="0"/>
        <v>46284</v>
      </c>
      <c r="B4" t="str">
        <f t="shared" si="1"/>
        <v>V0003</v>
      </c>
      <c r="C4" t="str" cm="1">
        <f t="array" aca="1" ref="C4" ca="1">INDEX({"Laptop";"Souris";"Clavier";"Écran";"Casque";"Tablette";"Imprimante";"Disque dur";"RAM";"Carte graphique"},RANDBETWEEN(1,10))</f>
        <v>Carte graphique</v>
      </c>
      <c r="D4" t="str" cm="1">
        <f t="array" aca="1" ref="D4" ca="1">INDEX({"Informatique";"Accessoires";"Périphériques";"Stockage";"Audio"},RANDBETWEEN(1,5))</f>
        <v>Audio</v>
      </c>
      <c r="E4" t="str" cm="1">
        <f t="array" aca="1" ref="E4" ca="1">INDEX({"Awa Ndiaye";"Mamadou Diop";"Fatou Fall";"Cheikh Ba";"Mariama Sow";"Ousmane Ndiaye";"Sokhna Diallo";"Abdoulaye Gueye"},RANDBETWEEN(1,8))</f>
        <v>Mamadou Diop</v>
      </c>
      <c r="F4">
        <f t="shared" ca="1" si="2"/>
        <v>5</v>
      </c>
      <c r="G4" s="11">
        <f t="shared" ca="1" si="3"/>
        <v>5714</v>
      </c>
      <c r="H4" s="11">
        <f ca="1">tblVentes[[#This Row],[Prix_Unitaire]]*tblVentes[[#This Row],[Quantité]]</f>
        <v>28570</v>
      </c>
      <c r="I4">
        <f t="shared" ca="1" si="4"/>
        <v>0.13739002274434897</v>
      </c>
      <c r="J4" s="14">
        <f ca="1">tblVentes[[#This Row],[Chiffre_Affaires]]*(1-tblVentes[[#This Row],[Remise]])</f>
        <v>24644.76705019395</v>
      </c>
    </row>
    <row r="5" spans="1:12" x14ac:dyDescent="0.45">
      <c r="A5" s="1">
        <f t="shared" ca="1" si="0"/>
        <v>46281</v>
      </c>
      <c r="B5" t="str">
        <f t="shared" si="1"/>
        <v>V0004</v>
      </c>
      <c r="C5" t="str" cm="1">
        <f t="array" aca="1" ref="C5" ca="1">INDEX({"Laptop";"Souris";"Clavier";"Écran";"Casque";"Tablette";"Imprimante";"Disque dur";"RAM";"Carte graphique"},RANDBETWEEN(1,10))</f>
        <v>Carte graphique</v>
      </c>
      <c r="D5" t="str" cm="1">
        <f t="array" aca="1" ref="D5" ca="1">INDEX({"Informatique";"Accessoires";"Périphériques";"Stockage";"Audio"},RANDBETWEEN(1,5))</f>
        <v>Périphériques</v>
      </c>
      <c r="E5" t="str" cm="1">
        <f t="array" aca="1" ref="E5" ca="1">INDEX({"Awa Ndiaye";"Mamadou Diop";"Fatou Fall";"Cheikh Ba";"Mariama Sow";"Ousmane Ndiaye";"Sokhna Diallo";"Abdoulaye Gueye"},RANDBETWEEN(1,8))</f>
        <v>Cheikh Ba</v>
      </c>
      <c r="F5">
        <f t="shared" ca="1" si="2"/>
        <v>7</v>
      </c>
      <c r="G5" s="11">
        <f t="shared" ca="1" si="3"/>
        <v>88865</v>
      </c>
      <c r="H5" s="11">
        <f ca="1">tblVentes[[#This Row],[Prix_Unitaire]]*tblVentes[[#This Row],[Quantité]]</f>
        <v>622055</v>
      </c>
      <c r="I5">
        <f t="shared" ca="1" si="4"/>
        <v>0.14099549939606701</v>
      </c>
      <c r="J5" s="14">
        <f ca="1">tblVentes[[#This Row],[Chiffre_Affaires]]*(1-tblVentes[[#This Row],[Remise]])</f>
        <v>534348.04462317948</v>
      </c>
      <c r="L5" s="7" t="s">
        <v>20</v>
      </c>
    </row>
    <row r="6" spans="1:12" x14ac:dyDescent="0.45">
      <c r="A6" s="1">
        <f t="shared" ca="1" si="0"/>
        <v>46274</v>
      </c>
      <c r="B6" t="str">
        <f t="shared" si="1"/>
        <v>V0005</v>
      </c>
      <c r="C6" t="str" cm="1">
        <f t="array" aca="1" ref="C6" ca="1">INDEX({"Laptop";"Souris";"Clavier";"Écran";"Casque";"Tablette";"Imprimante";"Disque dur";"RAM";"Carte graphique"},RANDBETWEEN(1,10))</f>
        <v>Écran</v>
      </c>
      <c r="D6" t="str" cm="1">
        <f t="array" aca="1" ref="D6" ca="1">INDEX({"Informatique";"Accessoires";"Périphériques";"Stockage";"Audio"},RANDBETWEEN(1,5))</f>
        <v>Stockage</v>
      </c>
      <c r="E6" t="str" cm="1">
        <f t="array" aca="1" ref="E6" ca="1">INDEX({"Awa Ndiaye";"Mamadou Diop";"Fatou Fall";"Cheikh Ba";"Mariama Sow";"Ousmane Ndiaye";"Sokhna Diallo";"Abdoulaye Gueye"},RANDBETWEEN(1,8))</f>
        <v>Sokhna Diallo</v>
      </c>
      <c r="F6">
        <f ca="1">RANDBETWEEN(1,10)</f>
        <v>7</v>
      </c>
      <c r="G6" s="11">
        <f t="shared" ca="1" si="3"/>
        <v>161688</v>
      </c>
      <c r="H6" s="11">
        <f ca="1">tblVentes[[#This Row],[Prix_Unitaire]]*tblVentes[[#This Row],[Quantité]]</f>
        <v>1131816</v>
      </c>
      <c r="I6">
        <f t="shared" ca="1" si="4"/>
        <v>0.12641926316694121</v>
      </c>
      <c r="J6" s="14">
        <f ca="1">tblVentes[[#This Row],[Chiffre_Affaires]]*(1-tblVentes[[#This Row],[Remise]])</f>
        <v>988732.65523944527</v>
      </c>
      <c r="L6" s="10">
        <f ca="1">SUM(H:H)</f>
        <v>152904729</v>
      </c>
    </row>
    <row r="7" spans="1:12" x14ac:dyDescent="0.45">
      <c r="A7" s="1">
        <f t="shared" ca="1" si="0"/>
        <v>46286</v>
      </c>
      <c r="B7" t="str">
        <f t="shared" si="1"/>
        <v>V0006</v>
      </c>
      <c r="C7" t="str" cm="1">
        <f t="array" aca="1" ref="C7" ca="1">INDEX({"Laptop";"Souris";"Clavier";"Écran";"Casque";"Tablette";"Imprimante";"Disque dur";"RAM";"Carte graphique"},RANDBETWEEN(1,10))</f>
        <v>Carte graphique</v>
      </c>
      <c r="D7" t="str" cm="1">
        <f t="array" aca="1" ref="D7" ca="1">INDEX({"Informatique";"Accessoires";"Périphériques";"Stockage";"Audio"},RANDBETWEEN(1,5))</f>
        <v>Stockage</v>
      </c>
      <c r="E7" t="str" cm="1">
        <f t="array" aca="1" ref="E7" ca="1">INDEX({"Awa Ndiaye";"Mamadou Diop";"Fatou Fall";"Cheikh Ba";"Mariama Sow";"Ousmane Ndiaye";"Sokhna Diallo";"Abdoulaye Gueye"},RANDBETWEEN(1,8))</f>
        <v>Awa Ndiaye</v>
      </c>
      <c r="F7">
        <f t="shared" ca="1" si="2"/>
        <v>9</v>
      </c>
      <c r="G7" s="11">
        <f t="shared" ca="1" si="3"/>
        <v>57390</v>
      </c>
      <c r="H7" s="11">
        <f ca="1">tblVentes[[#This Row],[Prix_Unitaire]]*tblVentes[[#This Row],[Quantité]]</f>
        <v>516510</v>
      </c>
      <c r="I7">
        <f t="shared" ca="1" si="4"/>
        <v>4.3250420707446426E-2</v>
      </c>
      <c r="J7" s="14">
        <f ca="1">tblVentes[[#This Row],[Chiffre_Affaires]]*(1-tblVentes[[#This Row],[Remise]])</f>
        <v>494170.72520039685</v>
      </c>
      <c r="L7" s="9" t="s">
        <v>21</v>
      </c>
    </row>
    <row r="8" spans="1:12" x14ac:dyDescent="0.45">
      <c r="A8" s="1">
        <f t="shared" ca="1" si="0"/>
        <v>46275</v>
      </c>
      <c r="B8" t="str">
        <f t="shared" si="1"/>
        <v>V0007</v>
      </c>
      <c r="C8" t="str" cm="1">
        <f t="array" aca="1" ref="C8" ca="1">INDEX({"Laptop";"Souris";"Clavier";"Écran";"Casque";"Tablette";"Imprimante";"Disque dur";"RAM";"Carte graphique"},RANDBETWEEN(1,10))</f>
        <v>Souris</v>
      </c>
      <c r="D8" t="str" cm="1">
        <f t="array" aca="1" ref="D8" ca="1">INDEX({"Informatique";"Accessoires";"Périphériques";"Stockage";"Audio"},RANDBETWEEN(1,5))</f>
        <v>Audio</v>
      </c>
      <c r="E8" t="str" cm="1">
        <f t="array" aca="1" ref="E8" ca="1">INDEX({"Awa Ndiaye";"Mamadou Diop";"Fatou Fall";"Cheikh Ba";"Mariama Sow";"Ousmane Ndiaye";"Sokhna Diallo";"Abdoulaye Gueye"},RANDBETWEEN(1,8))</f>
        <v>Mariama Sow</v>
      </c>
      <c r="F8">
        <f t="shared" ca="1" si="2"/>
        <v>4</v>
      </c>
      <c r="G8" s="11">
        <f t="shared" ca="1" si="3"/>
        <v>189616</v>
      </c>
      <c r="H8" s="11">
        <f ca="1">tblVentes[[#This Row],[Prix_Unitaire]]*tblVentes[[#This Row],[Quantité]]</f>
        <v>758464</v>
      </c>
      <c r="I8">
        <f t="shared" ca="1" si="4"/>
        <v>0.10757890892491574</v>
      </c>
      <c r="J8" s="14">
        <f ca="1">tblVentes[[#This Row],[Chiffre_Affaires]]*(1-tblVentes[[#This Row],[Remise]])</f>
        <v>676869.27042117273</v>
      </c>
      <c r="L8" s="10">
        <f ca="1">SUM(J:J)</f>
        <v>140924532.33912528</v>
      </c>
    </row>
    <row r="9" spans="1:12" x14ac:dyDescent="0.45">
      <c r="A9" s="1">
        <f t="shared" ca="1" si="0"/>
        <v>46284</v>
      </c>
      <c r="B9" t="str">
        <f t="shared" si="1"/>
        <v>V0008</v>
      </c>
      <c r="C9" t="str" cm="1">
        <f t="array" aca="1" ref="C9" ca="1">INDEX({"Laptop";"Souris";"Clavier";"Écran";"Casque";"Tablette";"Imprimante";"Disque dur";"RAM";"Carte graphique"},RANDBETWEEN(1,10))</f>
        <v>Carte graphique</v>
      </c>
      <c r="D9" t="str" cm="1">
        <f t="array" aca="1" ref="D9" ca="1">INDEX({"Informatique";"Accessoires";"Périphériques";"Stockage";"Audio"},RANDBETWEEN(1,5))</f>
        <v>Accessoires</v>
      </c>
      <c r="E9" t="str" cm="1">
        <f t="array" aca="1" ref="E9" ca="1">INDEX({"Awa Ndiaye";"Mamadou Diop";"Fatou Fall";"Cheikh Ba";"Mariama Sow";"Ousmane Ndiaye";"Sokhna Diallo";"Abdoulaye Gueye"},RANDBETWEEN(1,8))</f>
        <v>Awa Ndiaye</v>
      </c>
      <c r="F9">
        <f t="shared" ca="1" si="2"/>
        <v>9</v>
      </c>
      <c r="G9" s="11">
        <f t="shared" ca="1" si="3"/>
        <v>404432</v>
      </c>
      <c r="H9" s="11">
        <f ca="1">tblVentes[[#This Row],[Prix_Unitaire]]*tblVentes[[#This Row],[Quantité]]</f>
        <v>3639888</v>
      </c>
      <c r="I9">
        <f t="shared" ca="1" si="4"/>
        <v>4.407320751416488E-2</v>
      </c>
      <c r="J9" s="14">
        <f ca="1">tblVentes[[#This Row],[Chiffre_Affaires]]*(1-tblVentes[[#This Row],[Remise]])</f>
        <v>3479466.4608476814</v>
      </c>
      <c r="L9" s="7" t="s">
        <v>22</v>
      </c>
    </row>
    <row r="10" spans="1:12" x14ac:dyDescent="0.45">
      <c r="A10" s="1">
        <f t="shared" ca="1" si="0"/>
        <v>46289</v>
      </c>
      <c r="B10" t="str">
        <f t="shared" si="1"/>
        <v>V0009</v>
      </c>
      <c r="C10" t="str" cm="1">
        <f t="array" aca="1" ref="C10" ca="1">INDEX({"Laptop";"Souris";"Clavier";"Écran";"Casque";"Tablette";"Imprimante";"Disque dur";"RAM";"Carte graphique"},RANDBETWEEN(1,10))</f>
        <v>Imprimante</v>
      </c>
      <c r="D10" t="str" cm="1">
        <f t="array" aca="1" ref="D10" ca="1">INDEX({"Informatique";"Accessoires";"Périphériques";"Stockage";"Audio"},RANDBETWEEN(1,5))</f>
        <v>Audio</v>
      </c>
      <c r="E10" t="str" cm="1">
        <f t="array" aca="1" ref="E10" ca="1">INDEX({"Awa Ndiaye";"Mamadou Diop";"Fatou Fall";"Cheikh Ba";"Mariama Sow";"Ousmane Ndiaye";"Sokhna Diallo";"Abdoulaye Gueye"},RANDBETWEEN(1,8))</f>
        <v>Mariama Sow</v>
      </c>
      <c r="F10">
        <f t="shared" ca="1" si="2"/>
        <v>2</v>
      </c>
      <c r="G10" s="11">
        <f t="shared" ca="1" si="3"/>
        <v>440179</v>
      </c>
      <c r="H10" s="11">
        <f ca="1">tblVentes[[#This Row],[Prix_Unitaire]]*tblVentes[[#This Row],[Quantité]]</f>
        <v>880358</v>
      </c>
      <c r="I10">
        <f t="shared" ca="1" si="4"/>
        <v>7.3216919248505499E-2</v>
      </c>
      <c r="J10" s="14">
        <f ca="1">tblVentes[[#This Row],[Chiffre_Affaires]]*(1-tblVentes[[#This Row],[Remise]])</f>
        <v>815900.89940422424</v>
      </c>
      <c r="L10" s="8">
        <f ca="1">SUM(F:F)</f>
        <v>581</v>
      </c>
    </row>
    <row r="11" spans="1:12" x14ac:dyDescent="0.45">
      <c r="A11" s="1">
        <f t="shared" ca="1" si="0"/>
        <v>46268</v>
      </c>
      <c r="B11" t="str">
        <f t="shared" si="1"/>
        <v>V0010</v>
      </c>
      <c r="C11" t="str" cm="1">
        <f t="array" aca="1" ref="C11" ca="1">INDEX({"Laptop";"Souris";"Clavier";"Écran";"Casque";"Tablette";"Imprimante";"Disque dur";"RAM";"Carte graphique"},RANDBETWEEN(1,10))</f>
        <v>Tablette</v>
      </c>
      <c r="D11" t="str" cm="1">
        <f t="array" aca="1" ref="D11" ca="1">INDEX({"Informatique";"Accessoires";"Périphériques";"Stockage";"Audio"},RANDBETWEEN(1,5))</f>
        <v>Accessoires</v>
      </c>
      <c r="E11" t="str" cm="1">
        <f t="array" aca="1" ref="E11" ca="1">INDEX({"Awa Ndiaye";"Mamadou Diop";"Fatou Fall";"Cheikh Ba";"Mariama Sow";"Ousmane Ndiaye";"Sokhna Diallo";"Abdoulaye Gueye"},RANDBETWEEN(1,8))</f>
        <v>Ousmane Ndiaye</v>
      </c>
      <c r="F11">
        <f t="shared" ca="1" si="2"/>
        <v>10</v>
      </c>
      <c r="G11" s="11">
        <f t="shared" ca="1" si="3"/>
        <v>478774</v>
      </c>
      <c r="H11" s="11">
        <f ca="1">tblVentes[[#This Row],[Prix_Unitaire]]*tblVentes[[#This Row],[Quantité]]</f>
        <v>4787740</v>
      </c>
      <c r="I11">
        <f t="shared" ca="1" si="4"/>
        <v>0.13491849913519527</v>
      </c>
      <c r="J11" s="14">
        <f ca="1">tblVentes[[#This Row],[Chiffre_Affaires]]*(1-tblVentes[[#This Row],[Remise]])</f>
        <v>4141785.3049504603</v>
      </c>
    </row>
    <row r="12" spans="1:12" x14ac:dyDescent="0.45">
      <c r="A12" s="1">
        <f t="shared" ca="1" si="0"/>
        <v>46293</v>
      </c>
      <c r="B12" t="str">
        <f t="shared" si="1"/>
        <v>V0011</v>
      </c>
      <c r="C12" t="str" cm="1">
        <f t="array" aca="1" ref="C12" ca="1">INDEX({"Laptop";"Souris";"Clavier";"Écran";"Casque";"Tablette";"Imprimante";"Disque dur";"RAM";"Carte graphique"},RANDBETWEEN(1,10))</f>
        <v>Imprimante</v>
      </c>
      <c r="D12" t="str" cm="1">
        <f t="array" aca="1" ref="D12" ca="1">INDEX({"Informatique";"Accessoires";"Périphériques";"Stockage";"Audio"},RANDBETWEEN(1,5))</f>
        <v>Accessoires</v>
      </c>
      <c r="E12" t="str" cm="1">
        <f t="array" aca="1" ref="E12" ca="1">INDEX({"Awa Ndiaye";"Mamadou Diop";"Fatou Fall";"Cheikh Ba";"Mariama Sow";"Ousmane Ndiaye";"Sokhna Diallo";"Abdoulaye Gueye"},RANDBETWEEN(1,8))</f>
        <v>Cheikh Ba</v>
      </c>
      <c r="F12">
        <f t="shared" ca="1" si="2"/>
        <v>9</v>
      </c>
      <c r="G12" s="11">
        <f t="shared" ca="1" si="3"/>
        <v>112068</v>
      </c>
      <c r="H12" s="11">
        <f ca="1">tblVentes[[#This Row],[Prix_Unitaire]]*tblVentes[[#This Row],[Quantité]]</f>
        <v>1008612</v>
      </c>
      <c r="I12">
        <f t="shared" ca="1" si="4"/>
        <v>0.1321104295414931</v>
      </c>
      <c r="J12" s="14">
        <f ca="1">tblVentes[[#This Row],[Chiffre_Affaires]]*(1-tblVentes[[#This Row],[Remise]])</f>
        <v>875363.83543929551</v>
      </c>
    </row>
    <row r="13" spans="1:12" x14ac:dyDescent="0.45">
      <c r="A13" s="1">
        <f t="shared" ca="1" si="0"/>
        <v>46273</v>
      </c>
      <c r="B13" t="str">
        <f t="shared" si="1"/>
        <v>V0012</v>
      </c>
      <c r="C13" t="str" cm="1">
        <f t="array" aca="1" ref="C13" ca="1">INDEX({"Laptop";"Souris";"Clavier";"Écran";"Casque";"Tablette";"Imprimante";"Disque dur";"RAM";"Carte graphique"},RANDBETWEEN(1,10))</f>
        <v>Disque dur</v>
      </c>
      <c r="D13" t="str" cm="1">
        <f t="array" aca="1" ref="D13" ca="1">INDEX({"Informatique";"Accessoires";"Périphériques";"Stockage";"Audio"},RANDBETWEEN(1,5))</f>
        <v>Accessoires</v>
      </c>
      <c r="E13" t="str" cm="1">
        <f t="array" aca="1" ref="E13" ca="1">INDEX({"Awa Ndiaye";"Mamadou Diop";"Fatou Fall";"Cheikh Ba";"Mariama Sow";"Ousmane Ndiaye";"Sokhna Diallo";"Abdoulaye Gueye"},RANDBETWEEN(1,8))</f>
        <v>Cheikh Ba</v>
      </c>
      <c r="F13">
        <f t="shared" ca="1" si="2"/>
        <v>4</v>
      </c>
      <c r="G13" s="11">
        <f t="shared" ca="1" si="3"/>
        <v>394055</v>
      </c>
      <c r="H13" s="11">
        <f ca="1">tblVentes[[#This Row],[Prix_Unitaire]]*tblVentes[[#This Row],[Quantité]]</f>
        <v>1576220</v>
      </c>
      <c r="I13">
        <f t="shared" ca="1" si="4"/>
        <v>0.11901222716739933</v>
      </c>
      <c r="J13" s="14">
        <f ca="1">tblVentes[[#This Row],[Chiffre_Affaires]]*(1-tblVentes[[#This Row],[Remise]])</f>
        <v>1388630.5472942018</v>
      </c>
    </row>
    <row r="14" spans="1:12" x14ac:dyDescent="0.45">
      <c r="A14" s="1">
        <f t="shared" ca="1" si="0"/>
        <v>46270</v>
      </c>
      <c r="B14" t="str">
        <f t="shared" si="1"/>
        <v>V0013</v>
      </c>
      <c r="C14" t="str" cm="1">
        <f t="array" aca="1" ref="C14" ca="1">INDEX({"Laptop";"Souris";"Clavier";"Écran";"Casque";"Tablette";"Imprimante";"Disque dur";"RAM";"Carte graphique"},RANDBETWEEN(1,10))</f>
        <v>Casque</v>
      </c>
      <c r="D14" t="str" cm="1">
        <f t="array" aca="1" ref="D14" ca="1">INDEX({"Informatique";"Accessoires";"Périphériques";"Stockage";"Audio"},RANDBETWEEN(1,5))</f>
        <v>Informatique</v>
      </c>
      <c r="E14" t="str" cm="1">
        <f t="array" aca="1" ref="E14" ca="1">INDEX({"Awa Ndiaye";"Mamadou Diop";"Fatou Fall";"Cheikh Ba";"Mariama Sow";"Ousmane Ndiaye";"Sokhna Diallo";"Abdoulaye Gueye"},RANDBETWEEN(1,8))</f>
        <v>Abdoulaye Gueye</v>
      </c>
      <c r="F14">
        <f t="shared" ca="1" si="2"/>
        <v>10</v>
      </c>
      <c r="G14" s="11">
        <f t="shared" ca="1" si="3"/>
        <v>125204</v>
      </c>
      <c r="H14" s="11">
        <f ca="1">tblVentes[[#This Row],[Prix_Unitaire]]*tblVentes[[#This Row],[Quantité]]</f>
        <v>1252040</v>
      </c>
      <c r="I14">
        <f t="shared" ca="1" si="4"/>
        <v>1.7226453037474724E-2</v>
      </c>
      <c r="J14" s="14">
        <f ca="1">tblVentes[[#This Row],[Chiffre_Affaires]]*(1-tblVentes[[#This Row],[Remise]])</f>
        <v>1230471.7917389602</v>
      </c>
    </row>
    <row r="15" spans="1:12" x14ac:dyDescent="0.45">
      <c r="A15" s="1">
        <f t="shared" ca="1" si="0"/>
        <v>46267</v>
      </c>
      <c r="B15" t="str">
        <f t="shared" si="1"/>
        <v>V0014</v>
      </c>
      <c r="C15" t="str" cm="1">
        <f t="array" aca="1" ref="C15" ca="1">INDEX({"Laptop";"Souris";"Clavier";"Écran";"Casque";"Tablette";"Imprimante";"Disque dur";"RAM";"Carte graphique"},RANDBETWEEN(1,10))</f>
        <v>Souris</v>
      </c>
      <c r="D15" t="str" cm="1">
        <f t="array" aca="1" ref="D15" ca="1">INDEX({"Informatique";"Accessoires";"Périphériques";"Stockage";"Audio"},RANDBETWEEN(1,5))</f>
        <v>Audio</v>
      </c>
      <c r="E15" t="str" cm="1">
        <f t="array" aca="1" ref="E15" ca="1">INDEX({"Awa Ndiaye";"Mamadou Diop";"Fatou Fall";"Cheikh Ba";"Mariama Sow";"Ousmane Ndiaye";"Sokhna Diallo";"Abdoulaye Gueye"},RANDBETWEEN(1,8))</f>
        <v>Mariama Sow</v>
      </c>
      <c r="F15">
        <f t="shared" ca="1" si="2"/>
        <v>7</v>
      </c>
      <c r="G15" s="11">
        <f t="shared" ca="1" si="3"/>
        <v>446330</v>
      </c>
      <c r="H15" s="11">
        <f ca="1">tblVentes[[#This Row],[Prix_Unitaire]]*tblVentes[[#This Row],[Quantité]]</f>
        <v>3124310</v>
      </c>
      <c r="I15">
        <f t="shared" ca="1" si="4"/>
        <v>0.1371199332325542</v>
      </c>
      <c r="J15" s="14">
        <f ca="1">tblVentes[[#This Row],[Chiffre_Affaires]]*(1-tblVentes[[#This Row],[Remise]])</f>
        <v>2695904.8214021986</v>
      </c>
    </row>
    <row r="16" spans="1:12" x14ac:dyDescent="0.45">
      <c r="A16" s="1">
        <f t="shared" ca="1" si="0"/>
        <v>46280</v>
      </c>
      <c r="B16" t="str">
        <f t="shared" si="1"/>
        <v>V0015</v>
      </c>
      <c r="C16" t="str" cm="1">
        <f t="array" aca="1" ref="C16" ca="1">INDEX({"Laptop";"Souris";"Clavier";"Écran";"Casque";"Tablette";"Imprimante";"Disque dur";"RAM";"Carte graphique"},RANDBETWEEN(1,10))</f>
        <v>Imprimante</v>
      </c>
      <c r="D16" t="str" cm="1">
        <f t="array" aca="1" ref="D16" ca="1">INDEX({"Informatique";"Accessoires";"Périphériques";"Stockage";"Audio"},RANDBETWEEN(1,5))</f>
        <v>Informatique</v>
      </c>
      <c r="E16" t="str" cm="1">
        <f t="array" aca="1" ref="E16" ca="1">INDEX({"Awa Ndiaye";"Mamadou Diop";"Fatou Fall";"Cheikh Ba";"Mariama Sow";"Ousmane Ndiaye";"Sokhna Diallo";"Abdoulaye Gueye"},RANDBETWEEN(1,8))</f>
        <v>Ousmane Ndiaye</v>
      </c>
      <c r="F16">
        <f t="shared" ca="1" si="2"/>
        <v>1</v>
      </c>
      <c r="G16" s="11">
        <f t="shared" ca="1" si="3"/>
        <v>371967</v>
      </c>
      <c r="H16" s="11">
        <f ca="1">tblVentes[[#This Row],[Prix_Unitaire]]*tblVentes[[#This Row],[Quantité]]</f>
        <v>371967</v>
      </c>
      <c r="I16">
        <f t="shared" ca="1" si="4"/>
        <v>7.558707420878729E-3</v>
      </c>
      <c r="J16" s="14">
        <f ca="1">tblVentes[[#This Row],[Chiffre_Affaires]]*(1-tblVentes[[#This Row],[Remise]])</f>
        <v>369155.41027677798</v>
      </c>
    </row>
    <row r="17" spans="1:10" x14ac:dyDescent="0.45">
      <c r="A17" s="1">
        <f t="shared" ca="1" si="0"/>
        <v>46267</v>
      </c>
      <c r="B17" t="str">
        <f t="shared" si="1"/>
        <v>V0016</v>
      </c>
      <c r="C17" t="str" cm="1">
        <f t="array" aca="1" ref="C17" ca="1">INDEX({"Laptop";"Souris";"Clavier";"Écran";"Casque";"Tablette";"Imprimante";"Disque dur";"RAM";"Carte graphique"},RANDBETWEEN(1,10))</f>
        <v>Laptop</v>
      </c>
      <c r="D17" t="str" cm="1">
        <f t="array" aca="1" ref="D17" ca="1">INDEX({"Informatique";"Accessoires";"Périphériques";"Stockage";"Audio"},RANDBETWEEN(1,5))</f>
        <v>Accessoires</v>
      </c>
      <c r="E17" t="str" cm="1">
        <f t="array" aca="1" ref="E17" ca="1">INDEX({"Awa Ndiaye";"Mamadou Diop";"Fatou Fall";"Cheikh Ba";"Mariama Sow";"Ousmane Ndiaye";"Sokhna Diallo";"Abdoulaye Gueye"},RANDBETWEEN(1,8))</f>
        <v>Awa Ndiaye</v>
      </c>
      <c r="F17">
        <f t="shared" ca="1" si="2"/>
        <v>10</v>
      </c>
      <c r="G17" s="11">
        <f t="shared" ca="1" si="3"/>
        <v>180905</v>
      </c>
      <c r="H17" s="11">
        <f ca="1">tblVentes[[#This Row],[Prix_Unitaire]]*tblVentes[[#This Row],[Quantité]]</f>
        <v>1809050</v>
      </c>
      <c r="I17">
        <f t="shared" ca="1" si="4"/>
        <v>7.6848079742606643E-2</v>
      </c>
      <c r="J17" s="14">
        <f ca="1">tblVentes[[#This Row],[Chiffre_Affaires]]*(1-tblVentes[[#This Row],[Remise]])</f>
        <v>1670027.9813416374</v>
      </c>
    </row>
    <row r="18" spans="1:10" x14ac:dyDescent="0.45">
      <c r="A18" s="1">
        <f t="shared" ca="1" si="0"/>
        <v>46280</v>
      </c>
      <c r="B18" t="str">
        <f t="shared" si="1"/>
        <v>V0017</v>
      </c>
      <c r="C18" t="str" cm="1">
        <f t="array" aca="1" ref="C18" ca="1">INDEX({"Laptop";"Souris";"Clavier";"Écran";"Casque";"Tablette";"Imprimante";"Disque dur";"RAM";"Carte graphique"},RANDBETWEEN(1,10))</f>
        <v>Carte graphique</v>
      </c>
      <c r="D18" t="str" cm="1">
        <f t="array" aca="1" ref="D18" ca="1">INDEX({"Informatique";"Accessoires";"Périphériques";"Stockage";"Audio"},RANDBETWEEN(1,5))</f>
        <v>Accessoires</v>
      </c>
      <c r="E18" t="str" cm="1">
        <f t="array" aca="1" ref="E18" ca="1">INDEX({"Awa Ndiaye";"Mamadou Diop";"Fatou Fall";"Cheikh Ba";"Mariama Sow";"Ousmane Ndiaye";"Sokhna Diallo";"Abdoulaye Gueye"},RANDBETWEEN(1,8))</f>
        <v>Mamadou Diop</v>
      </c>
      <c r="F18">
        <f t="shared" ca="1" si="2"/>
        <v>3</v>
      </c>
      <c r="G18" s="11">
        <f t="shared" ca="1" si="3"/>
        <v>267222</v>
      </c>
      <c r="H18" s="11">
        <f ca="1">tblVentes[[#This Row],[Prix_Unitaire]]*tblVentes[[#This Row],[Quantité]]</f>
        <v>801666</v>
      </c>
      <c r="I18">
        <f t="shared" ca="1" si="4"/>
        <v>7.9995276354409006E-3</v>
      </c>
      <c r="J18" s="14">
        <f ca="1">tblVentes[[#This Row],[Chiffre_Affaires]]*(1-tblVentes[[#This Row],[Remise]])</f>
        <v>795253.05067860661</v>
      </c>
    </row>
    <row r="19" spans="1:10" x14ac:dyDescent="0.45">
      <c r="A19" s="1">
        <f t="shared" ca="1" si="0"/>
        <v>46269</v>
      </c>
      <c r="B19" t="str">
        <f t="shared" si="1"/>
        <v>V0018</v>
      </c>
      <c r="C19" t="str" cm="1">
        <f t="array" aca="1" ref="C19" ca="1">INDEX({"Laptop";"Souris";"Clavier";"Écran";"Casque";"Tablette";"Imprimante";"Disque dur";"RAM";"Carte graphique"},RANDBETWEEN(1,10))</f>
        <v>Écran</v>
      </c>
      <c r="D19" t="str" cm="1">
        <f t="array" aca="1" ref="D19" ca="1">INDEX({"Informatique";"Accessoires";"Périphériques";"Stockage";"Audio"},RANDBETWEEN(1,5))</f>
        <v>Stockage</v>
      </c>
      <c r="E19" t="str" cm="1">
        <f t="array" aca="1" ref="E19" ca="1">INDEX({"Awa Ndiaye";"Mamadou Diop";"Fatou Fall";"Cheikh Ba";"Mariama Sow";"Ousmane Ndiaye";"Sokhna Diallo";"Abdoulaye Gueye"},RANDBETWEEN(1,8))</f>
        <v>Abdoulaye Gueye</v>
      </c>
      <c r="F19">
        <f t="shared" ca="1" si="2"/>
        <v>10</v>
      </c>
      <c r="G19" s="11">
        <f t="shared" ca="1" si="3"/>
        <v>405542</v>
      </c>
      <c r="H19" s="11">
        <f ca="1">tblVentes[[#This Row],[Prix_Unitaire]]*tblVentes[[#This Row],[Quantité]]</f>
        <v>4055420</v>
      </c>
      <c r="I19">
        <f t="shared" ca="1" si="4"/>
        <v>9.3812823848617943E-2</v>
      </c>
      <c r="J19" s="14">
        <f ca="1">tblVentes[[#This Row],[Chiffre_Affaires]]*(1-tblVentes[[#This Row],[Remise]])</f>
        <v>3674969.5979078375</v>
      </c>
    </row>
    <row r="20" spans="1:10" x14ac:dyDescent="0.45">
      <c r="A20" s="1">
        <f t="shared" ca="1" si="0"/>
        <v>46276</v>
      </c>
      <c r="B20" t="str">
        <f t="shared" si="1"/>
        <v>V0019</v>
      </c>
      <c r="C20" t="str" cm="1">
        <f t="array" aca="1" ref="C20" ca="1">INDEX({"Laptop";"Souris";"Clavier";"Écran";"Casque";"Tablette";"Imprimante";"Disque dur";"RAM";"Carte graphique"},RANDBETWEEN(1,10))</f>
        <v>Écran</v>
      </c>
      <c r="D20" t="str" cm="1">
        <f t="array" aca="1" ref="D20" ca="1">INDEX({"Informatique";"Accessoires";"Périphériques";"Stockage";"Audio"},RANDBETWEEN(1,5))</f>
        <v>Informatique</v>
      </c>
      <c r="E20" t="str" cm="1">
        <f t="array" aca="1" ref="E20" ca="1">INDEX({"Awa Ndiaye";"Mamadou Diop";"Fatou Fall";"Cheikh Ba";"Mariama Sow";"Ousmane Ndiaye";"Sokhna Diallo";"Abdoulaye Gueye"},RANDBETWEEN(1,8))</f>
        <v>Mariama Sow</v>
      </c>
      <c r="F20">
        <f t="shared" ca="1" si="2"/>
        <v>5</v>
      </c>
      <c r="G20" s="11">
        <f t="shared" ca="1" si="3"/>
        <v>175449</v>
      </c>
      <c r="H20" s="11">
        <f ca="1">tblVentes[[#This Row],[Prix_Unitaire]]*tblVentes[[#This Row],[Quantité]]</f>
        <v>877245</v>
      </c>
      <c r="I20">
        <f t="shared" ca="1" si="4"/>
        <v>0.12644403915274186</v>
      </c>
      <c r="J20" s="14">
        <f ca="1">tblVentes[[#This Row],[Chiffre_Affaires]]*(1-tblVentes[[#This Row],[Remise]])</f>
        <v>766322.59887345298</v>
      </c>
    </row>
    <row r="21" spans="1:10" x14ac:dyDescent="0.45">
      <c r="A21" s="1">
        <f t="shared" ca="1" si="0"/>
        <v>46285</v>
      </c>
      <c r="B21" t="str">
        <f t="shared" si="1"/>
        <v>V0020</v>
      </c>
      <c r="C21" t="str" cm="1">
        <f t="array" aca="1" ref="C21" ca="1">INDEX({"Laptop";"Souris";"Clavier";"Écran";"Casque";"Tablette";"Imprimante";"Disque dur";"RAM";"Carte graphique"},RANDBETWEEN(1,10))</f>
        <v>Imprimante</v>
      </c>
      <c r="D21" t="str" cm="1">
        <f t="array" aca="1" ref="D21" ca="1">INDEX({"Informatique";"Accessoires";"Périphériques";"Stockage";"Audio"},RANDBETWEEN(1,5))</f>
        <v>Informatique</v>
      </c>
      <c r="E21" t="str" cm="1">
        <f t="array" aca="1" ref="E21" ca="1">INDEX({"Awa Ndiaye";"Mamadou Diop";"Fatou Fall";"Cheikh Ba";"Mariama Sow";"Ousmane Ndiaye";"Sokhna Diallo";"Abdoulaye Gueye"},RANDBETWEEN(1,8))</f>
        <v>Mariama Sow</v>
      </c>
      <c r="F21">
        <f t="shared" ca="1" si="2"/>
        <v>9</v>
      </c>
      <c r="G21" s="11">
        <f t="shared" ca="1" si="3"/>
        <v>124035</v>
      </c>
      <c r="H21" s="11">
        <f ca="1">tblVentes[[#This Row],[Prix_Unitaire]]*tblVentes[[#This Row],[Quantité]]</f>
        <v>1116315</v>
      </c>
      <c r="I21">
        <f t="shared" ca="1" si="4"/>
        <v>8.3344513184810162E-2</v>
      </c>
      <c r="J21" s="14">
        <f ca="1">tblVentes[[#This Row],[Chiffre_Affaires]]*(1-tblVentes[[#This Row],[Remise]])</f>
        <v>1023276.2697640986</v>
      </c>
    </row>
    <row r="22" spans="1:10" x14ac:dyDescent="0.45">
      <c r="A22" s="1">
        <f t="shared" ca="1" si="0"/>
        <v>46267</v>
      </c>
      <c r="B22" t="str">
        <f t="shared" si="1"/>
        <v>V0021</v>
      </c>
      <c r="C22" t="str" cm="1">
        <f t="array" aca="1" ref="C22" ca="1">INDEX({"Laptop";"Souris";"Clavier";"Écran";"Casque";"Tablette";"Imprimante";"Disque dur";"RAM";"Carte graphique"},RANDBETWEEN(1,10))</f>
        <v>Disque dur</v>
      </c>
      <c r="D22" t="str" cm="1">
        <f t="array" aca="1" ref="D22" ca="1">INDEX({"Informatique";"Accessoires";"Périphériques";"Stockage";"Audio"},RANDBETWEEN(1,5))</f>
        <v>Informatique</v>
      </c>
      <c r="E22" t="str" cm="1">
        <f t="array" aca="1" ref="E22" ca="1">INDEX({"Awa Ndiaye";"Mamadou Diop";"Fatou Fall";"Cheikh Ba";"Mariama Sow";"Ousmane Ndiaye";"Sokhna Diallo";"Abdoulaye Gueye"},RANDBETWEEN(1,8))</f>
        <v>Sokhna Diallo</v>
      </c>
      <c r="F22">
        <f t="shared" ca="1" si="2"/>
        <v>6</v>
      </c>
      <c r="G22" s="11">
        <f t="shared" ca="1" si="3"/>
        <v>196003</v>
      </c>
      <c r="H22" s="11">
        <f ca="1">tblVentes[[#This Row],[Prix_Unitaire]]*tblVentes[[#This Row],[Quantité]]</f>
        <v>1176018</v>
      </c>
      <c r="I22">
        <f t="shared" ca="1" si="4"/>
        <v>0.13106190308709287</v>
      </c>
      <c r="J22" s="14">
        <f ca="1">tblVentes[[#This Row],[Chiffre_Affaires]]*(1-tblVentes[[#This Row],[Remise]])</f>
        <v>1021886.8428553232</v>
      </c>
    </row>
    <row r="23" spans="1:10" x14ac:dyDescent="0.45">
      <c r="A23" s="1">
        <f t="shared" ca="1" si="0"/>
        <v>46281</v>
      </c>
      <c r="B23" t="str">
        <f t="shared" si="1"/>
        <v>V0022</v>
      </c>
      <c r="C23" t="str" cm="1">
        <f t="array" aca="1" ref="C23" ca="1">INDEX({"Laptop";"Souris";"Clavier";"Écran";"Casque";"Tablette";"Imprimante";"Disque dur";"RAM";"Carte graphique"},RANDBETWEEN(1,10))</f>
        <v>Disque dur</v>
      </c>
      <c r="D23" t="str" cm="1">
        <f t="array" aca="1" ref="D23" ca="1">INDEX({"Informatique";"Accessoires";"Périphériques";"Stockage";"Audio"},RANDBETWEEN(1,5))</f>
        <v>Stockage</v>
      </c>
      <c r="E23" t="str" cm="1">
        <f t="array" aca="1" ref="E23" ca="1">INDEX({"Awa Ndiaye";"Mamadou Diop";"Fatou Fall";"Cheikh Ba";"Mariama Sow";"Ousmane Ndiaye";"Sokhna Diallo";"Abdoulaye Gueye"},RANDBETWEEN(1,8))</f>
        <v>Mamadou Diop</v>
      </c>
      <c r="F23">
        <f t="shared" ca="1" si="2"/>
        <v>4</v>
      </c>
      <c r="G23" s="11">
        <f t="shared" ca="1" si="3"/>
        <v>221766</v>
      </c>
      <c r="H23" s="11">
        <f ca="1">tblVentes[[#This Row],[Prix_Unitaire]]*tblVentes[[#This Row],[Quantité]]</f>
        <v>887064</v>
      </c>
      <c r="I23">
        <f t="shared" ca="1" si="4"/>
        <v>1.739791862637283E-2</v>
      </c>
      <c r="J23" s="14">
        <f ca="1">tblVentes[[#This Row],[Chiffre_Affaires]]*(1-tblVentes[[#This Row],[Remise]])</f>
        <v>871630.93271161523</v>
      </c>
    </row>
    <row r="24" spans="1:10" x14ac:dyDescent="0.45">
      <c r="A24" s="1">
        <f t="shared" ca="1" si="0"/>
        <v>46270</v>
      </c>
      <c r="B24" t="str">
        <f t="shared" si="1"/>
        <v>V0023</v>
      </c>
      <c r="C24" t="str" cm="1">
        <f t="array" aca="1" ref="C24" ca="1">INDEX({"Laptop";"Souris";"Clavier";"Écran";"Casque";"Tablette";"Imprimante";"Disque dur";"RAM";"Carte graphique"},RANDBETWEEN(1,10))</f>
        <v>Clavier</v>
      </c>
      <c r="D24" t="str" cm="1">
        <f t="array" aca="1" ref="D24" ca="1">INDEX({"Informatique";"Accessoires";"Périphériques";"Stockage";"Audio"},RANDBETWEEN(1,5))</f>
        <v>Stockage</v>
      </c>
      <c r="E24" t="str" cm="1">
        <f t="array" aca="1" ref="E24" ca="1">INDEX({"Awa Ndiaye";"Mamadou Diop";"Fatou Fall";"Cheikh Ba";"Mariama Sow";"Ousmane Ndiaye";"Sokhna Diallo";"Abdoulaye Gueye"},RANDBETWEEN(1,8))</f>
        <v>Abdoulaye Gueye</v>
      </c>
      <c r="F24">
        <f t="shared" ca="1" si="2"/>
        <v>3</v>
      </c>
      <c r="G24" s="11">
        <f t="shared" ca="1" si="3"/>
        <v>454285</v>
      </c>
      <c r="H24" s="11">
        <f ca="1">tblVentes[[#This Row],[Prix_Unitaire]]*tblVentes[[#This Row],[Quantité]]</f>
        <v>1362855</v>
      </c>
      <c r="I24">
        <f t="shared" ca="1" si="4"/>
        <v>0.11800690511426065</v>
      </c>
      <c r="J24" s="14">
        <f ca="1">tblVentes[[#This Row],[Chiffre_Affaires]]*(1-tblVentes[[#This Row],[Remise]])</f>
        <v>1202028.6993305043</v>
      </c>
    </row>
    <row r="25" spans="1:10" x14ac:dyDescent="0.45">
      <c r="A25" s="1">
        <f t="shared" ca="1" si="0"/>
        <v>46289</v>
      </c>
      <c r="B25" t="str">
        <f t="shared" si="1"/>
        <v>V0024</v>
      </c>
      <c r="C25" t="str" cm="1">
        <f t="array" aca="1" ref="C25" ca="1">INDEX({"Laptop";"Souris";"Clavier";"Écran";"Casque";"Tablette";"Imprimante";"Disque dur";"RAM";"Carte graphique"},RANDBETWEEN(1,10))</f>
        <v>Disque dur</v>
      </c>
      <c r="D25" t="str" cm="1">
        <f t="array" aca="1" ref="D25" ca="1">INDEX({"Informatique";"Accessoires";"Périphériques";"Stockage";"Audio"},RANDBETWEEN(1,5))</f>
        <v>Périphériques</v>
      </c>
      <c r="E25" t="str" cm="1">
        <f t="array" aca="1" ref="E25" ca="1">INDEX({"Awa Ndiaye";"Mamadou Diop";"Fatou Fall";"Cheikh Ba";"Mariama Sow";"Ousmane Ndiaye";"Sokhna Diallo";"Abdoulaye Gueye"},RANDBETWEEN(1,8))</f>
        <v>Ousmane Ndiaye</v>
      </c>
      <c r="F25">
        <f t="shared" ca="1" si="2"/>
        <v>7</v>
      </c>
      <c r="G25" s="11">
        <f t="shared" ca="1" si="3"/>
        <v>95323</v>
      </c>
      <c r="H25" s="11">
        <f ca="1">tblVentes[[#This Row],[Prix_Unitaire]]*tblVentes[[#This Row],[Quantité]]</f>
        <v>667261</v>
      </c>
      <c r="I25">
        <f t="shared" ca="1" si="4"/>
        <v>7.2490367962461735E-2</v>
      </c>
      <c r="J25" s="14">
        <f ca="1">tblVentes[[#This Row],[Chiffre_Affaires]]*(1-tblVentes[[#This Row],[Remise]])</f>
        <v>618891.00458299974</v>
      </c>
    </row>
    <row r="26" spans="1:10" x14ac:dyDescent="0.45">
      <c r="A26" s="1">
        <f t="shared" ca="1" si="0"/>
        <v>46283</v>
      </c>
      <c r="B26" t="str">
        <f t="shared" si="1"/>
        <v>V0025</v>
      </c>
      <c r="C26" t="str" cm="1">
        <f t="array" aca="1" ref="C26" ca="1">INDEX({"Laptop";"Souris";"Clavier";"Écran";"Casque";"Tablette";"Imprimante";"Disque dur";"RAM";"Carte graphique"},RANDBETWEEN(1,10))</f>
        <v>Souris</v>
      </c>
      <c r="D26" t="str" cm="1">
        <f t="array" aca="1" ref="D26" ca="1">INDEX({"Informatique";"Accessoires";"Périphériques";"Stockage";"Audio"},RANDBETWEEN(1,5))</f>
        <v>Informatique</v>
      </c>
      <c r="E26" t="str" cm="1">
        <f t="array" aca="1" ref="E26" ca="1">INDEX({"Awa Ndiaye";"Mamadou Diop";"Fatou Fall";"Cheikh Ba";"Mariama Sow";"Ousmane Ndiaye";"Sokhna Diallo";"Abdoulaye Gueye"},RANDBETWEEN(1,8))</f>
        <v>Awa Ndiaye</v>
      </c>
      <c r="F26">
        <f t="shared" ca="1" si="2"/>
        <v>2</v>
      </c>
      <c r="G26" s="11">
        <f t="shared" ca="1" si="3"/>
        <v>279070</v>
      </c>
      <c r="H26" s="11">
        <f ca="1">tblVentes[[#This Row],[Prix_Unitaire]]*tblVentes[[#This Row],[Quantité]]</f>
        <v>558140</v>
      </c>
      <c r="I26">
        <f t="shared" ca="1" si="4"/>
        <v>9.7060473693778224E-2</v>
      </c>
      <c r="J26" s="14">
        <f ca="1">tblVentes[[#This Row],[Chiffre_Affaires]]*(1-tblVentes[[#This Row],[Remise]])</f>
        <v>503966.6672125546</v>
      </c>
    </row>
    <row r="27" spans="1:10" x14ac:dyDescent="0.45">
      <c r="A27" s="1">
        <f t="shared" ca="1" si="0"/>
        <v>46291</v>
      </c>
      <c r="B27" t="str">
        <f t="shared" si="1"/>
        <v>V0026</v>
      </c>
      <c r="C27" t="str" cm="1">
        <f t="array" aca="1" ref="C27" ca="1">INDEX({"Laptop";"Souris";"Clavier";"Écran";"Casque";"Tablette";"Imprimante";"Disque dur";"RAM";"Carte graphique"},RANDBETWEEN(1,10))</f>
        <v>Disque dur</v>
      </c>
      <c r="D27" t="str" cm="1">
        <f t="array" aca="1" ref="D27" ca="1">INDEX({"Informatique";"Accessoires";"Périphériques";"Stockage";"Audio"},RANDBETWEEN(1,5))</f>
        <v>Audio</v>
      </c>
      <c r="E27" t="str" cm="1">
        <f t="array" aca="1" ref="E27" ca="1">INDEX({"Awa Ndiaye";"Mamadou Diop";"Fatou Fall";"Cheikh Ba";"Mariama Sow";"Ousmane Ndiaye";"Sokhna Diallo";"Abdoulaye Gueye"},RANDBETWEEN(1,8))</f>
        <v>Ousmane Ndiaye</v>
      </c>
      <c r="F27">
        <f t="shared" ca="1" si="2"/>
        <v>9</v>
      </c>
      <c r="G27" s="11">
        <f t="shared" ca="1" si="3"/>
        <v>148402</v>
      </c>
      <c r="H27" s="11">
        <f ca="1">tblVentes[[#This Row],[Prix_Unitaire]]*tblVentes[[#This Row],[Quantité]]</f>
        <v>1335618</v>
      </c>
      <c r="I27">
        <f t="shared" ca="1" si="4"/>
        <v>9.2584526628687117E-2</v>
      </c>
      <c r="J27" s="14">
        <f ca="1">tblVentes[[#This Row],[Chiffre_Affaires]]*(1-tblVentes[[#This Row],[Remise]])</f>
        <v>1211960.4397132462</v>
      </c>
    </row>
    <row r="28" spans="1:10" x14ac:dyDescent="0.45">
      <c r="A28" s="1">
        <f t="shared" ca="1" si="0"/>
        <v>46277</v>
      </c>
      <c r="B28" t="str">
        <f t="shared" si="1"/>
        <v>V0027</v>
      </c>
      <c r="C28" t="str" cm="1">
        <f t="array" aca="1" ref="C28" ca="1">INDEX({"Laptop";"Souris";"Clavier";"Écran";"Casque";"Tablette";"Imprimante";"Disque dur";"RAM";"Carte graphique"},RANDBETWEEN(1,10))</f>
        <v>RAM</v>
      </c>
      <c r="D28" t="str" cm="1">
        <f t="array" aca="1" ref="D28" ca="1">INDEX({"Informatique";"Accessoires";"Périphériques";"Stockage";"Audio"},RANDBETWEEN(1,5))</f>
        <v>Audio</v>
      </c>
      <c r="E28" t="str" cm="1">
        <f t="array" aca="1" ref="E28" ca="1">INDEX({"Awa Ndiaye";"Mamadou Diop";"Fatou Fall";"Cheikh Ba";"Mariama Sow";"Ousmane Ndiaye";"Sokhna Diallo";"Abdoulaye Gueye"},RANDBETWEEN(1,8))</f>
        <v>Sokhna Diallo</v>
      </c>
      <c r="F28">
        <f t="shared" ca="1" si="2"/>
        <v>7</v>
      </c>
      <c r="G28" s="11">
        <f t="shared" ca="1" si="3"/>
        <v>359906</v>
      </c>
      <c r="H28" s="11">
        <f ca="1">tblVentes[[#This Row],[Prix_Unitaire]]*tblVentes[[#This Row],[Quantité]]</f>
        <v>2519342</v>
      </c>
      <c r="I28">
        <f t="shared" ca="1" si="4"/>
        <v>0.1494627375916586</v>
      </c>
      <c r="J28" s="14">
        <f ca="1">tblVentes[[#This Row],[Chiffre_Affaires]]*(1-tblVentes[[#This Row],[Remise]])</f>
        <v>2142794.2477503554</v>
      </c>
    </row>
    <row r="29" spans="1:10" x14ac:dyDescent="0.45">
      <c r="A29" s="1">
        <f t="shared" ca="1" si="0"/>
        <v>46283</v>
      </c>
      <c r="B29" t="str">
        <f t="shared" si="1"/>
        <v>V0028</v>
      </c>
      <c r="C29" t="str" cm="1">
        <f t="array" aca="1" ref="C29" ca="1">INDEX({"Laptop";"Souris";"Clavier";"Écran";"Casque";"Tablette";"Imprimante";"Disque dur";"RAM";"Carte graphique"},RANDBETWEEN(1,10))</f>
        <v>Souris</v>
      </c>
      <c r="D29" t="str" cm="1">
        <f t="array" aca="1" ref="D29" ca="1">INDEX({"Informatique";"Accessoires";"Périphériques";"Stockage";"Audio"},RANDBETWEEN(1,5))</f>
        <v>Audio</v>
      </c>
      <c r="E29" t="str" cm="1">
        <f t="array" aca="1" ref="E29" ca="1">INDEX({"Awa Ndiaye";"Mamadou Diop";"Fatou Fall";"Cheikh Ba";"Mariama Sow";"Ousmane Ndiaye";"Sokhna Diallo";"Abdoulaye Gueye"},RANDBETWEEN(1,8))</f>
        <v>Cheikh Ba</v>
      </c>
      <c r="F29">
        <f t="shared" ca="1" si="2"/>
        <v>6</v>
      </c>
      <c r="G29" s="11">
        <f t="shared" ca="1" si="3"/>
        <v>368008</v>
      </c>
      <c r="H29" s="11">
        <f ca="1">tblVentes[[#This Row],[Prix_Unitaire]]*tblVentes[[#This Row],[Quantité]]</f>
        <v>2208048</v>
      </c>
      <c r="I29">
        <f t="shared" ca="1" si="4"/>
        <v>6.1209785970223848E-2</v>
      </c>
      <c r="J29" s="14">
        <f ca="1">tblVentes[[#This Row],[Chiffre_Affaires]]*(1-tblVentes[[#This Row],[Remise]])</f>
        <v>2072893.8545080191</v>
      </c>
    </row>
    <row r="30" spans="1:10" x14ac:dyDescent="0.45">
      <c r="A30" s="1">
        <f t="shared" ca="1" si="0"/>
        <v>46290</v>
      </c>
      <c r="B30" t="str">
        <f t="shared" si="1"/>
        <v>V0029</v>
      </c>
      <c r="C30" t="str" cm="1">
        <f t="array" aca="1" ref="C30" ca="1">INDEX({"Laptop";"Souris";"Clavier";"Écran";"Casque";"Tablette";"Imprimante";"Disque dur";"RAM";"Carte graphique"},RANDBETWEEN(1,10))</f>
        <v>Disque dur</v>
      </c>
      <c r="D30" t="str" cm="1">
        <f t="array" aca="1" ref="D30" ca="1">INDEX({"Informatique";"Accessoires";"Périphériques";"Stockage";"Audio"},RANDBETWEEN(1,5))</f>
        <v>Périphériques</v>
      </c>
      <c r="E30" t="str" cm="1">
        <f t="array" aca="1" ref="E30" ca="1">INDEX({"Awa Ndiaye";"Mamadou Diop";"Fatou Fall";"Cheikh Ba";"Mariama Sow";"Ousmane Ndiaye";"Sokhna Diallo";"Abdoulaye Gueye"},RANDBETWEEN(1,8))</f>
        <v>Mariama Sow</v>
      </c>
      <c r="F30">
        <f t="shared" ca="1" si="2"/>
        <v>10</v>
      </c>
      <c r="G30" s="11">
        <f t="shared" ca="1" si="3"/>
        <v>373348</v>
      </c>
      <c r="H30" s="11">
        <f ca="1">tblVentes[[#This Row],[Prix_Unitaire]]*tblVentes[[#This Row],[Quantité]]</f>
        <v>3733480</v>
      </c>
      <c r="I30">
        <f t="shared" ca="1" si="4"/>
        <v>4.0012539435448247E-2</v>
      </c>
      <c r="J30" s="14">
        <f ca="1">tblVentes[[#This Row],[Chiffre_Affaires]]*(1-tblVentes[[#This Row],[Remise]])</f>
        <v>3584093.9842685428</v>
      </c>
    </row>
    <row r="31" spans="1:10" x14ac:dyDescent="0.45">
      <c r="A31" s="1">
        <f t="shared" ca="1" si="0"/>
        <v>46281</v>
      </c>
      <c r="B31" t="str">
        <f t="shared" si="1"/>
        <v>V0030</v>
      </c>
      <c r="C31" t="str" cm="1">
        <f t="array" aca="1" ref="C31" ca="1">INDEX({"Laptop";"Souris";"Clavier";"Écran";"Casque";"Tablette";"Imprimante";"Disque dur";"RAM";"Carte graphique"},RANDBETWEEN(1,10))</f>
        <v>Tablette</v>
      </c>
      <c r="D31" t="str" cm="1">
        <f t="array" aca="1" ref="D31" ca="1">INDEX({"Informatique";"Accessoires";"Périphériques";"Stockage";"Audio"},RANDBETWEEN(1,5))</f>
        <v>Informatique</v>
      </c>
      <c r="E31" t="str" cm="1">
        <f t="array" aca="1" ref="E31" ca="1">INDEX({"Awa Ndiaye";"Mamadou Diop";"Fatou Fall";"Cheikh Ba";"Mariama Sow";"Ousmane Ndiaye";"Sokhna Diallo";"Abdoulaye Gueye"},RANDBETWEEN(1,8))</f>
        <v>Ousmane Ndiaye</v>
      </c>
      <c r="F31">
        <f t="shared" ca="1" si="2"/>
        <v>4</v>
      </c>
      <c r="G31" s="11">
        <f t="shared" ca="1" si="3"/>
        <v>212699</v>
      </c>
      <c r="H31" s="11">
        <f ca="1">tblVentes[[#This Row],[Prix_Unitaire]]*tblVentes[[#This Row],[Quantité]]</f>
        <v>850796</v>
      </c>
      <c r="I31">
        <f t="shared" ca="1" si="4"/>
        <v>8.1515771057048103E-2</v>
      </c>
      <c r="J31" s="14">
        <f ca="1">tblVentes[[#This Row],[Chiffre_Affaires]]*(1-tblVentes[[#This Row],[Remise]])</f>
        <v>781442.70804774773</v>
      </c>
    </row>
    <row r="32" spans="1:10" x14ac:dyDescent="0.45">
      <c r="A32" s="1">
        <f t="shared" ca="1" si="0"/>
        <v>46288</v>
      </c>
      <c r="B32" t="str">
        <f t="shared" si="1"/>
        <v>V0031</v>
      </c>
      <c r="C32" t="str" cm="1">
        <f t="array" aca="1" ref="C32" ca="1">INDEX({"Laptop";"Souris";"Clavier";"Écran";"Casque";"Tablette";"Imprimante";"Disque dur";"RAM";"Carte graphique"},RANDBETWEEN(1,10))</f>
        <v>RAM</v>
      </c>
      <c r="D32" t="str" cm="1">
        <f t="array" aca="1" ref="D32" ca="1">INDEX({"Informatique";"Accessoires";"Périphériques";"Stockage";"Audio"},RANDBETWEEN(1,5))</f>
        <v>Accessoires</v>
      </c>
      <c r="E32" t="str" cm="1">
        <f t="array" aca="1" ref="E32" ca="1">INDEX({"Awa Ndiaye";"Mamadou Diop";"Fatou Fall";"Cheikh Ba";"Mariama Sow";"Ousmane Ndiaye";"Sokhna Diallo";"Abdoulaye Gueye"},RANDBETWEEN(1,8))</f>
        <v>Abdoulaye Gueye</v>
      </c>
      <c r="F32">
        <f t="shared" ca="1" si="2"/>
        <v>3</v>
      </c>
      <c r="G32" s="11">
        <f t="shared" ca="1" si="3"/>
        <v>94862</v>
      </c>
      <c r="H32" s="11">
        <f ca="1">tblVentes[[#This Row],[Prix_Unitaire]]*tblVentes[[#This Row],[Quantité]]</f>
        <v>284586</v>
      </c>
      <c r="I32">
        <f t="shared" ca="1" si="4"/>
        <v>5.7718034460021661E-2</v>
      </c>
      <c r="J32" s="14">
        <f ca="1">tblVentes[[#This Row],[Chiffre_Affaires]]*(1-tblVentes[[#This Row],[Remise]])</f>
        <v>268160.25544516026</v>
      </c>
    </row>
    <row r="33" spans="1:10" x14ac:dyDescent="0.45">
      <c r="A33" s="1">
        <f t="shared" ca="1" si="0"/>
        <v>46275</v>
      </c>
      <c r="B33" t="str">
        <f t="shared" si="1"/>
        <v>V0032</v>
      </c>
      <c r="C33" t="str" cm="1">
        <f t="array" aca="1" ref="C33" ca="1">INDEX({"Laptop";"Souris";"Clavier";"Écran";"Casque";"Tablette";"Imprimante";"Disque dur";"RAM";"Carte graphique"},RANDBETWEEN(1,10))</f>
        <v>Tablette</v>
      </c>
      <c r="D33" t="str" cm="1">
        <f t="array" aca="1" ref="D33" ca="1">INDEX({"Informatique";"Accessoires";"Périphériques";"Stockage";"Audio"},RANDBETWEEN(1,5))</f>
        <v>Périphériques</v>
      </c>
      <c r="E33" t="str" cm="1">
        <f t="array" aca="1" ref="E33" ca="1">INDEX({"Awa Ndiaye";"Mamadou Diop";"Fatou Fall";"Cheikh Ba";"Mariama Sow";"Ousmane Ndiaye";"Sokhna Diallo";"Abdoulaye Gueye"},RANDBETWEEN(1,8))</f>
        <v>Ousmane Ndiaye</v>
      </c>
      <c r="F33">
        <f t="shared" ca="1" si="2"/>
        <v>3</v>
      </c>
      <c r="G33" s="11">
        <f t="shared" ca="1" si="3"/>
        <v>466333</v>
      </c>
      <c r="H33" s="11">
        <f ca="1">tblVentes[[#This Row],[Prix_Unitaire]]*tblVentes[[#This Row],[Quantité]]</f>
        <v>1398999</v>
      </c>
      <c r="I33">
        <f t="shared" ca="1" si="4"/>
        <v>2.0157943719574245E-3</v>
      </c>
      <c r="J33" s="14">
        <f ca="1">tblVentes[[#This Row],[Chiffre_Affaires]]*(1-tblVentes[[#This Row],[Remise]])</f>
        <v>1396178.905689426</v>
      </c>
    </row>
    <row r="34" spans="1:10" x14ac:dyDescent="0.45">
      <c r="A34" s="1">
        <f t="shared" ca="1" si="0"/>
        <v>46285</v>
      </c>
      <c r="B34" t="str">
        <f t="shared" si="1"/>
        <v>V0033</v>
      </c>
      <c r="C34" t="str" cm="1">
        <f t="array" aca="1" ref="C34" ca="1">INDEX({"Laptop";"Souris";"Clavier";"Écran";"Casque";"Tablette";"Imprimante";"Disque dur";"RAM";"Carte graphique"},RANDBETWEEN(1,10))</f>
        <v>Disque dur</v>
      </c>
      <c r="D34" t="str" cm="1">
        <f t="array" aca="1" ref="D34" ca="1">INDEX({"Informatique";"Accessoires";"Périphériques";"Stockage";"Audio"},RANDBETWEEN(1,5))</f>
        <v>Accessoires</v>
      </c>
      <c r="E34" t="str" cm="1">
        <f t="array" aca="1" ref="E34" ca="1">INDEX({"Awa Ndiaye";"Mamadou Diop";"Fatou Fall";"Cheikh Ba";"Mariama Sow";"Ousmane Ndiaye";"Sokhna Diallo";"Abdoulaye Gueye"},RANDBETWEEN(1,8))</f>
        <v>Sokhna Diallo</v>
      </c>
      <c r="F34">
        <f t="shared" ca="1" si="2"/>
        <v>8</v>
      </c>
      <c r="G34" s="11">
        <f t="shared" ca="1" si="3"/>
        <v>442975</v>
      </c>
      <c r="H34" s="11">
        <f ca="1">tblVentes[[#This Row],[Prix_Unitaire]]*tblVentes[[#This Row],[Quantité]]</f>
        <v>3543800</v>
      </c>
      <c r="I34">
        <f t="shared" ref="I34:I65" ca="1" si="5">RAND()*0.15</f>
        <v>4.5259158116857996E-2</v>
      </c>
      <c r="J34" s="14">
        <f ca="1">tblVentes[[#This Row],[Chiffre_Affaires]]*(1-tblVentes[[#This Row],[Remise]])</f>
        <v>3383410.5954654785</v>
      </c>
    </row>
    <row r="35" spans="1:10" x14ac:dyDescent="0.45">
      <c r="A35" s="1">
        <f t="shared" ca="1" si="0"/>
        <v>46271</v>
      </c>
      <c r="B35" t="str">
        <f t="shared" si="1"/>
        <v>V0034</v>
      </c>
      <c r="C35" t="str" cm="1">
        <f t="array" aca="1" ref="C35" ca="1">INDEX({"Laptop";"Souris";"Clavier";"Écran";"Casque";"Tablette";"Imprimante";"Disque dur";"RAM";"Carte graphique"},RANDBETWEEN(1,10))</f>
        <v>Souris</v>
      </c>
      <c r="D35" t="str" cm="1">
        <f t="array" aca="1" ref="D35" ca="1">INDEX({"Informatique";"Accessoires";"Périphériques";"Stockage";"Audio"},RANDBETWEEN(1,5))</f>
        <v>Stockage</v>
      </c>
      <c r="E35" t="str" cm="1">
        <f t="array" aca="1" ref="E35" ca="1">INDEX({"Awa Ndiaye";"Mamadou Diop";"Fatou Fall";"Cheikh Ba";"Mariama Sow";"Ousmane Ndiaye";"Sokhna Diallo";"Abdoulaye Gueye"},RANDBETWEEN(1,8))</f>
        <v>Mariama Sow</v>
      </c>
      <c r="F35">
        <f t="shared" ca="1" si="2"/>
        <v>2</v>
      </c>
      <c r="G35" s="11">
        <f t="shared" ca="1" si="3"/>
        <v>52971</v>
      </c>
      <c r="H35" s="11">
        <f ca="1">tblVentes[[#This Row],[Prix_Unitaire]]*tblVentes[[#This Row],[Quantité]]</f>
        <v>105942</v>
      </c>
      <c r="I35">
        <f t="shared" ca="1" si="5"/>
        <v>0.10509644475411825</v>
      </c>
      <c r="J35" s="14">
        <f ca="1">tblVentes[[#This Row],[Chiffre_Affaires]]*(1-tblVentes[[#This Row],[Remise]])</f>
        <v>94807.872449859206</v>
      </c>
    </row>
    <row r="36" spans="1:10" x14ac:dyDescent="0.45">
      <c r="A36" s="1">
        <f t="shared" ca="1" si="0"/>
        <v>46275</v>
      </c>
      <c r="B36" t="str">
        <f t="shared" si="1"/>
        <v>V0035</v>
      </c>
      <c r="C36" t="str" cm="1">
        <f t="array" aca="1" ref="C36" ca="1">INDEX({"Laptop";"Souris";"Clavier";"Écran";"Casque";"Tablette";"Imprimante";"Disque dur";"RAM";"Carte graphique"},RANDBETWEEN(1,10))</f>
        <v>Tablette</v>
      </c>
      <c r="D36" t="str" cm="1">
        <f t="array" aca="1" ref="D36" ca="1">INDEX({"Informatique";"Accessoires";"Périphériques";"Stockage";"Audio"},RANDBETWEEN(1,5))</f>
        <v>Stockage</v>
      </c>
      <c r="E36" t="str" cm="1">
        <f t="array" aca="1" ref="E36" ca="1">INDEX({"Awa Ndiaye";"Mamadou Diop";"Fatou Fall";"Cheikh Ba";"Mariama Sow";"Ousmane Ndiaye";"Sokhna Diallo";"Abdoulaye Gueye"},RANDBETWEEN(1,8))</f>
        <v>Cheikh Ba</v>
      </c>
      <c r="F36">
        <f t="shared" ca="1" si="2"/>
        <v>4</v>
      </c>
      <c r="G36" s="11">
        <f t="shared" ca="1" si="3"/>
        <v>451607</v>
      </c>
      <c r="H36" s="11">
        <f ca="1">tblVentes[[#This Row],[Prix_Unitaire]]*tblVentes[[#This Row],[Quantité]]</f>
        <v>1806428</v>
      </c>
      <c r="I36">
        <f t="shared" ca="1" si="5"/>
        <v>5.325974617181882E-2</v>
      </c>
      <c r="J36" s="14">
        <f ca="1">tblVentes[[#This Row],[Chiffre_Affaires]]*(1-tblVentes[[#This Row],[Remise]])</f>
        <v>1710218.1032423337</v>
      </c>
    </row>
    <row r="37" spans="1:10" x14ac:dyDescent="0.45">
      <c r="A37" s="1">
        <f t="shared" ca="1" si="0"/>
        <v>46286</v>
      </c>
      <c r="B37" t="str">
        <f t="shared" si="1"/>
        <v>V0036</v>
      </c>
      <c r="C37" t="str" cm="1">
        <f t="array" aca="1" ref="C37" ca="1">INDEX({"Laptop";"Souris";"Clavier";"Écran";"Casque";"Tablette";"Imprimante";"Disque dur";"RAM";"Carte graphique"},RANDBETWEEN(1,10))</f>
        <v>Souris</v>
      </c>
      <c r="D37" t="str" cm="1">
        <f t="array" aca="1" ref="D37" ca="1">INDEX({"Informatique";"Accessoires";"Périphériques";"Stockage";"Audio"},RANDBETWEEN(1,5))</f>
        <v>Périphériques</v>
      </c>
      <c r="E37" t="str" cm="1">
        <f t="array" aca="1" ref="E37" ca="1">INDEX({"Awa Ndiaye";"Mamadou Diop";"Fatou Fall";"Cheikh Ba";"Mariama Sow";"Ousmane Ndiaye";"Sokhna Diallo";"Abdoulaye Gueye"},RANDBETWEEN(1,8))</f>
        <v>Abdoulaye Gueye</v>
      </c>
      <c r="F37">
        <f t="shared" ca="1" si="2"/>
        <v>9</v>
      </c>
      <c r="G37" s="11">
        <f t="shared" ca="1" si="3"/>
        <v>232938</v>
      </c>
      <c r="H37" s="11">
        <f ca="1">tblVentes[[#This Row],[Prix_Unitaire]]*tblVentes[[#This Row],[Quantité]]</f>
        <v>2096442</v>
      </c>
      <c r="I37">
        <f t="shared" ca="1" si="5"/>
        <v>0.12131608071758601</v>
      </c>
      <c r="J37" s="14">
        <f ca="1">tblVentes[[#This Row],[Chiffre_Affaires]]*(1-tblVentes[[#This Row],[Remise]])</f>
        <v>1842109.8731082624</v>
      </c>
    </row>
    <row r="38" spans="1:10" x14ac:dyDescent="0.45">
      <c r="A38" s="1">
        <f t="shared" ca="1" si="0"/>
        <v>46273</v>
      </c>
      <c r="B38" t="str">
        <f t="shared" si="1"/>
        <v>V0037</v>
      </c>
      <c r="C38" t="str" cm="1">
        <f t="array" aca="1" ref="C38" ca="1">INDEX({"Laptop";"Souris";"Clavier";"Écran";"Casque";"Tablette";"Imprimante";"Disque dur";"RAM";"Carte graphique"},RANDBETWEEN(1,10))</f>
        <v>RAM</v>
      </c>
      <c r="D38" t="str" cm="1">
        <f t="array" aca="1" ref="D38" ca="1">INDEX({"Informatique";"Accessoires";"Périphériques";"Stockage";"Audio"},RANDBETWEEN(1,5))</f>
        <v>Stockage</v>
      </c>
      <c r="E38" t="str" cm="1">
        <f t="array" aca="1" ref="E38" ca="1">INDEX({"Awa Ndiaye";"Mamadou Diop";"Fatou Fall";"Cheikh Ba";"Mariama Sow";"Ousmane Ndiaye";"Sokhna Diallo";"Abdoulaye Gueye"},RANDBETWEEN(1,8))</f>
        <v>Cheikh Ba</v>
      </c>
      <c r="F38">
        <f t="shared" ca="1" si="2"/>
        <v>7</v>
      </c>
      <c r="G38" s="11">
        <f t="shared" ca="1" si="3"/>
        <v>101701</v>
      </c>
      <c r="H38" s="11">
        <f ca="1">tblVentes[[#This Row],[Prix_Unitaire]]*tblVentes[[#This Row],[Quantité]]</f>
        <v>711907</v>
      </c>
      <c r="I38">
        <f t="shared" ca="1" si="5"/>
        <v>3.9211558851393512E-2</v>
      </c>
      <c r="J38" s="14">
        <f ca="1">tblVentes[[#This Row],[Chiffre_Affaires]]*(1-tblVentes[[#This Row],[Remise]])</f>
        <v>683992.01677278103</v>
      </c>
    </row>
    <row r="39" spans="1:10" x14ac:dyDescent="0.45">
      <c r="A39" s="1">
        <f t="shared" ca="1" si="0"/>
        <v>46291</v>
      </c>
      <c r="B39" t="str">
        <f t="shared" si="1"/>
        <v>V0038</v>
      </c>
      <c r="C39" t="str" cm="1">
        <f t="array" aca="1" ref="C39" ca="1">INDEX({"Laptop";"Souris";"Clavier";"Écran";"Casque";"Tablette";"Imprimante";"Disque dur";"RAM";"Carte graphique"},RANDBETWEEN(1,10))</f>
        <v>Tablette</v>
      </c>
      <c r="D39" t="str" cm="1">
        <f t="array" aca="1" ref="D39" ca="1">INDEX({"Informatique";"Accessoires";"Périphériques";"Stockage";"Audio"},RANDBETWEEN(1,5))</f>
        <v>Périphériques</v>
      </c>
      <c r="E39" t="str" cm="1">
        <f t="array" aca="1" ref="E39" ca="1">INDEX({"Awa Ndiaye";"Mamadou Diop";"Fatou Fall";"Cheikh Ba";"Mariama Sow";"Ousmane Ndiaye";"Sokhna Diallo";"Abdoulaye Gueye"},RANDBETWEEN(1,8))</f>
        <v>Mamadou Diop</v>
      </c>
      <c r="F39">
        <f t="shared" ca="1" si="2"/>
        <v>8</v>
      </c>
      <c r="G39" s="11">
        <f t="shared" ca="1" si="3"/>
        <v>209600</v>
      </c>
      <c r="H39" s="11">
        <f ca="1">tblVentes[[#This Row],[Prix_Unitaire]]*tblVentes[[#This Row],[Quantité]]</f>
        <v>1676800</v>
      </c>
      <c r="I39">
        <f t="shared" ca="1" si="5"/>
        <v>0.10096941676440989</v>
      </c>
      <c r="J39" s="14">
        <f ca="1">tblVentes[[#This Row],[Chiffre_Affaires]]*(1-tblVentes[[#This Row],[Remise]])</f>
        <v>1507494.4819694376</v>
      </c>
    </row>
    <row r="40" spans="1:10" x14ac:dyDescent="0.45">
      <c r="A40" s="1">
        <f t="shared" ca="1" si="0"/>
        <v>46279</v>
      </c>
      <c r="B40" t="str">
        <f t="shared" si="1"/>
        <v>V0039</v>
      </c>
      <c r="C40" t="str" cm="1">
        <f t="array" aca="1" ref="C40" ca="1">INDEX({"Laptop";"Souris";"Clavier";"Écran";"Casque";"Tablette";"Imprimante";"Disque dur";"RAM";"Carte graphique"},RANDBETWEEN(1,10))</f>
        <v>Souris</v>
      </c>
      <c r="D40" t="str" cm="1">
        <f t="array" aca="1" ref="D40" ca="1">INDEX({"Informatique";"Accessoires";"Périphériques";"Stockage";"Audio"},RANDBETWEEN(1,5))</f>
        <v>Périphériques</v>
      </c>
      <c r="E40" t="str" cm="1">
        <f t="array" aca="1" ref="E40" ca="1">INDEX({"Awa Ndiaye";"Mamadou Diop";"Fatou Fall";"Cheikh Ba";"Mariama Sow";"Ousmane Ndiaye";"Sokhna Diallo";"Abdoulaye Gueye"},RANDBETWEEN(1,8))</f>
        <v>Ousmane Ndiaye</v>
      </c>
      <c r="F40">
        <f t="shared" ca="1" si="2"/>
        <v>2</v>
      </c>
      <c r="G40" s="11">
        <f t="shared" ca="1" si="3"/>
        <v>358779</v>
      </c>
      <c r="H40" s="11">
        <f ca="1">tblVentes[[#This Row],[Prix_Unitaire]]*tblVentes[[#This Row],[Quantité]]</f>
        <v>717558</v>
      </c>
      <c r="I40">
        <f t="shared" ca="1" si="5"/>
        <v>2.6204342865269313E-2</v>
      </c>
      <c r="J40" s="14">
        <f ca="1">tblVentes[[#This Row],[Chiffre_Affaires]]*(1-tblVentes[[#This Row],[Remise]])</f>
        <v>698754.8641422831</v>
      </c>
    </row>
    <row r="41" spans="1:10" x14ac:dyDescent="0.45">
      <c r="A41" s="1">
        <f t="shared" ca="1" si="0"/>
        <v>46277</v>
      </c>
      <c r="B41" t="str">
        <f t="shared" si="1"/>
        <v>V0040</v>
      </c>
      <c r="C41" t="str" cm="1">
        <f t="array" aca="1" ref="C41" ca="1">INDEX({"Laptop";"Souris";"Clavier";"Écran";"Casque";"Tablette";"Imprimante";"Disque dur";"RAM";"Carte graphique"},RANDBETWEEN(1,10))</f>
        <v>Tablette</v>
      </c>
      <c r="D41" t="str" cm="1">
        <f t="array" aca="1" ref="D41" ca="1">INDEX({"Informatique";"Accessoires";"Périphériques";"Stockage";"Audio"},RANDBETWEEN(1,5))</f>
        <v>Informatique</v>
      </c>
      <c r="E41" t="str" cm="1">
        <f t="array" aca="1" ref="E41" ca="1">INDEX({"Awa Ndiaye";"Mamadou Diop";"Fatou Fall";"Cheikh Ba";"Mariama Sow";"Ousmane Ndiaye";"Sokhna Diallo";"Abdoulaye Gueye"},RANDBETWEEN(1,8))</f>
        <v>Ousmane Ndiaye</v>
      </c>
      <c r="F41">
        <f t="shared" ca="1" si="2"/>
        <v>10</v>
      </c>
      <c r="G41" s="11">
        <f t="shared" ca="1" si="3"/>
        <v>422845</v>
      </c>
      <c r="H41" s="11">
        <f ca="1">tblVentes[[#This Row],[Prix_Unitaire]]*tblVentes[[#This Row],[Quantité]]</f>
        <v>4228450</v>
      </c>
      <c r="I41">
        <f t="shared" ca="1" si="5"/>
        <v>6.3877527400423267E-2</v>
      </c>
      <c r="J41" s="14">
        <f ca="1">tblVentes[[#This Row],[Chiffre_Affaires]]*(1-tblVentes[[#This Row],[Remise]])</f>
        <v>3958347.0692636799</v>
      </c>
    </row>
    <row r="42" spans="1:10" x14ac:dyDescent="0.45">
      <c r="A42" s="1">
        <f t="shared" ca="1" si="0"/>
        <v>46273</v>
      </c>
      <c r="B42" t="str">
        <f t="shared" si="1"/>
        <v>V0041</v>
      </c>
      <c r="C42" t="str" cm="1">
        <f t="array" aca="1" ref="C42" ca="1">INDEX({"Laptop";"Souris";"Clavier";"Écran";"Casque";"Tablette";"Imprimante";"Disque dur";"RAM";"Carte graphique"},RANDBETWEEN(1,10))</f>
        <v>Carte graphique</v>
      </c>
      <c r="D42" t="str" cm="1">
        <f t="array" aca="1" ref="D42" ca="1">INDEX({"Informatique";"Accessoires";"Périphériques";"Stockage";"Audio"},RANDBETWEEN(1,5))</f>
        <v>Audio</v>
      </c>
      <c r="E42" t="str" cm="1">
        <f t="array" aca="1" ref="E42" ca="1">INDEX({"Awa Ndiaye";"Mamadou Diop";"Fatou Fall";"Cheikh Ba";"Mariama Sow";"Ousmane Ndiaye";"Sokhna Diallo";"Abdoulaye Gueye"},RANDBETWEEN(1,8))</f>
        <v>Mamadou Diop</v>
      </c>
      <c r="F42">
        <f t="shared" ca="1" si="2"/>
        <v>6</v>
      </c>
      <c r="G42" s="11">
        <f t="shared" ca="1" si="3"/>
        <v>278503</v>
      </c>
      <c r="H42" s="11">
        <f ca="1">tblVentes[[#This Row],[Prix_Unitaire]]*tblVentes[[#This Row],[Quantité]]</f>
        <v>1671018</v>
      </c>
      <c r="I42">
        <f t="shared" ca="1" si="5"/>
        <v>5.1258089815584905E-2</v>
      </c>
      <c r="J42" s="14">
        <f ca="1">tblVentes[[#This Row],[Chiffre_Affaires]]*(1-tblVentes[[#This Row],[Remise]])</f>
        <v>1585364.809272541</v>
      </c>
    </row>
    <row r="43" spans="1:10" x14ac:dyDescent="0.45">
      <c r="A43" s="1">
        <f t="shared" ca="1" si="0"/>
        <v>46287</v>
      </c>
      <c r="B43" t="str">
        <f t="shared" si="1"/>
        <v>V0042</v>
      </c>
      <c r="C43" t="str" cm="1">
        <f t="array" aca="1" ref="C43" ca="1">INDEX({"Laptop";"Souris";"Clavier";"Écran";"Casque";"Tablette";"Imprimante";"Disque dur";"RAM";"Carte graphique"},RANDBETWEEN(1,10))</f>
        <v>Casque</v>
      </c>
      <c r="D43" t="str" cm="1">
        <f t="array" aca="1" ref="D43" ca="1">INDEX({"Informatique";"Accessoires";"Périphériques";"Stockage";"Audio"},RANDBETWEEN(1,5))</f>
        <v>Accessoires</v>
      </c>
      <c r="E43" t="str" cm="1">
        <f t="array" aca="1" ref="E43" ca="1">INDEX({"Awa Ndiaye";"Mamadou Diop";"Fatou Fall";"Cheikh Ba";"Mariama Sow";"Ousmane Ndiaye";"Sokhna Diallo";"Abdoulaye Gueye"},RANDBETWEEN(1,8))</f>
        <v>Ousmane Ndiaye</v>
      </c>
      <c r="F43">
        <f t="shared" ca="1" si="2"/>
        <v>10</v>
      </c>
      <c r="G43" s="11">
        <f t="shared" ca="1" si="3"/>
        <v>134198</v>
      </c>
      <c r="H43" s="11">
        <f ca="1">tblVentes[[#This Row],[Prix_Unitaire]]*tblVentes[[#This Row],[Quantité]]</f>
        <v>1341980</v>
      </c>
      <c r="I43">
        <f t="shared" ca="1" si="5"/>
        <v>0.11054045577961406</v>
      </c>
      <c r="J43" s="14">
        <f ca="1">tblVentes[[#This Row],[Chiffre_Affaires]]*(1-tblVentes[[#This Row],[Remise]])</f>
        <v>1193636.9191528736</v>
      </c>
    </row>
    <row r="44" spans="1:10" x14ac:dyDescent="0.45">
      <c r="A44" s="1">
        <f t="shared" ca="1" si="0"/>
        <v>46271</v>
      </c>
      <c r="B44" t="str">
        <f t="shared" si="1"/>
        <v>V0043</v>
      </c>
      <c r="C44" t="str" cm="1">
        <f t="array" aca="1" ref="C44" ca="1">INDEX({"Laptop";"Souris";"Clavier";"Écran";"Casque";"Tablette";"Imprimante";"Disque dur";"RAM";"Carte graphique"},RANDBETWEEN(1,10))</f>
        <v>Souris</v>
      </c>
      <c r="D44" t="str" cm="1">
        <f t="array" aca="1" ref="D44" ca="1">INDEX({"Informatique";"Accessoires";"Périphériques";"Stockage";"Audio"},RANDBETWEEN(1,5))</f>
        <v>Informatique</v>
      </c>
      <c r="E44" t="str" cm="1">
        <f t="array" aca="1" ref="E44" ca="1">INDEX({"Awa Ndiaye";"Mamadou Diop";"Fatou Fall";"Cheikh Ba";"Mariama Sow";"Ousmane Ndiaye";"Sokhna Diallo";"Abdoulaye Gueye"},RANDBETWEEN(1,8))</f>
        <v>Ousmane Ndiaye</v>
      </c>
      <c r="F44">
        <f t="shared" ca="1" si="2"/>
        <v>7</v>
      </c>
      <c r="G44" s="11">
        <f t="shared" ca="1" si="3"/>
        <v>434130</v>
      </c>
      <c r="H44" s="11">
        <f ca="1">tblVentes[[#This Row],[Prix_Unitaire]]*tblVentes[[#This Row],[Quantité]]</f>
        <v>3038910</v>
      </c>
      <c r="I44">
        <f t="shared" ca="1" si="5"/>
        <v>0.10277227951758428</v>
      </c>
      <c r="J44" s="14">
        <f ca="1">tblVentes[[#This Row],[Chiffre_Affaires]]*(1-tblVentes[[#This Row],[Remise]])</f>
        <v>2726594.292051218</v>
      </c>
    </row>
    <row r="45" spans="1:10" x14ac:dyDescent="0.45">
      <c r="A45" s="1">
        <f t="shared" ca="1" si="0"/>
        <v>46277</v>
      </c>
      <c r="B45" t="str">
        <f t="shared" si="1"/>
        <v>V0044</v>
      </c>
      <c r="C45" t="str" cm="1">
        <f t="array" aca="1" ref="C45" ca="1">INDEX({"Laptop";"Souris";"Clavier";"Écran";"Casque";"Tablette";"Imprimante";"Disque dur";"RAM";"Carte graphique"},RANDBETWEEN(1,10))</f>
        <v>Tablette</v>
      </c>
      <c r="D45" t="str" cm="1">
        <f t="array" aca="1" ref="D45" ca="1">INDEX({"Informatique";"Accessoires";"Périphériques";"Stockage";"Audio"},RANDBETWEEN(1,5))</f>
        <v>Accessoires</v>
      </c>
      <c r="E45" t="str" cm="1">
        <f t="array" aca="1" ref="E45" ca="1">INDEX({"Awa Ndiaye";"Mamadou Diop";"Fatou Fall";"Cheikh Ba";"Mariama Sow";"Ousmane Ndiaye";"Sokhna Diallo";"Abdoulaye Gueye"},RANDBETWEEN(1,8))</f>
        <v>Abdoulaye Gueye</v>
      </c>
      <c r="F45">
        <f t="shared" ca="1" si="2"/>
        <v>2</v>
      </c>
      <c r="G45" s="11">
        <f t="shared" ca="1" si="3"/>
        <v>350162</v>
      </c>
      <c r="H45" s="11">
        <f ca="1">tblVentes[[#This Row],[Prix_Unitaire]]*tblVentes[[#This Row],[Quantité]]</f>
        <v>700324</v>
      </c>
      <c r="I45">
        <f t="shared" ca="1" si="5"/>
        <v>3.1426312690669485E-2</v>
      </c>
      <c r="J45" s="14">
        <f ca="1">tblVentes[[#This Row],[Chiffre_Affaires]]*(1-tblVentes[[#This Row],[Remise]])</f>
        <v>678315.39899121958</v>
      </c>
    </row>
    <row r="46" spans="1:10" x14ac:dyDescent="0.45">
      <c r="A46" s="1">
        <f t="shared" ca="1" si="0"/>
        <v>46287</v>
      </c>
      <c r="B46" t="str">
        <f t="shared" si="1"/>
        <v>V0045</v>
      </c>
      <c r="C46" t="str" cm="1">
        <f t="array" aca="1" ref="C46" ca="1">INDEX({"Laptop";"Souris";"Clavier";"Écran";"Casque";"Tablette";"Imprimante";"Disque dur";"RAM";"Carte graphique"},RANDBETWEEN(1,10))</f>
        <v>Laptop</v>
      </c>
      <c r="D46" t="str" cm="1">
        <f t="array" aca="1" ref="D46" ca="1">INDEX({"Informatique";"Accessoires";"Périphériques";"Stockage";"Audio"},RANDBETWEEN(1,5))</f>
        <v>Informatique</v>
      </c>
      <c r="E46" t="str" cm="1">
        <f t="array" aca="1" ref="E46" ca="1">INDEX({"Awa Ndiaye";"Mamadou Diop";"Fatou Fall";"Cheikh Ba";"Mariama Sow";"Ousmane Ndiaye";"Sokhna Diallo";"Abdoulaye Gueye"},RANDBETWEEN(1,8))</f>
        <v>Ousmane Ndiaye</v>
      </c>
      <c r="F46">
        <f t="shared" ca="1" si="2"/>
        <v>8</v>
      </c>
      <c r="G46" s="11">
        <f t="shared" ca="1" si="3"/>
        <v>299656</v>
      </c>
      <c r="H46" s="11">
        <f ca="1">tblVentes[[#This Row],[Prix_Unitaire]]*tblVentes[[#This Row],[Quantité]]</f>
        <v>2397248</v>
      </c>
      <c r="I46">
        <f t="shared" ca="1" si="5"/>
        <v>0.14487586355108376</v>
      </c>
      <c r="J46" s="14">
        <f ca="1">tblVentes[[#This Row],[Chiffre_Affaires]]*(1-tblVentes[[#This Row],[Remise]])</f>
        <v>2049944.6258538917</v>
      </c>
    </row>
    <row r="47" spans="1:10" x14ac:dyDescent="0.45">
      <c r="A47" s="1">
        <f t="shared" ca="1" si="0"/>
        <v>46280</v>
      </c>
      <c r="B47" t="str">
        <f t="shared" si="1"/>
        <v>V0046</v>
      </c>
      <c r="C47" t="str" cm="1">
        <f t="array" aca="1" ref="C47" ca="1">INDEX({"Laptop";"Souris";"Clavier";"Écran";"Casque";"Tablette";"Imprimante";"Disque dur";"RAM";"Carte graphique"},RANDBETWEEN(1,10))</f>
        <v>Souris</v>
      </c>
      <c r="D47" t="str" cm="1">
        <f t="array" aca="1" ref="D47" ca="1">INDEX({"Informatique";"Accessoires";"Périphériques";"Stockage";"Audio"},RANDBETWEEN(1,5))</f>
        <v>Stockage</v>
      </c>
      <c r="E47" t="str" cm="1">
        <f t="array" aca="1" ref="E47" ca="1">INDEX({"Awa Ndiaye";"Mamadou Diop";"Fatou Fall";"Cheikh Ba";"Mariama Sow";"Ousmane Ndiaye";"Sokhna Diallo";"Abdoulaye Gueye"},RANDBETWEEN(1,8))</f>
        <v>Abdoulaye Gueye</v>
      </c>
      <c r="F47">
        <f t="shared" ca="1" si="2"/>
        <v>10</v>
      </c>
      <c r="G47" s="11">
        <f t="shared" ca="1" si="3"/>
        <v>25905</v>
      </c>
      <c r="H47" s="11">
        <f ca="1">tblVentes[[#This Row],[Prix_Unitaire]]*tblVentes[[#This Row],[Quantité]]</f>
        <v>259050</v>
      </c>
      <c r="I47">
        <f t="shared" ca="1" si="5"/>
        <v>8.5647291168528511E-2</v>
      </c>
      <c r="J47" s="14">
        <f ca="1">tblVentes[[#This Row],[Chiffre_Affaires]]*(1-tblVentes[[#This Row],[Remise]])</f>
        <v>236863.06922279269</v>
      </c>
    </row>
    <row r="48" spans="1:10" x14ac:dyDescent="0.45">
      <c r="A48" s="1">
        <f t="shared" ca="1" si="0"/>
        <v>46288</v>
      </c>
      <c r="B48" t="str">
        <f t="shared" si="1"/>
        <v>V0047</v>
      </c>
      <c r="C48" t="str" cm="1">
        <f t="array" aca="1" ref="C48" ca="1">INDEX({"Laptop";"Souris";"Clavier";"Écran";"Casque";"Tablette";"Imprimante";"Disque dur";"RAM";"Carte graphique"},RANDBETWEEN(1,10))</f>
        <v>Écran</v>
      </c>
      <c r="D48" t="str" cm="1">
        <f t="array" aca="1" ref="D48" ca="1">INDEX({"Informatique";"Accessoires";"Périphériques";"Stockage";"Audio"},RANDBETWEEN(1,5))</f>
        <v>Audio</v>
      </c>
      <c r="E48" t="str" cm="1">
        <f t="array" aca="1" ref="E48" ca="1">INDEX({"Awa Ndiaye";"Mamadou Diop";"Fatou Fall";"Cheikh Ba";"Mariama Sow";"Ousmane Ndiaye";"Sokhna Diallo";"Abdoulaye Gueye"},RANDBETWEEN(1,8))</f>
        <v>Ousmane Ndiaye</v>
      </c>
      <c r="F48">
        <f t="shared" ca="1" si="2"/>
        <v>4</v>
      </c>
      <c r="G48" s="11">
        <f t="shared" ca="1" si="3"/>
        <v>473255</v>
      </c>
      <c r="H48" s="11">
        <f ca="1">tblVentes[[#This Row],[Prix_Unitaire]]*tblVentes[[#This Row],[Quantité]]</f>
        <v>1893020</v>
      </c>
      <c r="I48">
        <f t="shared" ca="1" si="5"/>
        <v>0.10652565879505339</v>
      </c>
      <c r="J48" s="14">
        <f ca="1">tblVentes[[#This Row],[Chiffre_Affaires]]*(1-tblVentes[[#This Row],[Remise]])</f>
        <v>1691364.7973877881</v>
      </c>
    </row>
    <row r="49" spans="1:10" x14ac:dyDescent="0.45">
      <c r="A49" s="1">
        <f t="shared" ca="1" si="0"/>
        <v>46274</v>
      </c>
      <c r="B49" t="str">
        <f t="shared" si="1"/>
        <v>V0048</v>
      </c>
      <c r="C49" t="str" cm="1">
        <f t="array" aca="1" ref="C49" ca="1">INDEX({"Laptop";"Souris";"Clavier";"Écran";"Casque";"Tablette";"Imprimante";"Disque dur";"RAM";"Carte graphique"},RANDBETWEEN(1,10))</f>
        <v>Disque dur</v>
      </c>
      <c r="D49" t="str" cm="1">
        <f t="array" aca="1" ref="D49" ca="1">INDEX({"Informatique";"Accessoires";"Périphériques";"Stockage";"Audio"},RANDBETWEEN(1,5))</f>
        <v>Accessoires</v>
      </c>
      <c r="E49" t="str" cm="1">
        <f t="array" aca="1" ref="E49" ca="1">INDEX({"Awa Ndiaye";"Mamadou Diop";"Fatou Fall";"Cheikh Ba";"Mariama Sow";"Ousmane Ndiaye";"Sokhna Diallo";"Abdoulaye Gueye"},RANDBETWEEN(1,8))</f>
        <v>Ousmane Ndiaye</v>
      </c>
      <c r="F49">
        <f t="shared" ca="1" si="2"/>
        <v>1</v>
      </c>
      <c r="G49" s="11">
        <f t="shared" ca="1" si="3"/>
        <v>389803</v>
      </c>
      <c r="H49" s="11">
        <f ca="1">tblVentes[[#This Row],[Prix_Unitaire]]*tblVentes[[#This Row],[Quantité]]</f>
        <v>389803</v>
      </c>
      <c r="I49">
        <f t="shared" ca="1" si="5"/>
        <v>1.4075140875082997E-2</v>
      </c>
      <c r="J49" s="14">
        <f ca="1">tblVentes[[#This Row],[Chiffre_Affaires]]*(1-tblVentes[[#This Row],[Remise]])</f>
        <v>384316.46786147001</v>
      </c>
    </row>
    <row r="50" spans="1:10" x14ac:dyDescent="0.45">
      <c r="A50" s="1">
        <f t="shared" ca="1" si="0"/>
        <v>46282</v>
      </c>
      <c r="B50" t="str">
        <f t="shared" si="1"/>
        <v>V0049</v>
      </c>
      <c r="C50" t="str" cm="1">
        <f t="array" aca="1" ref="C50" ca="1">INDEX({"Laptop";"Souris";"Clavier";"Écran";"Casque";"Tablette";"Imprimante";"Disque dur";"RAM";"Carte graphique"},RANDBETWEEN(1,10))</f>
        <v>Disque dur</v>
      </c>
      <c r="D50" t="str" cm="1">
        <f t="array" aca="1" ref="D50" ca="1">INDEX({"Informatique";"Accessoires";"Périphériques";"Stockage";"Audio"},RANDBETWEEN(1,5))</f>
        <v>Audio</v>
      </c>
      <c r="E50" t="str" cm="1">
        <f t="array" aca="1" ref="E50" ca="1">INDEX({"Awa Ndiaye";"Mamadou Diop";"Fatou Fall";"Cheikh Ba";"Mariama Sow";"Ousmane Ndiaye";"Sokhna Diallo";"Abdoulaye Gueye"},RANDBETWEEN(1,8))</f>
        <v>Abdoulaye Gueye</v>
      </c>
      <c r="F50">
        <f t="shared" ca="1" si="2"/>
        <v>3</v>
      </c>
      <c r="G50" s="11">
        <f t="shared" ca="1" si="3"/>
        <v>213773</v>
      </c>
      <c r="H50" s="11">
        <f ca="1">tblVentes[[#This Row],[Prix_Unitaire]]*tblVentes[[#This Row],[Quantité]]</f>
        <v>641319</v>
      </c>
      <c r="I50">
        <f t="shared" ca="1" si="5"/>
        <v>7.7715380146628862E-2</v>
      </c>
      <c r="J50" s="14">
        <f ca="1">tblVentes[[#This Row],[Chiffre_Affaires]]*(1-tblVentes[[#This Row],[Remise]])</f>
        <v>591478.65011974412</v>
      </c>
    </row>
    <row r="51" spans="1:10" x14ac:dyDescent="0.45">
      <c r="A51" s="1">
        <f t="shared" ca="1" si="0"/>
        <v>46292</v>
      </c>
      <c r="B51" t="str">
        <f t="shared" si="1"/>
        <v>V0050</v>
      </c>
      <c r="C51" t="str" cm="1">
        <f t="array" aca="1" ref="C51" ca="1">INDEX({"Laptop";"Souris";"Clavier";"Écran";"Casque";"Tablette";"Imprimante";"Disque dur";"RAM";"Carte graphique"},RANDBETWEEN(1,10))</f>
        <v>Laptop</v>
      </c>
      <c r="D51" t="str" cm="1">
        <f t="array" aca="1" ref="D51" ca="1">INDEX({"Informatique";"Accessoires";"Périphériques";"Stockage";"Audio"},RANDBETWEEN(1,5))</f>
        <v>Périphériques</v>
      </c>
      <c r="E51" t="str" cm="1">
        <f t="array" aca="1" ref="E51" ca="1">INDEX({"Awa Ndiaye";"Mamadou Diop";"Fatou Fall";"Cheikh Ba";"Mariama Sow";"Ousmane Ndiaye";"Sokhna Diallo";"Abdoulaye Gueye"},RANDBETWEEN(1,8))</f>
        <v>Ousmane Ndiaye</v>
      </c>
      <c r="F51">
        <f t="shared" ca="1" si="2"/>
        <v>3</v>
      </c>
      <c r="G51" s="11">
        <f t="shared" ca="1" si="3"/>
        <v>90108</v>
      </c>
      <c r="H51" s="11">
        <f ca="1">tblVentes[[#This Row],[Prix_Unitaire]]*tblVentes[[#This Row],[Quantité]]</f>
        <v>270324</v>
      </c>
      <c r="I51">
        <f t="shared" ca="1" si="5"/>
        <v>0.14721069012152974</v>
      </c>
      <c r="J51" s="14">
        <f ca="1">tblVentes[[#This Row],[Chiffre_Affaires]]*(1-tblVentes[[#This Row],[Remise]])</f>
        <v>230529.41740358758</v>
      </c>
    </row>
    <row r="52" spans="1:10" x14ac:dyDescent="0.45">
      <c r="A52" s="1">
        <f t="shared" ca="1" si="0"/>
        <v>46275</v>
      </c>
      <c r="B52" t="str">
        <f t="shared" si="1"/>
        <v>V0051</v>
      </c>
      <c r="C52" t="str" cm="1">
        <f t="array" aca="1" ref="C52" ca="1">INDEX({"Laptop";"Souris";"Clavier";"Écran";"Casque";"Tablette";"Imprimante";"Disque dur";"RAM";"Carte graphique"},RANDBETWEEN(1,10))</f>
        <v>Clavier</v>
      </c>
      <c r="D52" t="str" cm="1">
        <f t="array" aca="1" ref="D52" ca="1">INDEX({"Informatique";"Accessoires";"Périphériques";"Stockage";"Audio"},RANDBETWEEN(1,5))</f>
        <v>Informatique</v>
      </c>
      <c r="E52" t="str" cm="1">
        <f t="array" aca="1" ref="E52" ca="1">INDEX({"Awa Ndiaye";"Mamadou Diop";"Fatou Fall";"Cheikh Ba";"Mariama Sow";"Ousmane Ndiaye";"Sokhna Diallo";"Abdoulaye Gueye"},RANDBETWEEN(1,8))</f>
        <v>Abdoulaye Gueye</v>
      </c>
      <c r="F52">
        <f t="shared" ca="1" si="2"/>
        <v>5</v>
      </c>
      <c r="G52" s="11">
        <f t="shared" ca="1" si="3"/>
        <v>228573</v>
      </c>
      <c r="H52" s="11">
        <f ca="1">tblVentes[[#This Row],[Prix_Unitaire]]*tblVentes[[#This Row],[Quantité]]</f>
        <v>1142865</v>
      </c>
      <c r="I52">
        <f t="shared" ca="1" si="5"/>
        <v>4.9849448397175006E-2</v>
      </c>
      <c r="J52" s="14">
        <f ca="1">tblVentes[[#This Row],[Chiffre_Affaires]]*(1-tblVentes[[#This Row],[Remise]])</f>
        <v>1085893.8101575626</v>
      </c>
    </row>
    <row r="53" spans="1:10" x14ac:dyDescent="0.45">
      <c r="A53" s="1">
        <f t="shared" ca="1" si="0"/>
        <v>46270</v>
      </c>
      <c r="B53" t="str">
        <f t="shared" si="1"/>
        <v>V0052</v>
      </c>
      <c r="C53" t="str" cm="1">
        <f t="array" aca="1" ref="C53" ca="1">INDEX({"Laptop";"Souris";"Clavier";"Écran";"Casque";"Tablette";"Imprimante";"Disque dur";"RAM";"Carte graphique"},RANDBETWEEN(1,10))</f>
        <v>Tablette</v>
      </c>
      <c r="D53" t="str" cm="1">
        <f t="array" aca="1" ref="D53" ca="1">INDEX({"Informatique";"Accessoires";"Périphériques";"Stockage";"Audio"},RANDBETWEEN(1,5))</f>
        <v>Accessoires</v>
      </c>
      <c r="E53" t="str" cm="1">
        <f t="array" aca="1" ref="E53" ca="1">INDEX({"Awa Ndiaye";"Mamadou Diop";"Fatou Fall";"Cheikh Ba";"Mariama Sow";"Ousmane Ndiaye";"Sokhna Diallo";"Abdoulaye Gueye"},RANDBETWEEN(1,8))</f>
        <v>Mamadou Diop</v>
      </c>
      <c r="F53">
        <f t="shared" ca="1" si="2"/>
        <v>9</v>
      </c>
      <c r="G53" s="11">
        <f t="shared" ca="1" si="3"/>
        <v>31752</v>
      </c>
      <c r="H53" s="11">
        <f ca="1">tblVentes[[#This Row],[Prix_Unitaire]]*tblVentes[[#This Row],[Quantité]]</f>
        <v>285768</v>
      </c>
      <c r="I53">
        <f t="shared" ca="1" si="5"/>
        <v>0.12393520276703786</v>
      </c>
      <c r="J53" s="14">
        <f ca="1">tblVentes[[#This Row],[Chiffre_Affaires]]*(1-tblVentes[[#This Row],[Remise]])</f>
        <v>250351.28497566914</v>
      </c>
    </row>
    <row r="54" spans="1:10" x14ac:dyDescent="0.45">
      <c r="A54" s="1">
        <f t="shared" ca="1" si="0"/>
        <v>46268</v>
      </c>
      <c r="B54" t="str">
        <f t="shared" si="1"/>
        <v>V0053</v>
      </c>
      <c r="C54" t="str" cm="1">
        <f t="array" aca="1" ref="C54" ca="1">INDEX({"Laptop";"Souris";"Clavier";"Écran";"Casque";"Tablette";"Imprimante";"Disque dur";"RAM";"Carte graphique"},RANDBETWEEN(1,10))</f>
        <v>Casque</v>
      </c>
      <c r="D54" t="str" cm="1">
        <f t="array" aca="1" ref="D54" ca="1">INDEX({"Informatique";"Accessoires";"Périphériques";"Stockage";"Audio"},RANDBETWEEN(1,5))</f>
        <v>Périphériques</v>
      </c>
      <c r="E54" t="str" cm="1">
        <f t="array" aca="1" ref="E54" ca="1">INDEX({"Awa Ndiaye";"Mamadou Diop";"Fatou Fall";"Cheikh Ba";"Mariama Sow";"Ousmane Ndiaye";"Sokhna Diallo";"Abdoulaye Gueye"},RANDBETWEEN(1,8))</f>
        <v>Mamadou Diop</v>
      </c>
      <c r="F54">
        <f t="shared" ca="1" si="2"/>
        <v>5</v>
      </c>
      <c r="G54" s="11">
        <f t="shared" ca="1" si="3"/>
        <v>95375</v>
      </c>
      <c r="H54" s="11">
        <f ca="1">tblVentes[[#This Row],[Prix_Unitaire]]*tblVentes[[#This Row],[Quantité]]</f>
        <v>476875</v>
      </c>
      <c r="I54">
        <f t="shared" ca="1" si="5"/>
        <v>0.14036846173153406</v>
      </c>
      <c r="J54" s="14">
        <f ca="1">tblVentes[[#This Row],[Chiffre_Affaires]]*(1-tblVentes[[#This Row],[Remise]])</f>
        <v>409936.78981177468</v>
      </c>
    </row>
    <row r="55" spans="1:10" x14ac:dyDescent="0.45">
      <c r="A55" s="1">
        <f t="shared" ca="1" si="0"/>
        <v>46292</v>
      </c>
      <c r="B55" t="str">
        <f t="shared" si="1"/>
        <v>V0054</v>
      </c>
      <c r="C55" t="str" cm="1">
        <f t="array" aca="1" ref="C55" ca="1">INDEX({"Laptop";"Souris";"Clavier";"Écran";"Casque";"Tablette";"Imprimante";"Disque dur";"RAM";"Carte graphique"},RANDBETWEEN(1,10))</f>
        <v>Laptop</v>
      </c>
      <c r="D55" t="str" cm="1">
        <f t="array" aca="1" ref="D55" ca="1">INDEX({"Informatique";"Accessoires";"Périphériques";"Stockage";"Audio"},RANDBETWEEN(1,5))</f>
        <v>Informatique</v>
      </c>
      <c r="E55" t="str" cm="1">
        <f t="array" aca="1" ref="E55" ca="1">INDEX({"Awa Ndiaye";"Mamadou Diop";"Fatou Fall";"Cheikh Ba";"Mariama Sow";"Ousmane Ndiaye";"Sokhna Diallo";"Abdoulaye Gueye"},RANDBETWEEN(1,8))</f>
        <v>Sokhna Diallo</v>
      </c>
      <c r="F55">
        <f t="shared" ca="1" si="2"/>
        <v>7</v>
      </c>
      <c r="G55" s="11">
        <f t="shared" ca="1" si="3"/>
        <v>243625</v>
      </c>
      <c r="H55" s="11">
        <f ca="1">tblVentes[[#This Row],[Prix_Unitaire]]*tblVentes[[#This Row],[Quantité]]</f>
        <v>1705375</v>
      </c>
      <c r="I55">
        <f t="shared" ca="1" si="5"/>
        <v>0.10114149874478341</v>
      </c>
      <c r="J55" s="14">
        <f ca="1">tblVentes[[#This Row],[Chiffre_Affaires]]*(1-tblVentes[[#This Row],[Remise]])</f>
        <v>1532890.8165781151</v>
      </c>
    </row>
    <row r="56" spans="1:10" x14ac:dyDescent="0.45">
      <c r="A56" s="1">
        <f t="shared" ca="1" si="0"/>
        <v>46286</v>
      </c>
      <c r="B56" t="str">
        <f t="shared" si="1"/>
        <v>V0055</v>
      </c>
      <c r="C56" t="str" cm="1">
        <f t="array" aca="1" ref="C56" ca="1">INDEX({"Laptop";"Souris";"Clavier";"Écran";"Casque";"Tablette";"Imprimante";"Disque dur";"RAM";"Carte graphique"},RANDBETWEEN(1,10))</f>
        <v>Écran</v>
      </c>
      <c r="D56" t="str" cm="1">
        <f t="array" aca="1" ref="D56" ca="1">INDEX({"Informatique";"Accessoires";"Périphériques";"Stockage";"Audio"},RANDBETWEEN(1,5))</f>
        <v>Informatique</v>
      </c>
      <c r="E56" t="str" cm="1">
        <f t="array" aca="1" ref="E56" ca="1">INDEX({"Awa Ndiaye";"Mamadou Diop";"Fatou Fall";"Cheikh Ba";"Mariama Sow";"Ousmane Ndiaye";"Sokhna Diallo";"Abdoulaye Gueye"},RANDBETWEEN(1,8))</f>
        <v>Ousmane Ndiaye</v>
      </c>
      <c r="F56">
        <f t="shared" ca="1" si="2"/>
        <v>4</v>
      </c>
      <c r="G56" s="11">
        <f t="shared" ca="1" si="3"/>
        <v>383737</v>
      </c>
      <c r="H56" s="11">
        <f ca="1">tblVentes[[#This Row],[Prix_Unitaire]]*tblVentes[[#This Row],[Quantité]]</f>
        <v>1534948</v>
      </c>
      <c r="I56">
        <f t="shared" ca="1" si="5"/>
        <v>3.5725985319571994E-3</v>
      </c>
      <c r="J56" s="14">
        <f ca="1">tblVentes[[#This Row],[Chiffre_Affaires]]*(1-tblVentes[[#This Row],[Remise]])</f>
        <v>1529464.2470285692</v>
      </c>
    </row>
    <row r="57" spans="1:10" x14ac:dyDescent="0.45">
      <c r="A57" s="1">
        <f t="shared" ca="1" si="0"/>
        <v>46282</v>
      </c>
      <c r="B57" t="str">
        <f t="shared" si="1"/>
        <v>V0056</v>
      </c>
      <c r="C57" t="str" cm="1">
        <f t="array" aca="1" ref="C57" ca="1">INDEX({"Laptop";"Souris";"Clavier";"Écran";"Casque";"Tablette";"Imprimante";"Disque dur";"RAM";"Carte graphique"},RANDBETWEEN(1,10))</f>
        <v>Laptop</v>
      </c>
      <c r="D57" t="str" cm="1">
        <f t="array" aca="1" ref="D57" ca="1">INDEX({"Informatique";"Accessoires";"Périphériques";"Stockage";"Audio"},RANDBETWEEN(1,5))</f>
        <v>Accessoires</v>
      </c>
      <c r="E57" t="str" cm="1">
        <f t="array" aca="1" ref="E57" ca="1">INDEX({"Awa Ndiaye";"Mamadou Diop";"Fatou Fall";"Cheikh Ba";"Mariama Sow";"Ousmane Ndiaye";"Sokhna Diallo";"Abdoulaye Gueye"},RANDBETWEEN(1,8))</f>
        <v>Mamadou Diop</v>
      </c>
      <c r="F57">
        <f t="shared" ca="1" si="2"/>
        <v>3</v>
      </c>
      <c r="G57" s="11">
        <f t="shared" ca="1" si="3"/>
        <v>215180</v>
      </c>
      <c r="H57" s="11">
        <f ca="1">tblVentes[[#This Row],[Prix_Unitaire]]*tblVentes[[#This Row],[Quantité]]</f>
        <v>645540</v>
      </c>
      <c r="I57">
        <f t="shared" ca="1" si="5"/>
        <v>8.9629169618464108E-2</v>
      </c>
      <c r="J57" s="14">
        <f ca="1">tblVentes[[#This Row],[Chiffre_Affaires]]*(1-tblVentes[[#This Row],[Remise]])</f>
        <v>587680.78584449668</v>
      </c>
    </row>
    <row r="58" spans="1:10" x14ac:dyDescent="0.45">
      <c r="A58" s="1">
        <f t="shared" ca="1" si="0"/>
        <v>46266</v>
      </c>
      <c r="B58" t="str">
        <f t="shared" si="1"/>
        <v>V0057</v>
      </c>
      <c r="C58" t="str" cm="1">
        <f t="array" aca="1" ref="C58" ca="1">INDEX({"Laptop";"Souris";"Clavier";"Écran";"Casque";"Tablette";"Imprimante";"Disque dur";"RAM";"Carte graphique"},RANDBETWEEN(1,10))</f>
        <v>Imprimante</v>
      </c>
      <c r="D58" t="str" cm="1">
        <f t="array" aca="1" ref="D58" ca="1">INDEX({"Informatique";"Accessoires";"Périphériques";"Stockage";"Audio"},RANDBETWEEN(1,5))</f>
        <v>Accessoires</v>
      </c>
      <c r="E58" t="str" cm="1">
        <f t="array" aca="1" ref="E58" ca="1">INDEX({"Awa Ndiaye";"Mamadou Diop";"Fatou Fall";"Cheikh Ba";"Mariama Sow";"Ousmane Ndiaye";"Sokhna Diallo";"Abdoulaye Gueye"},RANDBETWEEN(1,8))</f>
        <v>Mamadou Diop</v>
      </c>
      <c r="F58">
        <f t="shared" ca="1" si="2"/>
        <v>9</v>
      </c>
      <c r="G58" s="11">
        <f t="shared" ca="1" si="3"/>
        <v>126472</v>
      </c>
      <c r="H58" s="11">
        <f ca="1">tblVentes[[#This Row],[Prix_Unitaire]]*tblVentes[[#This Row],[Quantité]]</f>
        <v>1138248</v>
      </c>
      <c r="I58">
        <f t="shared" ca="1" si="5"/>
        <v>2.1826855986584516E-3</v>
      </c>
      <c r="J58" s="14">
        <f ca="1">tblVentes[[#This Row],[Chiffre_Affaires]]*(1-tblVentes[[#This Row],[Remise]])</f>
        <v>1135763.5624826984</v>
      </c>
    </row>
    <row r="59" spans="1:10" x14ac:dyDescent="0.45">
      <c r="A59" s="1">
        <f t="shared" ca="1" si="0"/>
        <v>46285</v>
      </c>
      <c r="B59" t="str">
        <f t="shared" si="1"/>
        <v>V0058</v>
      </c>
      <c r="C59" t="str" cm="1">
        <f t="array" aca="1" ref="C59" ca="1">INDEX({"Laptop";"Souris";"Clavier";"Écran";"Casque";"Tablette";"Imprimante";"Disque dur";"RAM";"Carte graphique"},RANDBETWEEN(1,10))</f>
        <v>Souris</v>
      </c>
      <c r="D59" t="str" cm="1">
        <f t="array" aca="1" ref="D59" ca="1">INDEX({"Informatique";"Accessoires";"Périphériques";"Stockage";"Audio"},RANDBETWEEN(1,5))</f>
        <v>Informatique</v>
      </c>
      <c r="E59" t="str" cm="1">
        <f t="array" aca="1" ref="E59" ca="1">INDEX({"Awa Ndiaye";"Mamadou Diop";"Fatou Fall";"Cheikh Ba";"Mariama Sow";"Ousmane Ndiaye";"Sokhna Diallo";"Abdoulaye Gueye"},RANDBETWEEN(1,8))</f>
        <v>Abdoulaye Gueye</v>
      </c>
      <c r="F59">
        <f t="shared" ca="1" si="2"/>
        <v>4</v>
      </c>
      <c r="G59" s="11">
        <f t="shared" ca="1" si="3"/>
        <v>208202</v>
      </c>
      <c r="H59" s="11">
        <f ca="1">tblVentes[[#This Row],[Prix_Unitaire]]*tblVentes[[#This Row],[Quantité]]</f>
        <v>832808</v>
      </c>
      <c r="I59">
        <f t="shared" ca="1" si="5"/>
        <v>7.7748875523950753E-2</v>
      </c>
      <c r="J59" s="14">
        <f ca="1">tblVentes[[#This Row],[Chiffre_Affaires]]*(1-tblVentes[[#This Row],[Remise]])</f>
        <v>768058.11447264964</v>
      </c>
    </row>
    <row r="60" spans="1:10" x14ac:dyDescent="0.45">
      <c r="A60" s="1">
        <f t="shared" ca="1" si="0"/>
        <v>46278</v>
      </c>
      <c r="B60" t="str">
        <f t="shared" si="1"/>
        <v>V0059</v>
      </c>
      <c r="C60" t="str" cm="1">
        <f t="array" aca="1" ref="C60" ca="1">INDEX({"Laptop";"Souris";"Clavier";"Écran";"Casque";"Tablette";"Imprimante";"Disque dur";"RAM";"Carte graphique"},RANDBETWEEN(1,10))</f>
        <v>Tablette</v>
      </c>
      <c r="D60" t="str" cm="1">
        <f t="array" aca="1" ref="D60" ca="1">INDEX({"Informatique";"Accessoires";"Périphériques";"Stockage";"Audio"},RANDBETWEEN(1,5))</f>
        <v>Informatique</v>
      </c>
      <c r="E60" t="str" cm="1">
        <f t="array" aca="1" ref="E60" ca="1">INDEX({"Awa Ndiaye";"Mamadou Diop";"Fatou Fall";"Cheikh Ba";"Mariama Sow";"Ousmane Ndiaye";"Sokhna Diallo";"Abdoulaye Gueye"},RANDBETWEEN(1,8))</f>
        <v>Abdoulaye Gueye</v>
      </c>
      <c r="F60">
        <f t="shared" ca="1" si="2"/>
        <v>9</v>
      </c>
      <c r="G60" s="11">
        <f t="shared" ca="1" si="3"/>
        <v>113748</v>
      </c>
      <c r="H60" s="11">
        <f ca="1">tblVentes[[#This Row],[Prix_Unitaire]]*tblVentes[[#This Row],[Quantité]]</f>
        <v>1023732</v>
      </c>
      <c r="I60">
        <f t="shared" ca="1" si="5"/>
        <v>4.1942331749307117E-3</v>
      </c>
      <c r="J60" s="14">
        <f ca="1">tblVentes[[#This Row],[Chiffre_Affaires]]*(1-tblVentes[[#This Row],[Remise]])</f>
        <v>1019438.2292833618</v>
      </c>
    </row>
    <row r="61" spans="1:10" x14ac:dyDescent="0.45">
      <c r="A61" s="1">
        <f t="shared" ca="1" si="0"/>
        <v>46283</v>
      </c>
      <c r="B61" t="str">
        <f t="shared" si="1"/>
        <v>V0060</v>
      </c>
      <c r="C61" t="str" cm="1">
        <f t="array" aca="1" ref="C61" ca="1">INDEX({"Laptop";"Souris";"Clavier";"Écran";"Casque";"Tablette";"Imprimante";"Disque dur";"RAM";"Carte graphique"},RANDBETWEEN(1,10))</f>
        <v>Clavier</v>
      </c>
      <c r="D61" t="str" cm="1">
        <f t="array" aca="1" ref="D61" ca="1">INDEX({"Informatique";"Accessoires";"Périphériques";"Stockage";"Audio"},RANDBETWEEN(1,5))</f>
        <v>Périphériques</v>
      </c>
      <c r="E61" t="str" cm="1">
        <f t="array" aca="1" ref="E61" ca="1">INDEX({"Awa Ndiaye";"Mamadou Diop";"Fatou Fall";"Cheikh Ba";"Mariama Sow";"Ousmane Ndiaye";"Sokhna Diallo";"Abdoulaye Gueye"},RANDBETWEEN(1,8))</f>
        <v>Sokhna Diallo</v>
      </c>
      <c r="F61">
        <f t="shared" ca="1" si="2"/>
        <v>8</v>
      </c>
      <c r="G61" s="11">
        <f t="shared" ca="1" si="3"/>
        <v>318334</v>
      </c>
      <c r="H61" s="11">
        <f ca="1">tblVentes[[#This Row],[Prix_Unitaire]]*tblVentes[[#This Row],[Quantité]]</f>
        <v>2546672</v>
      </c>
      <c r="I61">
        <f t="shared" ca="1" si="5"/>
        <v>0.1193531732725831</v>
      </c>
      <c r="J61" s="14">
        <f ca="1">tblVentes[[#This Row],[Chiffre_Affaires]]*(1-tblVentes[[#This Row],[Remise]])</f>
        <v>2242718.6155155641</v>
      </c>
    </row>
    <row r="62" spans="1:10" x14ac:dyDescent="0.45">
      <c r="A62" s="1">
        <f t="shared" ca="1" si="0"/>
        <v>46293</v>
      </c>
      <c r="B62" t="str">
        <f t="shared" si="1"/>
        <v>V0061</v>
      </c>
      <c r="C62" t="str" cm="1">
        <f t="array" aca="1" ref="C62" ca="1">INDEX({"Laptop";"Souris";"Clavier";"Écran";"Casque";"Tablette";"Imprimante";"Disque dur";"RAM";"Carte graphique"},RANDBETWEEN(1,10))</f>
        <v>Écran</v>
      </c>
      <c r="D62" t="str" cm="1">
        <f t="array" aca="1" ref="D62" ca="1">INDEX({"Informatique";"Accessoires";"Périphériques";"Stockage";"Audio"},RANDBETWEEN(1,5))</f>
        <v>Accessoires</v>
      </c>
      <c r="E62" t="str" cm="1">
        <f t="array" aca="1" ref="E62" ca="1">INDEX({"Awa Ndiaye";"Mamadou Diop";"Fatou Fall";"Cheikh Ba";"Mariama Sow";"Ousmane Ndiaye";"Sokhna Diallo";"Abdoulaye Gueye"},RANDBETWEEN(1,8))</f>
        <v>Cheikh Ba</v>
      </c>
      <c r="F62">
        <f t="shared" ca="1" si="2"/>
        <v>4</v>
      </c>
      <c r="G62" s="11">
        <f t="shared" ca="1" si="3"/>
        <v>360091</v>
      </c>
      <c r="H62" s="11">
        <f ca="1">tblVentes[[#This Row],[Prix_Unitaire]]*tblVentes[[#This Row],[Quantité]]</f>
        <v>1440364</v>
      </c>
      <c r="I62">
        <f t="shared" ca="1" si="5"/>
        <v>5.7475156598877343E-2</v>
      </c>
      <c r="J62" s="14">
        <f ca="1">tblVentes[[#This Row],[Chiffre_Affaires]]*(1-tblVentes[[#This Row],[Remise]])</f>
        <v>1357578.8535406147</v>
      </c>
    </row>
    <row r="63" spans="1:10" x14ac:dyDescent="0.45">
      <c r="A63" s="1">
        <f t="shared" ca="1" si="0"/>
        <v>46274</v>
      </c>
      <c r="B63" t="str">
        <f t="shared" si="1"/>
        <v>V0062</v>
      </c>
      <c r="C63" t="str" cm="1">
        <f t="array" aca="1" ref="C63" ca="1">INDEX({"Laptop";"Souris";"Clavier";"Écran";"Casque";"Tablette";"Imprimante";"Disque dur";"RAM";"Carte graphique"},RANDBETWEEN(1,10))</f>
        <v>Souris</v>
      </c>
      <c r="D63" t="str" cm="1">
        <f t="array" aca="1" ref="D63" ca="1">INDEX({"Informatique";"Accessoires";"Périphériques";"Stockage";"Audio"},RANDBETWEEN(1,5))</f>
        <v>Accessoires</v>
      </c>
      <c r="E63" t="str" cm="1">
        <f t="array" aca="1" ref="E63" ca="1">INDEX({"Awa Ndiaye";"Mamadou Diop";"Fatou Fall";"Cheikh Ba";"Mariama Sow";"Ousmane Ndiaye";"Sokhna Diallo";"Abdoulaye Gueye"},RANDBETWEEN(1,8))</f>
        <v>Awa Ndiaye</v>
      </c>
      <c r="F63">
        <f t="shared" ca="1" si="2"/>
        <v>8</v>
      </c>
      <c r="G63" s="11">
        <f t="shared" ca="1" si="3"/>
        <v>89906</v>
      </c>
      <c r="H63" s="11">
        <f ca="1">tblVentes[[#This Row],[Prix_Unitaire]]*tblVentes[[#This Row],[Quantité]]</f>
        <v>719248</v>
      </c>
      <c r="I63">
        <f t="shared" ca="1" si="5"/>
        <v>9.6252276838987585E-2</v>
      </c>
      <c r="J63" s="14">
        <f ca="1">tblVentes[[#This Row],[Chiffre_Affaires]]*(1-tblVentes[[#This Row],[Remise]])</f>
        <v>650018.74238811177</v>
      </c>
    </row>
    <row r="64" spans="1:10" x14ac:dyDescent="0.45">
      <c r="A64" s="1">
        <f t="shared" ca="1" si="0"/>
        <v>46267</v>
      </c>
      <c r="B64" t="str">
        <f t="shared" si="1"/>
        <v>V0063</v>
      </c>
      <c r="C64" t="str" cm="1">
        <f t="array" aca="1" ref="C64" ca="1">INDEX({"Laptop";"Souris";"Clavier";"Écran";"Casque";"Tablette";"Imprimante";"Disque dur";"RAM";"Carte graphique"},RANDBETWEEN(1,10))</f>
        <v>Clavier</v>
      </c>
      <c r="D64" t="str" cm="1">
        <f t="array" aca="1" ref="D64" ca="1">INDEX({"Informatique";"Accessoires";"Périphériques";"Stockage";"Audio"},RANDBETWEEN(1,5))</f>
        <v>Informatique</v>
      </c>
      <c r="E64" t="str" cm="1">
        <f t="array" aca="1" ref="E64" ca="1">INDEX({"Awa Ndiaye";"Mamadou Diop";"Fatou Fall";"Cheikh Ba";"Mariama Sow";"Ousmane Ndiaye";"Sokhna Diallo";"Abdoulaye Gueye"},RANDBETWEEN(1,8))</f>
        <v>Awa Ndiaye</v>
      </c>
      <c r="F64">
        <f t="shared" ca="1" si="2"/>
        <v>4</v>
      </c>
      <c r="G64" s="11">
        <f t="shared" ca="1" si="3"/>
        <v>257238</v>
      </c>
      <c r="H64" s="11">
        <f ca="1">tblVentes[[#This Row],[Prix_Unitaire]]*tblVentes[[#This Row],[Quantité]]</f>
        <v>1028952</v>
      </c>
      <c r="I64">
        <f t="shared" ca="1" si="5"/>
        <v>0.13493450874999316</v>
      </c>
      <c r="J64" s="14">
        <f ca="1">tblVentes[[#This Row],[Chiffre_Affaires]]*(1-tblVentes[[#This Row],[Remise]])</f>
        <v>890110.86735267704</v>
      </c>
    </row>
    <row r="65" spans="1:10" x14ac:dyDescent="0.45">
      <c r="A65" s="1">
        <f t="shared" ca="1" si="0"/>
        <v>46292</v>
      </c>
      <c r="B65" t="str">
        <f t="shared" si="1"/>
        <v>V0064</v>
      </c>
      <c r="C65" t="str" cm="1">
        <f t="array" aca="1" ref="C65" ca="1">INDEX({"Laptop";"Souris";"Clavier";"Écran";"Casque";"Tablette";"Imprimante";"Disque dur";"RAM";"Carte graphique"},RANDBETWEEN(1,10))</f>
        <v>Souris</v>
      </c>
      <c r="D65" t="str" cm="1">
        <f t="array" aca="1" ref="D65" ca="1">INDEX({"Informatique";"Accessoires";"Périphériques";"Stockage";"Audio"},RANDBETWEEN(1,5))</f>
        <v>Informatique</v>
      </c>
      <c r="E65" t="str" cm="1">
        <f t="array" aca="1" ref="E65" ca="1">INDEX({"Awa Ndiaye";"Mamadou Diop";"Fatou Fall";"Cheikh Ba";"Mariama Sow";"Ousmane Ndiaye";"Sokhna Diallo";"Abdoulaye Gueye"},RANDBETWEEN(1,8))</f>
        <v>Abdoulaye Gueye</v>
      </c>
      <c r="F65">
        <f t="shared" ca="1" si="2"/>
        <v>9</v>
      </c>
      <c r="G65" s="11">
        <f t="shared" ca="1" si="3"/>
        <v>420106</v>
      </c>
      <c r="H65" s="11">
        <f ca="1">tblVentes[[#This Row],[Prix_Unitaire]]*tblVentes[[#This Row],[Quantité]]</f>
        <v>3780954</v>
      </c>
      <c r="I65">
        <f t="shared" ca="1" si="5"/>
        <v>8.702573130574888E-2</v>
      </c>
      <c r="J65" s="14">
        <f ca="1">tblVentes[[#This Row],[Chiffre_Affaires]]*(1-tblVentes[[#This Row],[Remise]])</f>
        <v>3451913.7131166034</v>
      </c>
    </row>
    <row r="66" spans="1:10" x14ac:dyDescent="0.45">
      <c r="A66" s="1">
        <f t="shared" ca="1" si="0"/>
        <v>46269</v>
      </c>
      <c r="B66" t="str">
        <f t="shared" si="1"/>
        <v>V0065</v>
      </c>
      <c r="C66" t="str" cm="1">
        <f t="array" aca="1" ref="C66" ca="1">INDEX({"Laptop";"Souris";"Clavier";"Écran";"Casque";"Tablette";"Imprimante";"Disque dur";"RAM";"Carte graphique"},RANDBETWEEN(1,10))</f>
        <v>Souris</v>
      </c>
      <c r="D66" t="str" cm="1">
        <f t="array" aca="1" ref="D66" ca="1">INDEX({"Informatique";"Accessoires";"Périphériques";"Stockage";"Audio"},RANDBETWEEN(1,5))</f>
        <v>Périphériques</v>
      </c>
      <c r="E66" t="str" cm="1">
        <f t="array" aca="1" ref="E66" ca="1">INDEX({"Awa Ndiaye";"Mamadou Diop";"Fatou Fall";"Cheikh Ba";"Mariama Sow";"Ousmane Ndiaye";"Sokhna Diallo";"Abdoulaye Gueye"},RANDBETWEEN(1,8))</f>
        <v>Mamadou Diop</v>
      </c>
      <c r="F66">
        <f t="shared" ca="1" si="2"/>
        <v>6</v>
      </c>
      <c r="G66" s="11">
        <f t="shared" ca="1" si="3"/>
        <v>224534</v>
      </c>
      <c r="H66" s="11">
        <f ca="1">tblVentes[[#This Row],[Prix_Unitaire]]*tblVentes[[#This Row],[Quantité]]</f>
        <v>1347204</v>
      </c>
      <c r="I66">
        <f t="shared" ref="I66:I100" ca="1" si="6">RAND()*0.15</f>
        <v>0.1094257606793687</v>
      </c>
      <c r="J66" s="14">
        <f ca="1">tblVentes[[#This Row],[Chiffre_Affaires]]*(1-tblVentes[[#This Row],[Remise]])</f>
        <v>1199785.1775097118</v>
      </c>
    </row>
    <row r="67" spans="1:10" x14ac:dyDescent="0.45">
      <c r="A67" s="1">
        <f t="shared" ref="A67:A100" ca="1" si="7">DATE(2026,9,RANDBETWEEN(1,30))</f>
        <v>46286</v>
      </c>
      <c r="B67" t="str">
        <f t="shared" ref="B67:B100" si="8">"V"&amp;TEXT(ROW()-1,"0000")</f>
        <v>V0066</v>
      </c>
      <c r="C67" t="str" cm="1">
        <f t="array" aca="1" ref="C67" ca="1">INDEX({"Laptop";"Souris";"Clavier";"Écran";"Casque";"Tablette";"Imprimante";"Disque dur";"RAM";"Carte graphique"},RANDBETWEEN(1,10))</f>
        <v>Casque</v>
      </c>
      <c r="D67" t="str" cm="1">
        <f t="array" aca="1" ref="D67" ca="1">INDEX({"Informatique";"Accessoires";"Périphériques";"Stockage";"Audio"},RANDBETWEEN(1,5))</f>
        <v>Accessoires</v>
      </c>
      <c r="E67" t="str" cm="1">
        <f t="array" aca="1" ref="E67" ca="1">INDEX({"Awa Ndiaye";"Mamadou Diop";"Fatou Fall";"Cheikh Ba";"Mariama Sow";"Ousmane Ndiaye";"Sokhna Diallo";"Abdoulaye Gueye"},RANDBETWEEN(1,8))</f>
        <v>Mamadou Diop</v>
      </c>
      <c r="F67">
        <f t="shared" ref="F67:F100" ca="1" si="9">RANDBETWEEN(1,10)</f>
        <v>8</v>
      </c>
      <c r="G67" s="11">
        <f t="shared" ref="G67:G100" ca="1" si="10">RANDBETWEEN(5000,500000)</f>
        <v>342903</v>
      </c>
      <c r="H67" s="11">
        <f ca="1">tblVentes[[#This Row],[Prix_Unitaire]]*tblVentes[[#This Row],[Quantité]]</f>
        <v>2743224</v>
      </c>
      <c r="I67">
        <f t="shared" ca="1" si="6"/>
        <v>3.1758377927481679E-2</v>
      </c>
      <c r="J67" s="14">
        <f ca="1">tblVentes[[#This Row],[Chiffre_Affaires]]*(1-tblVentes[[#This Row],[Remise]])</f>
        <v>2656103.6554682618</v>
      </c>
    </row>
    <row r="68" spans="1:10" x14ac:dyDescent="0.45">
      <c r="A68" s="1">
        <f t="shared" ca="1" si="7"/>
        <v>46280</v>
      </c>
      <c r="B68" t="str">
        <f t="shared" si="8"/>
        <v>V0067</v>
      </c>
      <c r="C68" t="str" cm="1">
        <f t="array" aca="1" ref="C68" ca="1">INDEX({"Laptop";"Souris";"Clavier";"Écran";"Casque";"Tablette";"Imprimante";"Disque dur";"RAM";"Carte graphique"},RANDBETWEEN(1,10))</f>
        <v>Écran</v>
      </c>
      <c r="D68" t="str" cm="1">
        <f t="array" aca="1" ref="D68" ca="1">INDEX({"Informatique";"Accessoires";"Périphériques";"Stockage";"Audio"},RANDBETWEEN(1,5))</f>
        <v>Audio</v>
      </c>
      <c r="E68" t="str" cm="1">
        <f t="array" aca="1" ref="E68" ca="1">INDEX({"Awa Ndiaye";"Mamadou Diop";"Fatou Fall";"Cheikh Ba";"Mariama Sow";"Ousmane Ndiaye";"Sokhna Diallo";"Abdoulaye Gueye"},RANDBETWEEN(1,8))</f>
        <v>Abdoulaye Gueye</v>
      </c>
      <c r="F68">
        <f t="shared" ca="1" si="9"/>
        <v>5</v>
      </c>
      <c r="G68" s="11">
        <f t="shared" ca="1" si="10"/>
        <v>323312</v>
      </c>
      <c r="H68" s="11">
        <f ca="1">tblVentes[[#This Row],[Prix_Unitaire]]*tblVentes[[#This Row],[Quantité]]</f>
        <v>1616560</v>
      </c>
      <c r="I68">
        <f t="shared" ca="1" si="6"/>
        <v>5.4680266672086919E-2</v>
      </c>
      <c r="J68" s="14">
        <f ca="1">tblVentes[[#This Row],[Chiffre_Affaires]]*(1-tblVentes[[#This Row],[Remise]])</f>
        <v>1528166.0681085712</v>
      </c>
    </row>
    <row r="69" spans="1:10" x14ac:dyDescent="0.45">
      <c r="A69" s="1">
        <f t="shared" ca="1" si="7"/>
        <v>46276</v>
      </c>
      <c r="B69" t="str">
        <f t="shared" si="8"/>
        <v>V0068</v>
      </c>
      <c r="C69" t="str" cm="1">
        <f t="array" aca="1" ref="C69" ca="1">INDEX({"Laptop";"Souris";"Clavier";"Écran";"Casque";"Tablette";"Imprimante";"Disque dur";"RAM";"Carte graphique"},RANDBETWEEN(1,10))</f>
        <v>Souris</v>
      </c>
      <c r="D69" t="str" cm="1">
        <f t="array" aca="1" ref="D69" ca="1">INDEX({"Informatique";"Accessoires";"Périphériques";"Stockage";"Audio"},RANDBETWEEN(1,5))</f>
        <v>Informatique</v>
      </c>
      <c r="E69" t="str" cm="1">
        <f t="array" aca="1" ref="E69" ca="1">INDEX({"Awa Ndiaye";"Mamadou Diop";"Fatou Fall";"Cheikh Ba";"Mariama Sow";"Ousmane Ndiaye";"Sokhna Diallo";"Abdoulaye Gueye"},RANDBETWEEN(1,8))</f>
        <v>Awa Ndiaye</v>
      </c>
      <c r="F69">
        <f t="shared" ca="1" si="9"/>
        <v>3</v>
      </c>
      <c r="G69" s="11">
        <f t="shared" ca="1" si="10"/>
        <v>468526</v>
      </c>
      <c r="H69" s="11">
        <f ca="1">tblVentes[[#This Row],[Prix_Unitaire]]*tblVentes[[#This Row],[Quantité]]</f>
        <v>1405578</v>
      </c>
      <c r="I69">
        <f t="shared" ca="1" si="6"/>
        <v>5.5526938877793362E-3</v>
      </c>
      <c r="J69" s="14">
        <f ca="1">tblVentes[[#This Row],[Chiffre_Affaires]]*(1-tblVentes[[#This Row],[Remise]])</f>
        <v>1397773.2556306028</v>
      </c>
    </row>
    <row r="70" spans="1:10" x14ac:dyDescent="0.45">
      <c r="A70" s="1">
        <f t="shared" ca="1" si="7"/>
        <v>46266</v>
      </c>
      <c r="B70" t="str">
        <f t="shared" si="8"/>
        <v>V0069</v>
      </c>
      <c r="C70" t="str" cm="1">
        <f t="array" aca="1" ref="C70" ca="1">INDEX({"Laptop";"Souris";"Clavier";"Écran";"Casque";"Tablette";"Imprimante";"Disque dur";"RAM";"Carte graphique"},RANDBETWEEN(1,10))</f>
        <v>Disque dur</v>
      </c>
      <c r="D70" t="str" cm="1">
        <f t="array" aca="1" ref="D70" ca="1">INDEX({"Informatique";"Accessoires";"Périphériques";"Stockage";"Audio"},RANDBETWEEN(1,5))</f>
        <v>Audio</v>
      </c>
      <c r="E70" t="str" cm="1">
        <f t="array" aca="1" ref="E70" ca="1">INDEX({"Awa Ndiaye";"Mamadou Diop";"Fatou Fall";"Cheikh Ba";"Mariama Sow";"Ousmane Ndiaye";"Sokhna Diallo";"Abdoulaye Gueye"},RANDBETWEEN(1,8))</f>
        <v>Sokhna Diallo</v>
      </c>
      <c r="F70">
        <f t="shared" ca="1" si="9"/>
        <v>5</v>
      </c>
      <c r="G70" s="11">
        <f t="shared" ca="1" si="10"/>
        <v>463749</v>
      </c>
      <c r="H70" s="11">
        <f ca="1">tblVentes[[#This Row],[Prix_Unitaire]]*tblVentes[[#This Row],[Quantité]]</f>
        <v>2318745</v>
      </c>
      <c r="I70">
        <f t="shared" ca="1" si="6"/>
        <v>3.0800977854284484E-2</v>
      </c>
      <c r="J70" s="14">
        <f ca="1">tblVentes[[#This Row],[Chiffre_Affaires]]*(1-tblVentes[[#This Row],[Remise]])</f>
        <v>2247325.3866052669</v>
      </c>
    </row>
    <row r="71" spans="1:10" x14ac:dyDescent="0.45">
      <c r="A71" s="1">
        <f t="shared" ca="1" si="7"/>
        <v>46295</v>
      </c>
      <c r="B71" t="str">
        <f t="shared" si="8"/>
        <v>V0070</v>
      </c>
      <c r="C71" t="str" cm="1">
        <f t="array" aca="1" ref="C71" ca="1">INDEX({"Laptop";"Souris";"Clavier";"Écran";"Casque";"Tablette";"Imprimante";"Disque dur";"RAM";"Carte graphique"},RANDBETWEEN(1,10))</f>
        <v>Souris</v>
      </c>
      <c r="D71" t="str" cm="1">
        <f t="array" aca="1" ref="D71" ca="1">INDEX({"Informatique";"Accessoires";"Périphériques";"Stockage";"Audio"},RANDBETWEEN(1,5))</f>
        <v>Informatique</v>
      </c>
      <c r="E71" t="str" cm="1">
        <f t="array" aca="1" ref="E71" ca="1">INDEX({"Awa Ndiaye";"Mamadou Diop";"Fatou Fall";"Cheikh Ba";"Mariama Sow";"Ousmane Ndiaye";"Sokhna Diallo";"Abdoulaye Gueye"},RANDBETWEEN(1,8))</f>
        <v>Mariama Sow</v>
      </c>
      <c r="F71">
        <f t="shared" ca="1" si="9"/>
        <v>9</v>
      </c>
      <c r="G71" s="11">
        <f t="shared" ca="1" si="10"/>
        <v>233125</v>
      </c>
      <c r="H71" s="11">
        <f ca="1">tblVentes[[#This Row],[Prix_Unitaire]]*tblVentes[[#This Row],[Quantité]]</f>
        <v>2098125</v>
      </c>
      <c r="I71">
        <f t="shared" ca="1" si="6"/>
        <v>9.5007779234210513E-2</v>
      </c>
      <c r="J71" s="14">
        <f ca="1">tblVentes[[#This Row],[Chiffre_Affaires]]*(1-tblVentes[[#This Row],[Remise]])</f>
        <v>1898786.803194222</v>
      </c>
    </row>
    <row r="72" spans="1:10" x14ac:dyDescent="0.45">
      <c r="A72" s="1">
        <f t="shared" ca="1" si="7"/>
        <v>46275</v>
      </c>
      <c r="B72" t="str">
        <f t="shared" si="8"/>
        <v>V0071</v>
      </c>
      <c r="C72" t="str" cm="1">
        <f t="array" aca="1" ref="C72" ca="1">INDEX({"Laptop";"Souris";"Clavier";"Écran";"Casque";"Tablette";"Imprimante";"Disque dur";"RAM";"Carte graphique"},RANDBETWEEN(1,10))</f>
        <v>Clavier</v>
      </c>
      <c r="D72" t="str" cm="1">
        <f t="array" aca="1" ref="D72" ca="1">INDEX({"Informatique";"Accessoires";"Périphériques";"Stockage";"Audio"},RANDBETWEEN(1,5))</f>
        <v>Stockage</v>
      </c>
      <c r="E72" t="str" cm="1">
        <f t="array" aca="1" ref="E72" ca="1">INDEX({"Awa Ndiaye";"Mamadou Diop";"Fatou Fall";"Cheikh Ba";"Mariama Sow";"Ousmane Ndiaye";"Sokhna Diallo";"Abdoulaye Gueye"},RANDBETWEEN(1,8))</f>
        <v>Sokhna Diallo</v>
      </c>
      <c r="F72">
        <f t="shared" ca="1" si="9"/>
        <v>4</v>
      </c>
      <c r="G72" s="11">
        <f t="shared" ca="1" si="10"/>
        <v>492328</v>
      </c>
      <c r="H72" s="11">
        <f ca="1">tblVentes[[#This Row],[Prix_Unitaire]]*tblVentes[[#This Row],[Quantité]]</f>
        <v>1969312</v>
      </c>
      <c r="I72">
        <f t="shared" ca="1" si="6"/>
        <v>0.10460240934764033</v>
      </c>
      <c r="J72" s="14">
        <f ca="1">tblVentes[[#This Row],[Chiffre_Affaires]]*(1-tblVentes[[#This Row],[Remise]])</f>
        <v>1763317.2200427798</v>
      </c>
    </row>
    <row r="73" spans="1:10" x14ac:dyDescent="0.45">
      <c r="A73" s="1">
        <f t="shared" ca="1" si="7"/>
        <v>46273</v>
      </c>
      <c r="B73" t="str">
        <f t="shared" si="8"/>
        <v>V0072</v>
      </c>
      <c r="C73" t="str" cm="1">
        <f t="array" aca="1" ref="C73" ca="1">INDEX({"Laptop";"Souris";"Clavier";"Écran";"Casque";"Tablette";"Imprimante";"Disque dur";"RAM";"Carte graphique"},RANDBETWEEN(1,10))</f>
        <v>Disque dur</v>
      </c>
      <c r="D73" t="str" cm="1">
        <f t="array" aca="1" ref="D73" ca="1">INDEX({"Informatique";"Accessoires";"Périphériques";"Stockage";"Audio"},RANDBETWEEN(1,5))</f>
        <v>Audio</v>
      </c>
      <c r="E73" t="str" cm="1">
        <f t="array" aca="1" ref="E73" ca="1">INDEX({"Awa Ndiaye";"Mamadou Diop";"Fatou Fall";"Cheikh Ba";"Mariama Sow";"Ousmane Ndiaye";"Sokhna Diallo";"Abdoulaye Gueye"},RANDBETWEEN(1,8))</f>
        <v>Abdoulaye Gueye</v>
      </c>
      <c r="F73">
        <f t="shared" ca="1" si="9"/>
        <v>10</v>
      </c>
      <c r="G73" s="11">
        <f t="shared" ca="1" si="10"/>
        <v>432815</v>
      </c>
      <c r="H73" s="11">
        <f ca="1">tblVentes[[#This Row],[Prix_Unitaire]]*tblVentes[[#This Row],[Quantité]]</f>
        <v>4328150</v>
      </c>
      <c r="I73">
        <f t="shared" ca="1" si="6"/>
        <v>0.11222396044312292</v>
      </c>
      <c r="J73" s="14">
        <f ca="1">tblVentes[[#This Row],[Chiffre_Affaires]]*(1-tblVentes[[#This Row],[Remise]])</f>
        <v>3842427.8656080975</v>
      </c>
    </row>
    <row r="74" spans="1:10" x14ac:dyDescent="0.45">
      <c r="A74" s="1">
        <f t="shared" ca="1" si="7"/>
        <v>46289</v>
      </c>
      <c r="B74" t="str">
        <f t="shared" si="8"/>
        <v>V0073</v>
      </c>
      <c r="C74" t="str" cm="1">
        <f t="array" aca="1" ref="C74" ca="1">INDEX({"Laptop";"Souris";"Clavier";"Écran";"Casque";"Tablette";"Imprimante";"Disque dur";"RAM";"Carte graphique"},RANDBETWEEN(1,10))</f>
        <v>Écran</v>
      </c>
      <c r="D74" t="str" cm="1">
        <f t="array" aca="1" ref="D74" ca="1">INDEX({"Informatique";"Accessoires";"Périphériques";"Stockage";"Audio"},RANDBETWEEN(1,5))</f>
        <v>Stockage</v>
      </c>
      <c r="E74" t="str" cm="1">
        <f t="array" aca="1" ref="E74" ca="1">INDEX({"Awa Ndiaye";"Mamadou Diop";"Fatou Fall";"Cheikh Ba";"Mariama Sow";"Ousmane Ndiaye";"Sokhna Diallo";"Abdoulaye Gueye"},RANDBETWEEN(1,8))</f>
        <v>Cheikh Ba</v>
      </c>
      <c r="F74">
        <f t="shared" ca="1" si="9"/>
        <v>1</v>
      </c>
      <c r="G74" s="11">
        <f t="shared" ca="1" si="10"/>
        <v>173107</v>
      </c>
      <c r="H74" s="11">
        <f ca="1">tblVentes[[#This Row],[Prix_Unitaire]]*tblVentes[[#This Row],[Quantité]]</f>
        <v>173107</v>
      </c>
      <c r="I74">
        <f t="shared" ca="1" si="6"/>
        <v>4.2265438558107889E-2</v>
      </c>
      <c r="J74" s="14">
        <f ca="1">tblVentes[[#This Row],[Chiffre_Affaires]]*(1-tblVentes[[#This Row],[Remise]])</f>
        <v>165790.55672752162</v>
      </c>
    </row>
    <row r="75" spans="1:10" x14ac:dyDescent="0.45">
      <c r="A75" s="1">
        <f t="shared" ca="1" si="7"/>
        <v>46295</v>
      </c>
      <c r="B75" t="str">
        <f t="shared" si="8"/>
        <v>V0074</v>
      </c>
      <c r="C75" t="str" cm="1">
        <f t="array" aca="1" ref="C75" ca="1">INDEX({"Laptop";"Souris";"Clavier";"Écran";"Casque";"Tablette";"Imprimante";"Disque dur";"RAM";"Carte graphique"},RANDBETWEEN(1,10))</f>
        <v>Disque dur</v>
      </c>
      <c r="D75" t="str" cm="1">
        <f t="array" aca="1" ref="D75" ca="1">INDEX({"Informatique";"Accessoires";"Périphériques";"Stockage";"Audio"},RANDBETWEEN(1,5))</f>
        <v>Périphériques</v>
      </c>
      <c r="E75" t="str" cm="1">
        <f t="array" aca="1" ref="E75" ca="1">INDEX({"Awa Ndiaye";"Mamadou Diop";"Fatou Fall";"Cheikh Ba";"Mariama Sow";"Ousmane Ndiaye";"Sokhna Diallo";"Abdoulaye Gueye"},RANDBETWEEN(1,8))</f>
        <v>Awa Ndiaye</v>
      </c>
      <c r="F75">
        <f t="shared" ca="1" si="9"/>
        <v>10</v>
      </c>
      <c r="G75" s="11">
        <f t="shared" ca="1" si="10"/>
        <v>214170</v>
      </c>
      <c r="H75" s="11">
        <f ca="1">tblVentes[[#This Row],[Prix_Unitaire]]*tblVentes[[#This Row],[Quantité]]</f>
        <v>2141700</v>
      </c>
      <c r="I75">
        <f t="shared" ca="1" si="6"/>
        <v>0.14782346490536089</v>
      </c>
      <c r="J75" s="14">
        <f ca="1">tblVentes[[#This Row],[Chiffre_Affaires]]*(1-tblVentes[[#This Row],[Remise]])</f>
        <v>1825106.4852121884</v>
      </c>
    </row>
    <row r="76" spans="1:10" x14ac:dyDescent="0.45">
      <c r="A76" s="1">
        <f t="shared" ca="1" si="7"/>
        <v>46282</v>
      </c>
      <c r="B76" t="str">
        <f t="shared" si="8"/>
        <v>V0075</v>
      </c>
      <c r="C76" t="str" cm="1">
        <f t="array" aca="1" ref="C76" ca="1">INDEX({"Laptop";"Souris";"Clavier";"Écran";"Casque";"Tablette";"Imprimante";"Disque dur";"RAM";"Carte graphique"},RANDBETWEEN(1,10))</f>
        <v>Écran</v>
      </c>
      <c r="D76" t="str" cm="1">
        <f t="array" aca="1" ref="D76" ca="1">INDEX({"Informatique";"Accessoires";"Périphériques";"Stockage";"Audio"},RANDBETWEEN(1,5))</f>
        <v>Périphériques</v>
      </c>
      <c r="E76" t="str" cm="1">
        <f t="array" aca="1" ref="E76" ca="1">INDEX({"Awa Ndiaye";"Mamadou Diop";"Fatou Fall";"Cheikh Ba";"Mariama Sow";"Ousmane Ndiaye";"Sokhna Diallo";"Abdoulaye Gueye"},RANDBETWEEN(1,8))</f>
        <v>Sokhna Diallo</v>
      </c>
      <c r="F76">
        <f t="shared" ca="1" si="9"/>
        <v>2</v>
      </c>
      <c r="G76" s="11">
        <f t="shared" ca="1" si="10"/>
        <v>363756</v>
      </c>
      <c r="H76" s="11">
        <f ca="1">tblVentes[[#This Row],[Prix_Unitaire]]*tblVentes[[#This Row],[Quantité]]</f>
        <v>727512</v>
      </c>
      <c r="I76">
        <f t="shared" ca="1" si="6"/>
        <v>4.8038919369668184E-2</v>
      </c>
      <c r="J76" s="14">
        <f ca="1">tblVentes[[#This Row],[Chiffre_Affaires]]*(1-tblVentes[[#This Row],[Remise]])</f>
        <v>692563.10969153396</v>
      </c>
    </row>
    <row r="77" spans="1:10" x14ac:dyDescent="0.45">
      <c r="A77" s="1">
        <f t="shared" ca="1" si="7"/>
        <v>46267</v>
      </c>
      <c r="B77" t="str">
        <f t="shared" si="8"/>
        <v>V0076</v>
      </c>
      <c r="C77" t="str" cm="1">
        <f t="array" aca="1" ref="C77" ca="1">INDEX({"Laptop";"Souris";"Clavier";"Écran";"Casque";"Tablette";"Imprimante";"Disque dur";"RAM";"Carte graphique"},RANDBETWEEN(1,10))</f>
        <v>Laptop</v>
      </c>
      <c r="D77" t="str" cm="1">
        <f t="array" aca="1" ref="D77" ca="1">INDEX({"Informatique";"Accessoires";"Périphériques";"Stockage";"Audio"},RANDBETWEEN(1,5))</f>
        <v>Informatique</v>
      </c>
      <c r="E77" t="str" cm="1">
        <f t="array" aca="1" ref="E77" ca="1">INDEX({"Awa Ndiaye";"Mamadou Diop";"Fatou Fall";"Cheikh Ba";"Mariama Sow";"Ousmane Ndiaye";"Sokhna Diallo";"Abdoulaye Gueye"},RANDBETWEEN(1,8))</f>
        <v>Mamadou Diop</v>
      </c>
      <c r="F77">
        <f t="shared" ca="1" si="9"/>
        <v>4</v>
      </c>
      <c r="G77" s="11">
        <f t="shared" ca="1" si="10"/>
        <v>328073</v>
      </c>
      <c r="H77" s="11">
        <f ca="1">tblVentes[[#This Row],[Prix_Unitaire]]*tblVentes[[#This Row],[Quantité]]</f>
        <v>1312292</v>
      </c>
      <c r="I77">
        <f t="shared" ca="1" si="6"/>
        <v>2.2796824537808156E-2</v>
      </c>
      <c r="J77" s="14">
        <f ca="1">tblVentes[[#This Row],[Chiffre_Affaires]]*(1-tblVentes[[#This Row],[Remise]])</f>
        <v>1282375.9095336306</v>
      </c>
    </row>
    <row r="78" spans="1:10" x14ac:dyDescent="0.45">
      <c r="A78" s="1">
        <f t="shared" ca="1" si="7"/>
        <v>46289</v>
      </c>
      <c r="B78" t="str">
        <f t="shared" si="8"/>
        <v>V0077</v>
      </c>
      <c r="C78" t="str" cm="1">
        <f t="array" aca="1" ref="C78" ca="1">INDEX({"Laptop";"Souris";"Clavier";"Écran";"Casque";"Tablette";"Imprimante";"Disque dur";"RAM";"Carte graphique"},RANDBETWEEN(1,10))</f>
        <v>Casque</v>
      </c>
      <c r="D78" t="str" cm="1">
        <f t="array" aca="1" ref="D78" ca="1">INDEX({"Informatique";"Accessoires";"Périphériques";"Stockage";"Audio"},RANDBETWEEN(1,5))</f>
        <v>Stockage</v>
      </c>
      <c r="E78" t="str" cm="1">
        <f t="array" aca="1" ref="E78" ca="1">INDEX({"Awa Ndiaye";"Mamadou Diop";"Fatou Fall";"Cheikh Ba";"Mariama Sow";"Ousmane Ndiaye";"Sokhna Diallo";"Abdoulaye Gueye"},RANDBETWEEN(1,8))</f>
        <v>Ousmane Ndiaye</v>
      </c>
      <c r="F78">
        <f t="shared" ca="1" si="9"/>
        <v>6</v>
      </c>
      <c r="G78" s="11">
        <f t="shared" ca="1" si="10"/>
        <v>299536</v>
      </c>
      <c r="H78" s="11">
        <f ca="1">tblVentes[[#This Row],[Prix_Unitaire]]*tblVentes[[#This Row],[Quantité]]</f>
        <v>1797216</v>
      </c>
      <c r="I78">
        <f t="shared" ca="1" si="6"/>
        <v>9.3696043967754702E-2</v>
      </c>
      <c r="J78" s="14">
        <f ca="1">tblVentes[[#This Row],[Chiffre_Affaires]]*(1-tblVentes[[#This Row],[Remise]])</f>
        <v>1628823.970644448</v>
      </c>
    </row>
    <row r="79" spans="1:10" x14ac:dyDescent="0.45">
      <c r="A79" s="1">
        <f t="shared" ca="1" si="7"/>
        <v>46266</v>
      </c>
      <c r="B79" t="str">
        <f t="shared" si="8"/>
        <v>V0078</v>
      </c>
      <c r="C79" t="str" cm="1">
        <f t="array" aca="1" ref="C79" ca="1">INDEX({"Laptop";"Souris";"Clavier";"Écran";"Casque";"Tablette";"Imprimante";"Disque dur";"RAM";"Carte graphique"},RANDBETWEEN(1,10))</f>
        <v>Disque dur</v>
      </c>
      <c r="D79" t="str" cm="1">
        <f t="array" aca="1" ref="D79" ca="1">INDEX({"Informatique";"Accessoires";"Périphériques";"Stockage";"Audio"},RANDBETWEEN(1,5))</f>
        <v>Informatique</v>
      </c>
      <c r="E79" t="str" cm="1">
        <f t="array" aca="1" ref="E79" ca="1">INDEX({"Awa Ndiaye";"Mamadou Diop";"Fatou Fall";"Cheikh Ba";"Mariama Sow";"Ousmane Ndiaye";"Sokhna Diallo";"Abdoulaye Gueye"},RANDBETWEEN(1,8))</f>
        <v>Fatou Fall</v>
      </c>
      <c r="F79">
        <f t="shared" ca="1" si="9"/>
        <v>8</v>
      </c>
      <c r="G79" s="11">
        <f t="shared" ca="1" si="10"/>
        <v>454005</v>
      </c>
      <c r="H79" s="11">
        <f ca="1">tblVentes[[#This Row],[Prix_Unitaire]]*tblVentes[[#This Row],[Quantité]]</f>
        <v>3632040</v>
      </c>
      <c r="I79">
        <f t="shared" ca="1" si="6"/>
        <v>8.8246325399116518E-2</v>
      </c>
      <c r="J79" s="14">
        <f ca="1">tblVentes[[#This Row],[Chiffre_Affaires]]*(1-tblVentes[[#This Row],[Remise]])</f>
        <v>3311525.8162973928</v>
      </c>
    </row>
    <row r="80" spans="1:10" x14ac:dyDescent="0.45">
      <c r="A80" s="1">
        <f t="shared" ca="1" si="7"/>
        <v>46276</v>
      </c>
      <c r="B80" t="str">
        <f t="shared" si="8"/>
        <v>V0079</v>
      </c>
      <c r="C80" t="str" cm="1">
        <f t="array" aca="1" ref="C80" ca="1">INDEX({"Laptop";"Souris";"Clavier";"Écran";"Casque";"Tablette";"Imprimante";"Disque dur";"RAM";"Carte graphique"},RANDBETWEEN(1,10))</f>
        <v>Tablette</v>
      </c>
      <c r="D80" t="str" cm="1">
        <f t="array" aca="1" ref="D80" ca="1">INDEX({"Informatique";"Accessoires";"Périphériques";"Stockage";"Audio"},RANDBETWEEN(1,5))</f>
        <v>Audio</v>
      </c>
      <c r="E80" t="str" cm="1">
        <f t="array" aca="1" ref="E80" ca="1">INDEX({"Awa Ndiaye";"Mamadou Diop";"Fatou Fall";"Cheikh Ba";"Mariama Sow";"Ousmane Ndiaye";"Sokhna Diallo";"Abdoulaye Gueye"},RANDBETWEEN(1,8))</f>
        <v>Abdoulaye Gueye</v>
      </c>
      <c r="F80">
        <f t="shared" ca="1" si="9"/>
        <v>7</v>
      </c>
      <c r="G80" s="11">
        <f t="shared" ca="1" si="10"/>
        <v>467281</v>
      </c>
      <c r="H80" s="11">
        <f ca="1">tblVentes[[#This Row],[Prix_Unitaire]]*tblVentes[[#This Row],[Quantité]]</f>
        <v>3270967</v>
      </c>
      <c r="I80">
        <f t="shared" ca="1" si="6"/>
        <v>2.3596038094157168E-3</v>
      </c>
      <c r="J80" s="14">
        <f ca="1">tblVentes[[#This Row],[Chiffre_Affaires]]*(1-tblVentes[[#This Row],[Remise]])</f>
        <v>3263248.8138063271</v>
      </c>
    </row>
    <row r="81" spans="1:10" x14ac:dyDescent="0.45">
      <c r="A81" s="1">
        <f t="shared" ca="1" si="7"/>
        <v>46282</v>
      </c>
      <c r="B81" t="str">
        <f t="shared" si="8"/>
        <v>V0080</v>
      </c>
      <c r="C81" t="str" cm="1">
        <f t="array" aca="1" ref="C81" ca="1">INDEX({"Laptop";"Souris";"Clavier";"Écran";"Casque";"Tablette";"Imprimante";"Disque dur";"RAM";"Carte graphique"},RANDBETWEEN(1,10))</f>
        <v>Disque dur</v>
      </c>
      <c r="D81" t="str" cm="1">
        <f t="array" aca="1" ref="D81" ca="1">INDEX({"Informatique";"Accessoires";"Périphériques";"Stockage";"Audio"},RANDBETWEEN(1,5))</f>
        <v>Stockage</v>
      </c>
      <c r="E81" t="str" cm="1">
        <f t="array" aca="1" ref="E81" ca="1">INDEX({"Awa Ndiaye";"Mamadou Diop";"Fatou Fall";"Cheikh Ba";"Mariama Sow";"Ousmane Ndiaye";"Sokhna Diallo";"Abdoulaye Gueye"},RANDBETWEEN(1,8))</f>
        <v>Mamadou Diop</v>
      </c>
      <c r="F81">
        <f t="shared" ca="1" si="9"/>
        <v>8</v>
      </c>
      <c r="G81" s="11">
        <f t="shared" ca="1" si="10"/>
        <v>27516</v>
      </c>
      <c r="H81" s="11">
        <f ca="1">tblVentes[[#This Row],[Prix_Unitaire]]*tblVentes[[#This Row],[Quantité]]</f>
        <v>220128</v>
      </c>
      <c r="I81">
        <f t="shared" ca="1" si="6"/>
        <v>0.11045700670046187</v>
      </c>
      <c r="J81" s="14">
        <f ca="1">tblVentes[[#This Row],[Chiffre_Affaires]]*(1-tblVentes[[#This Row],[Remise]])</f>
        <v>195813.32002904074</v>
      </c>
    </row>
    <row r="82" spans="1:10" x14ac:dyDescent="0.45">
      <c r="A82" s="1">
        <f t="shared" ca="1" si="7"/>
        <v>46292</v>
      </c>
      <c r="B82" t="str">
        <f t="shared" si="8"/>
        <v>V0081</v>
      </c>
      <c r="C82" t="str" cm="1">
        <f t="array" aca="1" ref="C82" ca="1">INDEX({"Laptop";"Souris";"Clavier";"Écran";"Casque";"Tablette";"Imprimante";"Disque dur";"RAM";"Carte graphique"},RANDBETWEEN(1,10))</f>
        <v>RAM</v>
      </c>
      <c r="D82" t="str" cm="1">
        <f t="array" aca="1" ref="D82" ca="1">INDEX({"Informatique";"Accessoires";"Périphériques";"Stockage";"Audio"},RANDBETWEEN(1,5))</f>
        <v>Périphériques</v>
      </c>
      <c r="E82" t="str" cm="1">
        <f t="array" aca="1" ref="E82" ca="1">INDEX({"Awa Ndiaye";"Mamadou Diop";"Fatou Fall";"Cheikh Ba";"Mariama Sow";"Ousmane Ndiaye";"Sokhna Diallo";"Abdoulaye Gueye"},RANDBETWEEN(1,8))</f>
        <v>Sokhna Diallo</v>
      </c>
      <c r="F82">
        <f t="shared" ca="1" si="9"/>
        <v>8</v>
      </c>
      <c r="G82" s="11">
        <f t="shared" ca="1" si="10"/>
        <v>326232</v>
      </c>
      <c r="H82" s="11">
        <f ca="1">tblVentes[[#This Row],[Prix_Unitaire]]*tblVentes[[#This Row],[Quantité]]</f>
        <v>2609856</v>
      </c>
      <c r="I82">
        <f t="shared" ca="1" si="6"/>
        <v>3.5515303248562925E-2</v>
      </c>
      <c r="J82" s="14">
        <f ca="1">tblVentes[[#This Row],[Chiffre_Affaires]]*(1-tblVentes[[#This Row],[Remise]])</f>
        <v>2517166.1727249185</v>
      </c>
    </row>
    <row r="83" spans="1:10" x14ac:dyDescent="0.45">
      <c r="A83" s="1">
        <f t="shared" ca="1" si="7"/>
        <v>46290</v>
      </c>
      <c r="B83" t="str">
        <f t="shared" si="8"/>
        <v>V0082</v>
      </c>
      <c r="C83" t="str" cm="1">
        <f t="array" aca="1" ref="C83" ca="1">INDEX({"Laptop";"Souris";"Clavier";"Écran";"Casque";"Tablette";"Imprimante";"Disque dur";"RAM";"Carte graphique"},RANDBETWEEN(1,10))</f>
        <v>Tablette</v>
      </c>
      <c r="D83" t="str" cm="1">
        <f t="array" aca="1" ref="D83" ca="1">INDEX({"Informatique";"Accessoires";"Périphériques";"Stockage";"Audio"},RANDBETWEEN(1,5))</f>
        <v>Audio</v>
      </c>
      <c r="E83" t="str" cm="1">
        <f t="array" aca="1" ref="E83" ca="1">INDEX({"Awa Ndiaye";"Mamadou Diop";"Fatou Fall";"Cheikh Ba";"Mariama Sow";"Ousmane Ndiaye";"Sokhna Diallo";"Abdoulaye Gueye"},RANDBETWEEN(1,8))</f>
        <v>Ousmane Ndiaye</v>
      </c>
      <c r="F83">
        <f t="shared" ca="1" si="9"/>
        <v>10</v>
      </c>
      <c r="G83" s="11">
        <f t="shared" ca="1" si="10"/>
        <v>346984</v>
      </c>
      <c r="H83" s="11">
        <f ca="1">tblVentes[[#This Row],[Prix_Unitaire]]*tblVentes[[#This Row],[Quantité]]</f>
        <v>3469840</v>
      </c>
      <c r="I83">
        <f t="shared" ca="1" si="6"/>
        <v>2.8356713688822602E-2</v>
      </c>
      <c r="J83" s="14">
        <f ca="1">tblVentes[[#This Row],[Chiffre_Affaires]]*(1-tblVentes[[#This Row],[Remise]])</f>
        <v>3371446.7405739757</v>
      </c>
    </row>
    <row r="84" spans="1:10" x14ac:dyDescent="0.45">
      <c r="A84" s="1">
        <f t="shared" ca="1" si="7"/>
        <v>46268</v>
      </c>
      <c r="B84" t="str">
        <f t="shared" si="8"/>
        <v>V0083</v>
      </c>
      <c r="C84" t="str" cm="1">
        <f t="array" aca="1" ref="C84" ca="1">INDEX({"Laptop";"Souris";"Clavier";"Écran";"Casque";"Tablette";"Imprimante";"Disque dur";"RAM";"Carte graphique"},RANDBETWEEN(1,10))</f>
        <v>RAM</v>
      </c>
      <c r="D84" t="str" cm="1">
        <f t="array" aca="1" ref="D84" ca="1">INDEX({"Informatique";"Accessoires";"Périphériques";"Stockage";"Audio"},RANDBETWEEN(1,5))</f>
        <v>Périphériques</v>
      </c>
      <c r="E84" t="str" cm="1">
        <f t="array" aca="1" ref="E84" ca="1">INDEX({"Awa Ndiaye";"Mamadou Diop";"Fatou Fall";"Cheikh Ba";"Mariama Sow";"Ousmane Ndiaye";"Sokhna Diallo";"Abdoulaye Gueye"},RANDBETWEEN(1,8))</f>
        <v>Awa Ndiaye</v>
      </c>
      <c r="F84">
        <f t="shared" ca="1" si="9"/>
        <v>4</v>
      </c>
      <c r="G84" s="11">
        <f t="shared" ca="1" si="10"/>
        <v>477811</v>
      </c>
      <c r="H84" s="11">
        <f ca="1">tblVentes[[#This Row],[Prix_Unitaire]]*tblVentes[[#This Row],[Quantité]]</f>
        <v>1911244</v>
      </c>
      <c r="I84">
        <f t="shared" ca="1" si="6"/>
        <v>1.9982558227058838E-2</v>
      </c>
      <c r="J84" s="14">
        <f ca="1">tblVentes[[#This Row],[Chiffre_Affaires]]*(1-tblVentes[[#This Row],[Remise]])</f>
        <v>1873052.4554838832</v>
      </c>
    </row>
    <row r="85" spans="1:10" x14ac:dyDescent="0.45">
      <c r="A85" s="1">
        <f t="shared" ca="1" si="7"/>
        <v>46279</v>
      </c>
      <c r="B85" t="str">
        <f t="shared" si="8"/>
        <v>V0084</v>
      </c>
      <c r="C85" t="str" cm="1">
        <f t="array" aca="1" ref="C85" ca="1">INDEX({"Laptop";"Souris";"Clavier";"Écran";"Casque";"Tablette";"Imprimante";"Disque dur";"RAM";"Carte graphique"},RANDBETWEEN(1,10))</f>
        <v>Casque</v>
      </c>
      <c r="D85" t="str" cm="1">
        <f t="array" aca="1" ref="D85" ca="1">INDEX({"Informatique";"Accessoires";"Périphériques";"Stockage";"Audio"},RANDBETWEEN(1,5))</f>
        <v>Audio</v>
      </c>
      <c r="E85" t="str" cm="1">
        <f t="array" aca="1" ref="E85" ca="1">INDEX({"Awa Ndiaye";"Mamadou Diop";"Fatou Fall";"Cheikh Ba";"Mariama Sow";"Ousmane Ndiaye";"Sokhna Diallo";"Abdoulaye Gueye"},RANDBETWEEN(1,8))</f>
        <v>Cheikh Ba</v>
      </c>
      <c r="F85">
        <f t="shared" ca="1" si="9"/>
        <v>2</v>
      </c>
      <c r="G85" s="11">
        <f t="shared" ca="1" si="10"/>
        <v>470874</v>
      </c>
      <c r="H85" s="11">
        <f ca="1">tblVentes[[#This Row],[Prix_Unitaire]]*tblVentes[[#This Row],[Quantité]]</f>
        <v>941748</v>
      </c>
      <c r="I85">
        <f t="shared" ca="1" si="6"/>
        <v>5.8021457332969708E-3</v>
      </c>
      <c r="J85" s="14">
        <f ca="1">tblVentes[[#This Row],[Chiffre_Affaires]]*(1-tblVentes[[#This Row],[Remise]])</f>
        <v>936283.84085995902</v>
      </c>
    </row>
    <row r="86" spans="1:10" x14ac:dyDescent="0.45">
      <c r="A86" s="1">
        <f t="shared" ca="1" si="7"/>
        <v>46279</v>
      </c>
      <c r="B86" t="str">
        <f t="shared" si="8"/>
        <v>V0085</v>
      </c>
      <c r="C86" t="str" cm="1">
        <f t="array" aca="1" ref="C86" ca="1">INDEX({"Laptop";"Souris";"Clavier";"Écran";"Casque";"Tablette";"Imprimante";"Disque dur";"RAM";"Carte graphique"},RANDBETWEEN(1,10))</f>
        <v>Laptop</v>
      </c>
      <c r="D86" t="str" cm="1">
        <f t="array" aca="1" ref="D86" ca="1">INDEX({"Informatique";"Accessoires";"Périphériques";"Stockage";"Audio"},RANDBETWEEN(1,5))</f>
        <v>Informatique</v>
      </c>
      <c r="E86" t="str" cm="1">
        <f t="array" aca="1" ref="E86" ca="1">INDEX({"Awa Ndiaye";"Mamadou Diop";"Fatou Fall";"Cheikh Ba";"Mariama Sow";"Ousmane Ndiaye";"Sokhna Diallo";"Abdoulaye Gueye"},RANDBETWEEN(1,8))</f>
        <v>Abdoulaye Gueye</v>
      </c>
      <c r="F86">
        <f t="shared" ca="1" si="9"/>
        <v>4</v>
      </c>
      <c r="G86" s="11">
        <f t="shared" ca="1" si="10"/>
        <v>377285</v>
      </c>
      <c r="H86" s="11">
        <f ca="1">tblVentes[[#This Row],[Prix_Unitaire]]*tblVentes[[#This Row],[Quantité]]</f>
        <v>1509140</v>
      </c>
      <c r="I86">
        <f t="shared" ca="1" si="6"/>
        <v>2.0464466880093839E-2</v>
      </c>
      <c r="J86" s="14">
        <f ca="1">tblVentes[[#This Row],[Chiffre_Affaires]]*(1-tblVentes[[#This Row],[Remise]])</f>
        <v>1478256.2544525752</v>
      </c>
    </row>
    <row r="87" spans="1:10" x14ac:dyDescent="0.45">
      <c r="A87" s="1">
        <f t="shared" ca="1" si="7"/>
        <v>46269</v>
      </c>
      <c r="B87" t="str">
        <f t="shared" si="8"/>
        <v>V0086</v>
      </c>
      <c r="C87" t="str" cm="1">
        <f t="array" aca="1" ref="C87" ca="1">INDEX({"Laptop";"Souris";"Clavier";"Écran";"Casque";"Tablette";"Imprimante";"Disque dur";"RAM";"Carte graphique"},RANDBETWEEN(1,10))</f>
        <v>Carte graphique</v>
      </c>
      <c r="D87" t="str" cm="1">
        <f t="array" aca="1" ref="D87" ca="1">INDEX({"Informatique";"Accessoires";"Périphériques";"Stockage";"Audio"},RANDBETWEEN(1,5))</f>
        <v>Informatique</v>
      </c>
      <c r="E87" t="str" cm="1">
        <f t="array" aca="1" ref="E87" ca="1">INDEX({"Awa Ndiaye";"Mamadou Diop";"Fatou Fall";"Cheikh Ba";"Mariama Sow";"Ousmane Ndiaye";"Sokhna Diallo";"Abdoulaye Gueye"},RANDBETWEEN(1,8))</f>
        <v>Sokhna Diallo</v>
      </c>
      <c r="F87">
        <f t="shared" ca="1" si="9"/>
        <v>5</v>
      </c>
      <c r="G87" s="11">
        <f t="shared" ca="1" si="10"/>
        <v>117690</v>
      </c>
      <c r="H87" s="11">
        <f ca="1">tblVentes[[#This Row],[Prix_Unitaire]]*tblVentes[[#This Row],[Quantité]]</f>
        <v>588450</v>
      </c>
      <c r="I87">
        <f t="shared" ca="1" si="6"/>
        <v>0.12452164622923192</v>
      </c>
      <c r="J87" s="14">
        <f ca="1">tblVentes[[#This Row],[Chiffre_Affaires]]*(1-tblVentes[[#This Row],[Remise]])</f>
        <v>515175.23727640847</v>
      </c>
    </row>
    <row r="88" spans="1:10" x14ac:dyDescent="0.45">
      <c r="A88" s="1">
        <f t="shared" ca="1" si="7"/>
        <v>46276</v>
      </c>
      <c r="B88" t="str">
        <f t="shared" si="8"/>
        <v>V0087</v>
      </c>
      <c r="C88" t="str" cm="1">
        <f t="array" aca="1" ref="C88" ca="1">INDEX({"Laptop";"Souris";"Clavier";"Écran";"Casque";"Tablette";"Imprimante";"Disque dur";"RAM";"Carte graphique"},RANDBETWEEN(1,10))</f>
        <v>Disque dur</v>
      </c>
      <c r="D88" t="str" cm="1">
        <f t="array" aca="1" ref="D88" ca="1">INDEX({"Informatique";"Accessoires";"Périphériques";"Stockage";"Audio"},RANDBETWEEN(1,5))</f>
        <v>Périphériques</v>
      </c>
      <c r="E88" t="str" cm="1">
        <f t="array" aca="1" ref="E88" ca="1">INDEX({"Awa Ndiaye";"Mamadou Diop";"Fatou Fall";"Cheikh Ba";"Mariama Sow";"Ousmane Ndiaye";"Sokhna Diallo";"Abdoulaye Gueye"},RANDBETWEEN(1,8))</f>
        <v>Mariama Sow</v>
      </c>
      <c r="F88">
        <f t="shared" ca="1" si="9"/>
        <v>10</v>
      </c>
      <c r="G88" s="11">
        <f t="shared" ca="1" si="10"/>
        <v>466114</v>
      </c>
      <c r="H88" s="11">
        <f ca="1">tblVentes[[#This Row],[Prix_Unitaire]]*tblVentes[[#This Row],[Quantité]]</f>
        <v>4661140</v>
      </c>
      <c r="I88">
        <f t="shared" ca="1" si="6"/>
        <v>5.6657619273791093E-2</v>
      </c>
      <c r="J88" s="14">
        <f ca="1">tblVentes[[#This Row],[Chiffre_Affaires]]*(1-tblVentes[[#This Row],[Remise]])</f>
        <v>4397050.9044981617</v>
      </c>
    </row>
    <row r="89" spans="1:10" x14ac:dyDescent="0.45">
      <c r="A89" s="1">
        <f t="shared" ca="1" si="7"/>
        <v>46286</v>
      </c>
      <c r="B89" t="str">
        <f t="shared" si="8"/>
        <v>V0088</v>
      </c>
      <c r="C89" t="str" cm="1">
        <f t="array" aca="1" ref="C89" ca="1">INDEX({"Laptop";"Souris";"Clavier";"Écran";"Casque";"Tablette";"Imprimante";"Disque dur";"RAM";"Carte graphique"},RANDBETWEEN(1,10))</f>
        <v>Imprimante</v>
      </c>
      <c r="D89" t="str" cm="1">
        <f t="array" aca="1" ref="D89" ca="1">INDEX({"Informatique";"Accessoires";"Périphériques";"Stockage";"Audio"},RANDBETWEEN(1,5))</f>
        <v>Audio</v>
      </c>
      <c r="E89" t="str" cm="1">
        <f t="array" aca="1" ref="E89" ca="1">INDEX({"Awa Ndiaye";"Mamadou Diop";"Fatou Fall";"Cheikh Ba";"Mariama Sow";"Ousmane Ndiaye";"Sokhna Diallo";"Abdoulaye Gueye"},RANDBETWEEN(1,8))</f>
        <v>Fatou Fall</v>
      </c>
      <c r="F89">
        <f t="shared" ca="1" si="9"/>
        <v>8</v>
      </c>
      <c r="G89" s="11">
        <f t="shared" ca="1" si="10"/>
        <v>138351</v>
      </c>
      <c r="H89" s="11">
        <f ca="1">tblVentes[[#This Row],[Prix_Unitaire]]*tblVentes[[#This Row],[Quantité]]</f>
        <v>1106808</v>
      </c>
      <c r="I89">
        <f t="shared" ca="1" si="6"/>
        <v>9.8237516000628869E-2</v>
      </c>
      <c r="J89" s="14">
        <f ca="1">tblVentes[[#This Row],[Chiffre_Affaires]]*(1-tblVentes[[#This Row],[Remise]])</f>
        <v>998077.93139037595</v>
      </c>
    </row>
    <row r="90" spans="1:10" x14ac:dyDescent="0.45">
      <c r="A90" s="1">
        <f t="shared" ca="1" si="7"/>
        <v>46274</v>
      </c>
      <c r="B90" t="str">
        <f t="shared" si="8"/>
        <v>V0089</v>
      </c>
      <c r="C90" t="str" cm="1">
        <f t="array" aca="1" ref="C90" ca="1">INDEX({"Laptop";"Souris";"Clavier";"Écran";"Casque";"Tablette";"Imprimante";"Disque dur";"RAM";"Carte graphique"},RANDBETWEEN(1,10))</f>
        <v>Disque dur</v>
      </c>
      <c r="D90" t="str" cm="1">
        <f t="array" aca="1" ref="D90" ca="1">INDEX({"Informatique";"Accessoires";"Périphériques";"Stockage";"Audio"},RANDBETWEEN(1,5))</f>
        <v>Informatique</v>
      </c>
      <c r="E90" t="str" cm="1">
        <f t="array" aca="1" ref="E90" ca="1">INDEX({"Awa Ndiaye";"Mamadou Diop";"Fatou Fall";"Cheikh Ba";"Mariama Sow";"Ousmane Ndiaye";"Sokhna Diallo";"Abdoulaye Gueye"},RANDBETWEEN(1,8))</f>
        <v>Awa Ndiaye</v>
      </c>
      <c r="F90">
        <f t="shared" ca="1" si="9"/>
        <v>9</v>
      </c>
      <c r="G90" s="11">
        <f t="shared" ca="1" si="10"/>
        <v>211073</v>
      </c>
      <c r="H90" s="11">
        <f ca="1">tblVentes[[#This Row],[Prix_Unitaire]]*tblVentes[[#This Row],[Quantité]]</f>
        <v>1899657</v>
      </c>
      <c r="I90">
        <f t="shared" ca="1" si="6"/>
        <v>0.10953925936384408</v>
      </c>
      <c r="J90" s="14">
        <f ca="1">tblVentes[[#This Row],[Chiffre_Affaires]]*(1-tblVentes[[#This Row],[Remise]])</f>
        <v>1691569.979174658</v>
      </c>
    </row>
    <row r="91" spans="1:10" x14ac:dyDescent="0.45">
      <c r="A91" s="1">
        <f t="shared" ca="1" si="7"/>
        <v>46268</v>
      </c>
      <c r="B91" t="str">
        <f t="shared" si="8"/>
        <v>V0090</v>
      </c>
      <c r="C91" t="str" cm="1">
        <f t="array" aca="1" ref="C91" ca="1">INDEX({"Laptop";"Souris";"Clavier";"Écran";"Casque";"Tablette";"Imprimante";"Disque dur";"RAM";"Carte graphique"},RANDBETWEEN(1,10))</f>
        <v>Disque dur</v>
      </c>
      <c r="D91" t="str" cm="1">
        <f t="array" aca="1" ref="D91" ca="1">INDEX({"Informatique";"Accessoires";"Périphériques";"Stockage";"Audio"},RANDBETWEEN(1,5))</f>
        <v>Informatique</v>
      </c>
      <c r="E91" t="str" cm="1">
        <f t="array" aca="1" ref="E91" ca="1">INDEX({"Awa Ndiaye";"Mamadou Diop";"Fatou Fall";"Cheikh Ba";"Mariama Sow";"Ousmane Ndiaye";"Sokhna Diallo";"Abdoulaye Gueye"},RANDBETWEEN(1,8))</f>
        <v>Ousmane Ndiaye</v>
      </c>
      <c r="F91">
        <f t="shared" ca="1" si="9"/>
        <v>5</v>
      </c>
      <c r="G91" s="11">
        <f t="shared" ca="1" si="10"/>
        <v>385951</v>
      </c>
      <c r="H91" s="11">
        <f ca="1">tblVentes[[#This Row],[Prix_Unitaire]]*tblVentes[[#This Row],[Quantité]]</f>
        <v>1929755</v>
      </c>
      <c r="I91">
        <f t="shared" ca="1" si="6"/>
        <v>0.12035519092856659</v>
      </c>
      <c r="J91" s="14">
        <f ca="1">tblVentes[[#This Row],[Chiffre_Affaires]]*(1-tblVentes[[#This Row],[Remise]])</f>
        <v>1697498.968529644</v>
      </c>
    </row>
    <row r="92" spans="1:10" x14ac:dyDescent="0.45">
      <c r="A92" s="1">
        <f t="shared" ca="1" si="7"/>
        <v>46286</v>
      </c>
      <c r="B92" t="str">
        <f t="shared" si="8"/>
        <v>V0091</v>
      </c>
      <c r="C92" t="str" cm="1">
        <f t="array" aca="1" ref="C92" ca="1">INDEX({"Laptop";"Souris";"Clavier";"Écran";"Casque";"Tablette";"Imprimante";"Disque dur";"RAM";"Carte graphique"},RANDBETWEEN(1,10))</f>
        <v>Tablette</v>
      </c>
      <c r="D92" t="str" cm="1">
        <f t="array" aca="1" ref="D92" ca="1">INDEX({"Informatique";"Accessoires";"Périphériques";"Stockage";"Audio"},RANDBETWEEN(1,5))</f>
        <v>Accessoires</v>
      </c>
      <c r="E92" t="str" cm="1">
        <f t="array" aca="1" ref="E92" ca="1">INDEX({"Awa Ndiaye";"Mamadou Diop";"Fatou Fall";"Cheikh Ba";"Mariama Sow";"Ousmane Ndiaye";"Sokhna Diallo";"Abdoulaye Gueye"},RANDBETWEEN(1,8))</f>
        <v>Fatou Fall</v>
      </c>
      <c r="F92">
        <f t="shared" ca="1" si="9"/>
        <v>8</v>
      </c>
      <c r="G92" s="11">
        <f t="shared" ca="1" si="10"/>
        <v>221824</v>
      </c>
      <c r="H92" s="11">
        <f ca="1">tblVentes[[#This Row],[Prix_Unitaire]]*tblVentes[[#This Row],[Quantité]]</f>
        <v>1774592</v>
      </c>
      <c r="I92">
        <f t="shared" ca="1" si="6"/>
        <v>9.6538176768864004E-2</v>
      </c>
      <c r="J92" s="14">
        <f ca="1">tblVentes[[#This Row],[Chiffre_Affaires]]*(1-tblVentes[[#This Row],[Remise]])</f>
        <v>1603276.1238113882</v>
      </c>
    </row>
    <row r="93" spans="1:10" x14ac:dyDescent="0.45">
      <c r="A93" s="1">
        <f t="shared" ca="1" si="7"/>
        <v>46276</v>
      </c>
      <c r="B93" t="str">
        <f t="shared" si="8"/>
        <v>V0092</v>
      </c>
      <c r="C93" t="str" cm="1">
        <f t="array" aca="1" ref="C93" ca="1">INDEX({"Laptop";"Souris";"Clavier";"Écran";"Casque";"Tablette";"Imprimante";"Disque dur";"RAM";"Carte graphique"},RANDBETWEEN(1,10))</f>
        <v>Souris</v>
      </c>
      <c r="D93" t="str" cm="1">
        <f t="array" aca="1" ref="D93" ca="1">INDEX({"Informatique";"Accessoires";"Périphériques";"Stockage";"Audio"},RANDBETWEEN(1,5))</f>
        <v>Informatique</v>
      </c>
      <c r="E93" t="str" cm="1">
        <f t="array" aca="1" ref="E93" ca="1">INDEX({"Awa Ndiaye";"Mamadou Diop";"Fatou Fall";"Cheikh Ba";"Mariama Sow";"Ousmane Ndiaye";"Sokhna Diallo";"Abdoulaye Gueye"},RANDBETWEEN(1,8))</f>
        <v>Sokhna Diallo</v>
      </c>
      <c r="F93">
        <f t="shared" ca="1" si="9"/>
        <v>4</v>
      </c>
      <c r="G93" s="11">
        <f t="shared" ca="1" si="10"/>
        <v>233755</v>
      </c>
      <c r="H93" s="11">
        <f ca="1">tblVentes[[#This Row],[Prix_Unitaire]]*tblVentes[[#This Row],[Quantité]]</f>
        <v>935020</v>
      </c>
      <c r="I93">
        <f t="shared" ca="1" si="6"/>
        <v>0.13813297965752949</v>
      </c>
      <c r="J93" s="14">
        <f ca="1">tblVentes[[#This Row],[Chiffre_Affaires]]*(1-tblVentes[[#This Row],[Remise]])</f>
        <v>805862.90136061679</v>
      </c>
    </row>
    <row r="94" spans="1:10" x14ac:dyDescent="0.45">
      <c r="A94" s="1">
        <f t="shared" ca="1" si="7"/>
        <v>46271</v>
      </c>
      <c r="B94" t="str">
        <f t="shared" si="8"/>
        <v>V0093</v>
      </c>
      <c r="C94" t="str" cm="1">
        <f t="array" aca="1" ref="C94" ca="1">INDEX({"Laptop";"Souris";"Clavier";"Écran";"Casque";"Tablette";"Imprimante";"Disque dur";"RAM";"Carte graphique"},RANDBETWEEN(1,10))</f>
        <v>Casque</v>
      </c>
      <c r="D94" t="str" cm="1">
        <f t="array" aca="1" ref="D94" ca="1">INDEX({"Informatique";"Accessoires";"Périphériques";"Stockage";"Audio"},RANDBETWEEN(1,5))</f>
        <v>Accessoires</v>
      </c>
      <c r="E94" t="str" cm="1">
        <f t="array" aca="1" ref="E94" ca="1">INDEX({"Awa Ndiaye";"Mamadou Diop";"Fatou Fall";"Cheikh Ba";"Mariama Sow";"Ousmane Ndiaye";"Sokhna Diallo";"Abdoulaye Gueye"},RANDBETWEEN(1,8))</f>
        <v>Sokhna Diallo</v>
      </c>
      <c r="F94">
        <f t="shared" ca="1" si="9"/>
        <v>10</v>
      </c>
      <c r="G94" s="11">
        <f t="shared" ca="1" si="10"/>
        <v>104594</v>
      </c>
      <c r="H94" s="11">
        <f ca="1">tblVentes[[#This Row],[Prix_Unitaire]]*tblVentes[[#This Row],[Quantité]]</f>
        <v>1045940</v>
      </c>
      <c r="I94">
        <f t="shared" ca="1" si="6"/>
        <v>4.2309066118621556E-2</v>
      </c>
      <c r="J94" s="14">
        <f ca="1">tblVentes[[#This Row],[Chiffre_Affaires]]*(1-tblVentes[[#This Row],[Remise]])</f>
        <v>1001687.2553838891</v>
      </c>
    </row>
    <row r="95" spans="1:10" x14ac:dyDescent="0.45">
      <c r="A95" s="1">
        <f t="shared" ca="1" si="7"/>
        <v>46281</v>
      </c>
      <c r="B95" t="str">
        <f t="shared" si="8"/>
        <v>V0094</v>
      </c>
      <c r="C95" t="str" cm="1">
        <f t="array" aca="1" ref="C95" ca="1">INDEX({"Laptop";"Souris";"Clavier";"Écran";"Casque";"Tablette";"Imprimante";"Disque dur";"RAM";"Carte graphique"},RANDBETWEEN(1,10))</f>
        <v>Disque dur</v>
      </c>
      <c r="D95" t="str" cm="1">
        <f t="array" aca="1" ref="D95" ca="1">INDEX({"Informatique";"Accessoires";"Périphériques";"Stockage";"Audio"},RANDBETWEEN(1,5))</f>
        <v>Audio</v>
      </c>
      <c r="E95" t="str" cm="1">
        <f t="array" aca="1" ref="E95" ca="1">INDEX({"Awa Ndiaye";"Mamadou Diop";"Fatou Fall";"Cheikh Ba";"Mariama Sow";"Ousmane Ndiaye";"Sokhna Diallo";"Abdoulaye Gueye"},RANDBETWEEN(1,8))</f>
        <v>Ousmane Ndiaye</v>
      </c>
      <c r="F95">
        <f t="shared" ca="1" si="9"/>
        <v>3</v>
      </c>
      <c r="G95" s="11">
        <f t="shared" ca="1" si="10"/>
        <v>290642</v>
      </c>
      <c r="H95" s="11">
        <f ca="1">tblVentes[[#This Row],[Prix_Unitaire]]*tblVentes[[#This Row],[Quantité]]</f>
        <v>871926</v>
      </c>
      <c r="I95">
        <f t="shared" ca="1" si="6"/>
        <v>0.1205914749397427</v>
      </c>
      <c r="J95" s="14">
        <f ca="1">tblVentes[[#This Row],[Chiffre_Affaires]]*(1-tblVentes[[#This Row],[Remise]])</f>
        <v>766779.15762168984</v>
      </c>
    </row>
    <row r="96" spans="1:10" x14ac:dyDescent="0.45">
      <c r="A96" s="1">
        <f t="shared" ca="1" si="7"/>
        <v>46274</v>
      </c>
      <c r="B96" t="str">
        <f t="shared" si="8"/>
        <v>V0095</v>
      </c>
      <c r="C96" t="str" cm="1">
        <f t="array" aca="1" ref="C96" ca="1">INDEX({"Laptop";"Souris";"Clavier";"Écran";"Casque";"Tablette";"Imprimante";"Disque dur";"RAM";"Carte graphique"},RANDBETWEEN(1,10))</f>
        <v>Laptop</v>
      </c>
      <c r="D96" t="str" cm="1">
        <f t="array" aca="1" ref="D96" ca="1">INDEX({"Informatique";"Accessoires";"Périphériques";"Stockage";"Audio"},RANDBETWEEN(1,5))</f>
        <v>Accessoires</v>
      </c>
      <c r="E96" t="str" cm="1">
        <f t="array" aca="1" ref="E96" ca="1">INDEX({"Awa Ndiaye";"Mamadou Diop";"Fatou Fall";"Cheikh Ba";"Mariama Sow";"Ousmane Ndiaye";"Sokhna Diallo";"Abdoulaye Gueye"},RANDBETWEEN(1,8))</f>
        <v>Mariama Sow</v>
      </c>
      <c r="F96">
        <f t="shared" ca="1" si="9"/>
        <v>2</v>
      </c>
      <c r="G96" s="11">
        <f t="shared" ca="1" si="10"/>
        <v>332095</v>
      </c>
      <c r="H96" s="11">
        <f ca="1">tblVentes[[#This Row],[Prix_Unitaire]]*tblVentes[[#This Row],[Quantité]]</f>
        <v>664190</v>
      </c>
      <c r="I96">
        <f t="shared" ca="1" si="6"/>
        <v>1.2781680609976642E-2</v>
      </c>
      <c r="J96" s="14">
        <f ca="1">tblVentes[[#This Row],[Chiffre_Affaires]]*(1-tblVentes[[#This Row],[Remise]])</f>
        <v>655700.53555565956</v>
      </c>
    </row>
    <row r="97" spans="1:10" x14ac:dyDescent="0.45">
      <c r="A97" s="1">
        <f t="shared" ca="1" si="7"/>
        <v>46286</v>
      </c>
      <c r="B97" t="str">
        <f t="shared" si="8"/>
        <v>V0096</v>
      </c>
      <c r="C97" t="str" cm="1">
        <f t="array" aca="1" ref="C97" ca="1">INDEX({"Laptop";"Souris";"Clavier";"Écran";"Casque";"Tablette";"Imprimante";"Disque dur";"RAM";"Carte graphique"},RANDBETWEEN(1,10))</f>
        <v>Tablette</v>
      </c>
      <c r="D97" t="str" cm="1">
        <f t="array" aca="1" ref="D97" ca="1">INDEX({"Informatique";"Accessoires";"Périphériques";"Stockage";"Audio"},RANDBETWEEN(1,5))</f>
        <v>Stockage</v>
      </c>
      <c r="E97" t="str" cm="1">
        <f t="array" aca="1" ref="E97" ca="1">INDEX({"Awa Ndiaye";"Mamadou Diop";"Fatou Fall";"Cheikh Ba";"Mariama Sow";"Ousmane Ndiaye";"Sokhna Diallo";"Abdoulaye Gueye"},RANDBETWEEN(1,8))</f>
        <v>Awa Ndiaye</v>
      </c>
      <c r="F97">
        <f t="shared" ca="1" si="9"/>
        <v>2</v>
      </c>
      <c r="G97" s="11">
        <f t="shared" ca="1" si="10"/>
        <v>293910</v>
      </c>
      <c r="H97" s="11">
        <f ca="1">tblVentes[[#This Row],[Prix_Unitaire]]*tblVentes[[#This Row],[Quantité]]</f>
        <v>587820</v>
      </c>
      <c r="I97">
        <f t="shared" ca="1" si="6"/>
        <v>0.11397983310907175</v>
      </c>
      <c r="J97" s="14">
        <f ca="1">tblVentes[[#This Row],[Chiffre_Affaires]]*(1-tblVentes[[#This Row],[Remise]])</f>
        <v>520820.37450182543</v>
      </c>
    </row>
    <row r="98" spans="1:10" x14ac:dyDescent="0.45">
      <c r="A98" s="1">
        <f t="shared" ca="1" si="7"/>
        <v>46270</v>
      </c>
      <c r="B98" t="str">
        <f t="shared" si="8"/>
        <v>V0097</v>
      </c>
      <c r="C98" t="str" cm="1">
        <f t="array" aca="1" ref="C98" ca="1">INDEX({"Laptop";"Souris";"Clavier";"Écran";"Casque";"Tablette";"Imprimante";"Disque dur";"RAM";"Carte graphique"},RANDBETWEEN(1,10))</f>
        <v>Souris</v>
      </c>
      <c r="D98" t="str" cm="1">
        <f t="array" aca="1" ref="D98" ca="1">INDEX({"Informatique";"Accessoires";"Périphériques";"Stockage";"Audio"},RANDBETWEEN(1,5))</f>
        <v>Périphériques</v>
      </c>
      <c r="E98" t="str" cm="1">
        <f t="array" aca="1" ref="E98" ca="1">INDEX({"Awa Ndiaye";"Mamadou Diop";"Fatou Fall";"Cheikh Ba";"Mariama Sow";"Ousmane Ndiaye";"Sokhna Diallo";"Abdoulaye Gueye"},RANDBETWEEN(1,8))</f>
        <v>Mamadou Diop</v>
      </c>
      <c r="F98">
        <f t="shared" ca="1" si="9"/>
        <v>8</v>
      </c>
      <c r="G98" s="11">
        <f t="shared" ca="1" si="10"/>
        <v>310376</v>
      </c>
      <c r="H98" s="11">
        <f ca="1">tblVentes[[#This Row],[Prix_Unitaire]]*tblVentes[[#This Row],[Quantité]]</f>
        <v>2483008</v>
      </c>
      <c r="I98">
        <f t="shared" ca="1" si="6"/>
        <v>0.11729328713659115</v>
      </c>
      <c r="J98" s="14">
        <f ca="1">tblVentes[[#This Row],[Chiffre_Affaires]]*(1-tblVentes[[#This Row],[Remise]])</f>
        <v>2191767.829693547</v>
      </c>
    </row>
    <row r="99" spans="1:10" x14ac:dyDescent="0.45">
      <c r="A99" s="1">
        <f t="shared" ca="1" si="7"/>
        <v>46275</v>
      </c>
      <c r="B99" t="str">
        <f t="shared" si="8"/>
        <v>V0098</v>
      </c>
      <c r="C99" t="str" cm="1">
        <f t="array" aca="1" ref="C99" ca="1">INDEX({"Laptop";"Souris";"Clavier";"Écran";"Casque";"Tablette";"Imprimante";"Disque dur";"RAM";"Carte graphique"},RANDBETWEEN(1,10))</f>
        <v>Casque</v>
      </c>
      <c r="D99" t="str" cm="1">
        <f t="array" aca="1" ref="D99" ca="1">INDEX({"Informatique";"Accessoires";"Périphériques";"Stockage";"Audio"},RANDBETWEEN(1,5))</f>
        <v>Périphériques</v>
      </c>
      <c r="E99" t="str" cm="1">
        <f t="array" aca="1" ref="E99" ca="1">INDEX({"Awa Ndiaye";"Mamadou Diop";"Fatou Fall";"Cheikh Ba";"Mariama Sow";"Ousmane Ndiaye";"Sokhna Diallo";"Abdoulaye Gueye"},RANDBETWEEN(1,8))</f>
        <v>Fatou Fall</v>
      </c>
      <c r="F99">
        <f t="shared" ca="1" si="9"/>
        <v>2</v>
      </c>
      <c r="G99" s="11">
        <f t="shared" ca="1" si="10"/>
        <v>292143</v>
      </c>
      <c r="H99" s="11">
        <f ca="1">tblVentes[[#This Row],[Prix_Unitaire]]*tblVentes[[#This Row],[Quantité]]</f>
        <v>584286</v>
      </c>
      <c r="I99">
        <f t="shared" ca="1" si="6"/>
        <v>9.7530737180596169E-2</v>
      </c>
      <c r="J99" s="14">
        <f ca="1">tblVentes[[#This Row],[Chiffre_Affaires]]*(1-tblVentes[[#This Row],[Remise]])</f>
        <v>527300.15569569822</v>
      </c>
    </row>
    <row r="100" spans="1:10" x14ac:dyDescent="0.45">
      <c r="A100" s="1">
        <f t="shared" ca="1" si="7"/>
        <v>46291</v>
      </c>
      <c r="B100" t="str">
        <f t="shared" si="8"/>
        <v>V0099</v>
      </c>
      <c r="C100" t="str" cm="1">
        <f t="array" aca="1" ref="C100" ca="1">INDEX({"Laptop";"Souris";"Clavier";"Écran";"Casque";"Tablette";"Imprimante";"Disque dur";"RAM";"Carte graphique"},RANDBETWEEN(1,10))</f>
        <v>Tablette</v>
      </c>
      <c r="D100" t="str" cm="1">
        <f t="array" aca="1" ref="D100" ca="1">INDEX({"Informatique";"Accessoires";"Périphériques";"Stockage";"Audio"},RANDBETWEEN(1,5))</f>
        <v>Informatique</v>
      </c>
      <c r="E100" t="str" cm="1">
        <f t="array" aca="1" ref="E100" ca="1">INDEX({"Awa Ndiaye";"Mamadou Diop";"Fatou Fall";"Cheikh Ba";"Mariama Sow";"Ousmane Ndiaye";"Sokhna Diallo";"Abdoulaye Gueye"},RANDBETWEEN(1,8))</f>
        <v>Cheikh Ba</v>
      </c>
      <c r="F100">
        <f t="shared" ca="1" si="9"/>
        <v>1</v>
      </c>
      <c r="G100" s="11">
        <f t="shared" ca="1" si="10"/>
        <v>272516</v>
      </c>
      <c r="H100" s="11">
        <f ca="1">tblVentes[[#This Row],[Prix_Unitaire]]*tblVentes[[#This Row],[Quantité]]</f>
        <v>272516</v>
      </c>
      <c r="I100">
        <f t="shared" ca="1" si="6"/>
        <v>7.5610046908343678E-2</v>
      </c>
      <c r="J100" s="14">
        <f ca="1">tblVentes[[#This Row],[Chiffre_Affaires]]*(1-tblVentes[[#This Row],[Remise]])</f>
        <v>251911.0524567258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06DB-D4ED-4213-9867-ADA88883240B}">
  <dimension ref="A1:F9"/>
  <sheetViews>
    <sheetView workbookViewId="0">
      <selection activeCell="F8" sqref="F8"/>
    </sheetView>
  </sheetViews>
  <sheetFormatPr baseColWidth="10" defaultRowHeight="14.25" x14ac:dyDescent="0.45"/>
  <cols>
    <col min="1" max="1" width="21.73046875" bestFit="1" customWidth="1"/>
    <col min="3" max="3" width="11.19921875" customWidth="1"/>
    <col min="5" max="5" width="14.46484375" customWidth="1"/>
    <col min="6" max="6" width="17.19921875" bestFit="1" customWidth="1"/>
    <col min="7" max="7" width="13.53125" bestFit="1" customWidth="1"/>
  </cols>
  <sheetData>
    <row r="1" spans="1:6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12</v>
      </c>
    </row>
    <row r="2" spans="1:6" x14ac:dyDescent="0.45">
      <c r="A2" s="3">
        <v>46266</v>
      </c>
      <c r="B2" s="2" t="s">
        <v>5</v>
      </c>
      <c r="C2" s="2" t="s">
        <v>6</v>
      </c>
      <c r="D2" s="2">
        <v>2</v>
      </c>
      <c r="E2" s="2">
        <v>450000</v>
      </c>
      <c r="F2" s="2">
        <f>Ventes[[#This Row],[Quantité]]*Ventes[[#This Row],[Prix_Unitaire]]</f>
        <v>900000</v>
      </c>
    </row>
    <row r="3" spans="1:6" x14ac:dyDescent="0.45">
      <c r="A3" s="3">
        <v>46267</v>
      </c>
      <c r="B3" s="2" t="s">
        <v>7</v>
      </c>
      <c r="C3" s="2" t="s">
        <v>6</v>
      </c>
      <c r="D3" s="2">
        <v>5</v>
      </c>
      <c r="E3" s="2">
        <v>15000</v>
      </c>
      <c r="F3" s="2">
        <f>Ventes[[#This Row],[Quantité]]*Ventes[[#This Row],[Prix_Unitaire]]</f>
        <v>75000</v>
      </c>
    </row>
    <row r="4" spans="1:6" x14ac:dyDescent="0.45">
      <c r="A4" s="3">
        <v>46268</v>
      </c>
      <c r="B4" s="2" t="s">
        <v>8</v>
      </c>
      <c r="C4" s="2" t="s">
        <v>6</v>
      </c>
      <c r="D4" s="2">
        <v>3</v>
      </c>
      <c r="E4" s="2">
        <v>25000</v>
      </c>
      <c r="F4" s="2">
        <f>Ventes[[#This Row],[Quantité]]*Ventes[[#This Row],[Prix_Unitaire]]</f>
        <v>75000</v>
      </c>
    </row>
    <row r="5" spans="1:6" x14ac:dyDescent="0.45">
      <c r="A5" s="3">
        <v>46269</v>
      </c>
      <c r="B5" s="2" t="s">
        <v>9</v>
      </c>
      <c r="C5" s="2" t="s">
        <v>10</v>
      </c>
      <c r="D5" s="2">
        <v>4</v>
      </c>
      <c r="E5" s="2">
        <v>30000</v>
      </c>
      <c r="F5" s="2">
        <f>Ventes[[#This Row],[Quantité]]*Ventes[[#This Row],[Prix_Unitaire]]</f>
        <v>120000</v>
      </c>
    </row>
    <row r="6" spans="1:6" x14ac:dyDescent="0.45">
      <c r="A6" s="3">
        <v>46270</v>
      </c>
      <c r="B6" s="2" t="s">
        <v>11</v>
      </c>
      <c r="C6" s="2" t="s">
        <v>6</v>
      </c>
      <c r="D6" s="2">
        <v>2</v>
      </c>
      <c r="E6" s="2">
        <v>120000</v>
      </c>
      <c r="F6" s="2">
        <f>Ventes[[#This Row],[Quantité]]*Ventes[[#This Row],[Prix_Unitaire]]</f>
        <v>240000</v>
      </c>
    </row>
    <row r="7" spans="1:6" x14ac:dyDescent="0.45">
      <c r="A7" s="3">
        <v>46271</v>
      </c>
      <c r="B7" s="2" t="s">
        <v>14</v>
      </c>
      <c r="C7" s="2" t="s">
        <v>6</v>
      </c>
      <c r="D7" s="2">
        <v>3</v>
      </c>
      <c r="E7" s="2">
        <v>95000</v>
      </c>
      <c r="F7" s="2">
        <f>Ventes[[#This Row],[Quantité]]*Ventes[[#This Row],[Prix_Unitaire]]</f>
        <v>285000</v>
      </c>
    </row>
    <row r="8" spans="1:6" x14ac:dyDescent="0.45">
      <c r="A8" s="3">
        <v>46272</v>
      </c>
      <c r="B8" s="2" t="s">
        <v>14</v>
      </c>
      <c r="C8" s="2" t="s">
        <v>6</v>
      </c>
      <c r="D8" s="2">
        <v>3</v>
      </c>
      <c r="E8" s="2">
        <v>95000</v>
      </c>
      <c r="F8" s="2">
        <f>Ventes[[#This Row],[Quantité]]*Ventes[[#This Row],[Prix_Unitaire]]</f>
        <v>285000</v>
      </c>
    </row>
    <row r="9" spans="1:6" ht="15.4" x14ac:dyDescent="0.45">
      <c r="A9" s="5" t="s">
        <v>13</v>
      </c>
      <c r="B9" s="5">
        <f>SUM(F:F)</f>
        <v>1980000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TCD</vt:lpstr>
      <vt:lpstr>Ventes</vt:lpstr>
      <vt:lpstr>Pratique_Tableaux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2026-08-31T13:20:28Z</dcterms:created>
  <dcterms:modified xsi:type="dcterms:W3CDTF">2026-09-02T09:14:04Z</dcterms:modified>
</cp:coreProperties>
</file>