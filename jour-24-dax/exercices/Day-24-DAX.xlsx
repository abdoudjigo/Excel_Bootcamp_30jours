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4-dax\exercices\"/>
    </mc:Choice>
  </mc:AlternateContent>
  <xr:revisionPtr revIDLastSave="0" documentId="8_{C7974BB2-2734-4ECD-A019-1796A07FB425}" xr6:coauthVersionLast="47" xr6:coauthVersionMax="47" xr10:uidLastSave="{00000000-0000-0000-0000-000000000000}"/>
  <bookViews>
    <workbookView xWindow="-98" yWindow="-98" windowWidth="19396" windowHeight="10276" xr2:uid="{FF60360A-723B-48EF-ABD6-795C0AF3607D}"/>
  </bookViews>
  <sheets>
    <sheet name="Dashboard_DAX" sheetId="18" r:id="rId1"/>
    <sheet name="TCD_DAX_24J" sheetId="15" r:id="rId2"/>
    <sheet name="tVentes" sheetId="8" r:id="rId3"/>
    <sheet name="Ventes" sheetId="4" r:id="rId4"/>
    <sheet name="tProduits" sheetId="7" r:id="rId5"/>
    <sheet name="Produits" sheetId="2" r:id="rId6"/>
    <sheet name="tVendeurs" sheetId="6" r:id="rId7"/>
    <sheet name="Vendeurs" sheetId="3" r:id="rId8"/>
    <sheet name="tDate" sheetId="5" r:id="rId9"/>
    <sheet name="Dim_Date" sheetId="1" r:id="rId10"/>
    <sheet name="TCD" sheetId="11" r:id="rId11"/>
    <sheet name="Projet" sheetId="14" r:id="rId12"/>
  </sheets>
  <definedNames>
    <definedName name="_xlcn.WorksheetConnection_Day23PowerPivot.xlsxtDate1" hidden="1">tDate[]</definedName>
    <definedName name="_xlcn.WorksheetConnection_Day23PowerPivot.xlsxtVendeurs1" hidden="1">tVendeurs[]</definedName>
    <definedName name="DonnéesExternes_2" localSheetId="8" hidden="1">tDate!$A$1:$D$366</definedName>
    <definedName name="DonnéesExternes_2" localSheetId="4" hidden="1">tProduits!$A$1:$D$11</definedName>
    <definedName name="DonnéesExternes_2" localSheetId="6" hidden="1">tVendeurs!$A$1:$C$6</definedName>
    <definedName name="DonnéesExternes_2" localSheetId="2" hidden="1">tVentes!$A$1:$E$51</definedName>
    <definedName name="Segment_Mois">#N/A</definedName>
    <definedName name="Segment_Produit">#N/A</definedName>
    <definedName name="Segment_Région">#N/A</definedName>
  </definedNames>
  <calcPr calcId="191029"/>
  <pivotCaches>
    <pivotCache cacheId="312" r:id="rId13"/>
    <pivotCache cacheId="313" r:id="rId14"/>
    <pivotCache cacheId="314" r:id="rId15"/>
    <pivotCache cacheId="316" r:id="rId16"/>
    <pivotCache cacheId="317" r:id="rId17"/>
    <pivotCache cacheId="318" r:id="rId18"/>
    <pivotCache cacheId="319" r:id="rId19"/>
    <pivotCache cacheId="320" r:id="rId20"/>
    <pivotCache cacheId="321" r:id="rId21"/>
    <pivotCache cacheId="322" r:id="rId22"/>
    <pivotCache cacheId="323" r:id="rId23"/>
    <pivotCache cacheId="324" r:id="rId24"/>
    <pivotCache cacheId="325" r:id="rId25"/>
    <pivotCache cacheId="326" r:id="rId26"/>
    <pivotCache cacheId="327" r:id="rId27"/>
    <pivotCache cacheId="328" r:id="rId28"/>
    <pivotCache cacheId="360" r:id="rId29"/>
    <pivotCache cacheId="382" r:id="rId30"/>
  </pivotCaches>
  <extLst>
    <ext xmlns:x14="http://schemas.microsoft.com/office/spreadsheetml/2009/9/main" uri="{876F7934-8845-4945-9796-88D515C7AA90}">
      <x14:pivotCaches>
        <pivotCache cacheId="361" r:id="rId31"/>
      </x14:pivotCaches>
    </ext>
    <ext xmlns:x14="http://schemas.microsoft.com/office/spreadsheetml/2009/9/main" uri="{BBE1A952-AA13-448e-AADC-164F8A28A991}">
      <x14:slicerCaches>
        <x14:slicerCache r:id="rId32"/>
        <x14:slicerCache r:id="rId33"/>
        <x14:slicerCache r:id="rId3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Ventes_0f9e8b38-7a51-48c1-a1a2-068d4a6ec31b" name="tVentes" connection="Requête - tVentes"/>
          <x15:modelTable id="tProduits_07533b54-1867-49e5-8c3b-982469562782" name="tProduits" connection="Requête - tProduits"/>
          <x15:modelTable id="tVendeurs_6923b149-48f1-479f-8a75-b09079989853" name="tVendeurs" connection="Requête - tVendeurs"/>
          <x15:modelTable id="tDate_3e725a63-7ec7-43eb-ba6d-8ea7ada42411" name="tDate" connection="Requête - tDate"/>
          <x15:modelTable id="tVendeurs 1" name="tVendeurs 1" connection="WorksheetConnection_Day-23-PowerPivot.xlsx!tVendeurs"/>
          <x15:modelTable id="tDate 1" name="tDate 1" connection="WorksheetConnection_Day-23-PowerPivot.xlsx!tDate"/>
        </x15:modelTables>
        <x15:modelRelationships>
          <x15:modelRelationship fromTable="tVentes" fromColumn="Produit_ID" toTable="tProduits" toColumn="Produit_ID"/>
          <x15:modelRelationship fromTable="tVentes" fromColumn="Vendeur_ID" toTable="tVendeurs" toColumn="Vendeur_ID"/>
          <x15:modelRelationship fromTable="tVentes" fromColumn="Date" toTable="tDate" toColumn="Date"/>
          <x15:modelRelationship fromTable="tVentes" fromColumn="Vendeur_ID" toTable="tVendeurs 1" toColumn="Vendeu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2" i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26D62-EF71-4A0E-B17E-E254BD57A3E7}" keepAlive="1" name="ModelConnection_DonnéesExternes_2" description="Modèle de données" type="5" refreshedVersion="8" minRefreshableVersion="5" saveData="1">
    <dbPr connection="Data Model Connection" command="tVent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E495B4D-62CA-4D7C-A463-F3E14FB85CD6}" keepAlive="1" name="ModelConnection_DonnéesExternes_21" description="Modèle de données" type="5" refreshedVersion="8" minRefreshableVersion="5" saveData="1">
    <dbPr connection="Data Model Connection" command="tProdui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78102A7-D0F2-43C6-8B6C-0F274A0D709A}" keepAlive="1" name="ModelConnection_DonnéesExternes_22" description="Modèle de données" type="5" refreshedVersion="8" minRefreshableVersion="5" saveData="1">
    <dbPr connection="Data Model Connection" command="tVendeu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2BBE2A28-2AEB-41F6-BDE8-A5A6B86BFE3C}" keepAlive="1" name="ModelConnection_DonnéesExternes_23" description="Modèle de données" type="5" refreshedVersion="8" minRefreshableVersion="5" saveData="1">
    <dbPr connection="Data Model Connection" command="tDate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D76EC7A-EFF2-4CD5-AA83-251383F38ECC}" name="Requête - tDate" description="Connexion à la requête « tDate » dans le classeur." type="100" refreshedVersion="8" minRefreshableVersion="5">
    <extLst>
      <ext xmlns:x15="http://schemas.microsoft.com/office/spreadsheetml/2010/11/main" uri="{DE250136-89BD-433C-8126-D09CA5730AF9}">
        <x15:connection id="0ea4801e-defe-4f70-9495-175ff76372ff"/>
      </ext>
    </extLst>
  </connection>
  <connection id="6" xr16:uid="{966C0525-22FE-492F-93BB-D2EE6A5E374D}" name="Requête - tProduits" description="Connexion à la requête « tProduits » dans le classeur." type="100" refreshedVersion="8" minRefreshableVersion="5">
    <extLst>
      <ext xmlns:x15="http://schemas.microsoft.com/office/spreadsheetml/2010/11/main" uri="{DE250136-89BD-433C-8126-D09CA5730AF9}">
        <x15:connection id="f0f2bccb-08fa-4cdc-9e29-aab016a6ef3e"/>
      </ext>
    </extLst>
  </connection>
  <connection id="7" xr16:uid="{82D657CA-466A-4580-B993-B99E58BEB615}" name="Requête - tVendeurs" description="Connexion à la requête « tVendeurs » dans le classeur." type="100" refreshedVersion="8" minRefreshableVersion="5">
    <extLst>
      <ext xmlns:x15="http://schemas.microsoft.com/office/spreadsheetml/2010/11/main" uri="{DE250136-89BD-433C-8126-D09CA5730AF9}">
        <x15:connection id="2f473011-e42c-4099-b7c6-c19de991be8e"/>
      </ext>
    </extLst>
  </connection>
  <connection id="8" xr16:uid="{94898051-38D3-40C2-B45E-0B719F620BB8}" name="Requête - tVentes" description="Connexion à la requête « tVentes » dans le classeur." type="100" refreshedVersion="8" minRefreshableVersion="5">
    <extLst>
      <ext xmlns:x15="http://schemas.microsoft.com/office/spreadsheetml/2010/11/main" uri="{DE250136-89BD-433C-8126-D09CA5730AF9}">
        <x15:connection id="cffef683-c184-47a7-894a-73892892c464"/>
      </ext>
    </extLst>
  </connection>
  <connection id="9" xr16:uid="{C497AF94-8C69-46B4-A03B-607AE53F7537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8CEF1572-E37C-413B-A6D8-52B68A3CA4EF}" name="WorksheetConnection_Day-23-PowerPivot.xlsx!tDate" type="102" refreshedVersion="8" minRefreshableVersion="5">
    <extLst>
      <ext xmlns:x15="http://schemas.microsoft.com/office/spreadsheetml/2010/11/main" uri="{DE250136-89BD-433C-8126-D09CA5730AF9}">
        <x15:connection id="tDate 1">
          <x15:rangePr sourceName="_xlcn.WorksheetConnection_Day23PowerPivot.xlsxtDate1"/>
        </x15:connection>
      </ext>
    </extLst>
  </connection>
  <connection id="11" xr16:uid="{4BE5B031-09B5-4145-AC12-9D5F0B1FAD10}" name="WorksheetConnection_Day-23-PowerPivot.xlsx!tVendeurs" type="102" refreshedVersion="8" minRefreshableVersion="5">
    <extLst>
      <ext xmlns:x15="http://schemas.microsoft.com/office/spreadsheetml/2010/11/main" uri="{DE250136-89BD-433C-8126-D09CA5730AF9}">
        <x15:connection id="tVendeurs 1">
          <x15:rangePr sourceName="_xlcn.WorksheetConnection_Day23PowerPivot.xlsxtVendeurs1"/>
        </x15:connection>
      </ext>
    </extLst>
  </connection>
</connections>
</file>

<file path=xl/sharedStrings.xml><?xml version="1.0" encoding="utf-8"?>
<sst xmlns="http://schemas.openxmlformats.org/spreadsheetml/2006/main" count="558" uniqueCount="132">
  <si>
    <t>Vente_ID</t>
  </si>
  <si>
    <t>Date</t>
  </si>
  <si>
    <t>Produit_ID</t>
  </si>
  <si>
    <t>Vendeur_ID</t>
  </si>
  <si>
    <t>Quantité</t>
  </si>
  <si>
    <t>V001</t>
  </si>
  <si>
    <t>P001</t>
  </si>
  <si>
    <t>V01</t>
  </si>
  <si>
    <t>V002</t>
  </si>
  <si>
    <t>P002</t>
  </si>
  <si>
    <t>V02</t>
  </si>
  <si>
    <t>V003</t>
  </si>
  <si>
    <t>P003</t>
  </si>
  <si>
    <t>V004</t>
  </si>
  <si>
    <t>P004</t>
  </si>
  <si>
    <t>V03</t>
  </si>
  <si>
    <t>V005</t>
  </si>
  <si>
    <t>P005</t>
  </si>
  <si>
    <t>V006</t>
  </si>
  <si>
    <t>P006</t>
  </si>
  <si>
    <t>V04</t>
  </si>
  <si>
    <t>V007</t>
  </si>
  <si>
    <t>P007</t>
  </si>
  <si>
    <t>V008</t>
  </si>
  <si>
    <t>P008</t>
  </si>
  <si>
    <t>V05</t>
  </si>
  <si>
    <t>V009</t>
  </si>
  <si>
    <t>P009</t>
  </si>
  <si>
    <t>V010</t>
  </si>
  <si>
    <t>P010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</si>
  <si>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</si>
  <si>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</si>
  <si>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</si>
  <si>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</si>
  <si>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</si>
  <si>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</si>
  <si>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</si>
  <si>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</si>
  <si>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</si>
  <si>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</si>
  <si>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</si>
  <si>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</si>
  <si>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</si>
  <si>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</si>
  <si>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</si>
  <si>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</si>
  <si>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</si>
  <si>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</si>
  <si>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</si>
  <si>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</si>
  <si>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</si>
  <si>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</si>
  <si>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</si>
  <si>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</si>
  <si>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</si>
  <si>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</si>
  <si>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</si>
  <si>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</si>
  <si>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</si>
  <si>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</si>
  <si>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</si>
  <si>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</si>
  <si>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</si>
  <si>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</si>
  <si>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</si>
  <si>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</si>
  <si>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</si>
  <si>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</si>
  <si>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</si>
  <si>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</si>
  <si>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Produit</t>
  </si>
  <si>
    <t>Catégorie</t>
  </si>
  <si>
    <t>Prix</t>
  </si>
  <si>
    <t>Laptop HP</t>
  </si>
  <si>
    <t>Informatique</t>
  </si>
  <si>
    <t>Souris Logitech</t>
  </si>
  <si>
    <t>Accessoires</t>
  </si>
  <si>
    <t>Écran 24"</t>
  </si>
  <si>
    <t>Clavier mécanique</t>
  </si>
  <si>
    <t>Casque Audio</t>
  </si>
  <si>
    <t>Audio</t>
  </si>
  <si>
    <t>Tablette Samsung</t>
  </si>
  <si>
    <t>Disque SSD 1To</t>
  </si>
  <si>
    <t>Stockage</t>
  </si>
  <si>
    <t>RAM 16Go</t>
  </si>
  <si>
    <t>Carte graphique</t>
  </si>
  <si>
    <t>Webcam HD</t>
  </si>
  <si>
    <t>Périphérique</t>
  </si>
  <si>
    <t>Vendeur</t>
  </si>
  <si>
    <t>Région</t>
  </si>
  <si>
    <t>Awa Ndiaye</t>
  </si>
  <si>
    <t>Dakar</t>
  </si>
  <si>
    <t>Mamadou Diop</t>
  </si>
  <si>
    <t>Thiès</t>
  </si>
  <si>
    <t>Fatou Fall</t>
  </si>
  <si>
    <t>Saint-Louis</t>
  </si>
  <si>
    <t>Cheikh Ba</t>
  </si>
  <si>
    <t>Mariama Sow</t>
  </si>
  <si>
    <t>Kaolack</t>
  </si>
  <si>
    <t>Année</t>
  </si>
  <si>
    <t>Mois</t>
  </si>
  <si>
    <t>Trimestre</t>
  </si>
  <si>
    <t>Étiquettes de lignes</t>
  </si>
  <si>
    <t>Total général</t>
  </si>
  <si>
    <t> Analyse 1 — CA par Catégorie</t>
  </si>
  <si>
    <t>CA_Mesure</t>
  </si>
  <si>
    <t>Analyse 2 : CA par Région</t>
  </si>
  <si>
    <t>Region</t>
  </si>
  <si>
    <t>📊 ANALYSE 3 — CA par Catégorie ET Région (analyse multidimensionnelle)</t>
  </si>
  <si>
    <t>Categorie</t>
  </si>
  <si>
    <t>ANALYSE 4 — CA par Mois (avec la dimension Temps)</t>
  </si>
  <si>
    <t>📊 ANALYSE 5 — CA par Trimestre</t>
  </si>
  <si>
    <t>📊 ANALYSE 6 — CA par Catégorie ET Mois</t>
  </si>
  <si>
    <t>🏆 MINI-PROJET — Modèle analytique commercial</t>
  </si>
  <si>
    <t>Somme de Quantité</t>
  </si>
  <si>
    <t>Top Produit</t>
  </si>
  <si>
    <t>📊 Analyse 1 — KPI globaux</t>
  </si>
  <si>
    <t>CA Total</t>
  </si>
  <si>
    <t>Quantité Totale</t>
  </si>
  <si>
    <t>Nombre de Ventes</t>
  </si>
  <si>
    <t>CA Moyen</t>
  </si>
  <si>
    <t>📊 Analyse 2 — CA par Région</t>
  </si>
  <si>
    <t>CA Dakar</t>
  </si>
  <si>
    <t>📊 Analyse 3 — CA par Catégorie</t>
  </si>
  <si>
    <t>CA Grosses Ventes</t>
  </si>
  <si>
    <t>📊 Analyse 4 — Test du contexte</t>
  </si>
  <si>
    <t>📊 SALES ANALYTICS DASHBOARD</t>
  </si>
  <si>
    <t> Performance globale (KPI)</t>
  </si>
  <si>
    <t>CA par Région</t>
  </si>
  <si>
    <t xml:space="preserve"> CA par Catégorie</t>
  </si>
  <si>
    <t>CA par Vendeur</t>
  </si>
  <si>
    <t>CA par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</si>
</sst>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0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1"/>
      <color theme="1"/>
      <name val="Times New Roman"/>
      <family val="1"/>
    </font>
    <font>
      <sz val="16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vertical="top"/>
    </xf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/>
    <xf numFmtId="0" fontId="1" fillId="0" borderId="0" xfId="0" applyFont="1"/>
    <xf numFmtId="0" fontId="2" fillId="0" borderId="0" xfId="0" applyNumberFormat="1" applyFont="1"/>
    <xf numFmtId="0" fontId="1" fillId="0" borderId="0" xfId="0" applyNumberFormat="1" applyFont="1"/>
    <xf numFmtId="0" fontId="0" fillId="5" borderId="0" xfId="0" applyFill="1"/>
    <xf numFmtId="0" fontId="1" fillId="5" borderId="0" xfId="0" applyFont="1" applyFill="1"/>
    <xf numFmtId="0" fontId="5" fillId="4" borderId="0" xfId="0" applyFont="1" applyFill="1" applyAlignment="1">
      <alignment horizontal="center" vertical="center"/>
    </xf>
    <xf numFmtId="0" fontId="0" fillId="5" borderId="0" xfId="0" applyNumberFormat="1" applyFill="1"/>
    <xf numFmtId="0" fontId="0" fillId="5" borderId="0" xfId="0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NumberFormat="1" applyFont="1" applyFill="1"/>
    <xf numFmtId="0" fontId="1" fillId="5" borderId="0" xfId="0" applyFont="1" applyFill="1" applyAlignment="1">
      <alignment horizontal="left"/>
    </xf>
    <xf numFmtId="0" fontId="1" fillId="5" borderId="0" xfId="0" applyNumberFormat="1" applyFont="1" applyFill="1"/>
    <xf numFmtId="0" fontId="7" fillId="7" borderId="0" xfId="0" applyFont="1" applyFill="1" applyAlignment="1">
      <alignment horizontal="center" vertical="center"/>
    </xf>
    <xf numFmtId="0" fontId="9" fillId="7" borderId="0" xfId="0" applyFont="1" applyFill="1"/>
    <xf numFmtId="0" fontId="6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3" fillId="7" borderId="0" xfId="0" applyNumberFormat="1" applyFont="1" applyFill="1"/>
    <xf numFmtId="0" fontId="8" fillId="0" borderId="0" xfId="0" applyFont="1"/>
  </cellXfs>
  <cellStyles count="1">
    <cellStyle name="Normal" xfId="0" builtinId="0"/>
  </cellStyles>
  <dxfs count="118"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/>
      </font>
    </dxf>
    <dxf>
      <font>
        <color theme="0"/>
      </font>
    </dxf>
    <dxf>
      <fill>
        <patternFill>
          <bgColor theme="1"/>
        </patternFill>
      </fill>
    </dxf>
    <dxf>
      <font>
        <sz val="12"/>
      </font>
    </dxf>
    <dxf>
      <fill>
        <patternFill patternType="solid">
          <bgColor theme="5" tint="0.79998168889431442"/>
        </patternFill>
      </fill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27" formatCode="dd/mm/yyyy\ hh:mm"/>
    </dxf>
    <dxf>
      <alignment horizontal="center"/>
    </dxf>
    <dxf>
      <fill>
        <patternFill patternType="solid">
          <bgColor theme="5" tint="0.79998168889431442"/>
        </patternFill>
      </fill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sz val="14"/>
      </font>
    </dxf>
    <dxf>
      <font>
        <name val="Times New Roman"/>
        <family val="1"/>
        <scheme val="none"/>
      </font>
    </dxf>
    <dxf>
      <font>
        <sz val="14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4.xml"/><Relationship Id="rId21" Type="http://schemas.openxmlformats.org/officeDocument/2006/relationships/pivotCacheDefinition" Target="pivotCache/pivotCacheDefinition9.xml"/><Relationship Id="rId42" Type="http://schemas.openxmlformats.org/officeDocument/2006/relationships/customXml" Target="../customXml/item2.xml"/><Relationship Id="rId47" Type="http://schemas.openxmlformats.org/officeDocument/2006/relationships/customXml" Target="../customXml/item7.xml"/><Relationship Id="rId63" Type="http://schemas.openxmlformats.org/officeDocument/2006/relationships/customXml" Target="../customXml/item23.xml"/><Relationship Id="rId68" Type="http://schemas.openxmlformats.org/officeDocument/2006/relationships/customXml" Target="../customXml/item28.xml"/><Relationship Id="rId16" Type="http://schemas.openxmlformats.org/officeDocument/2006/relationships/pivotCacheDefinition" Target="pivotCache/pivotCacheDefinition4.xml"/><Relationship Id="rId11" Type="http://schemas.openxmlformats.org/officeDocument/2006/relationships/worksheet" Target="worksheets/sheet11.xml"/><Relationship Id="rId32" Type="http://schemas.microsoft.com/office/2007/relationships/slicerCache" Target="slicerCaches/slicerCache1.xml"/><Relationship Id="rId37" Type="http://schemas.openxmlformats.org/officeDocument/2006/relationships/styles" Target="styles.xml"/><Relationship Id="rId53" Type="http://schemas.openxmlformats.org/officeDocument/2006/relationships/customXml" Target="../customXml/item13.xml"/><Relationship Id="rId58" Type="http://schemas.openxmlformats.org/officeDocument/2006/relationships/customXml" Target="../customXml/item18.xml"/><Relationship Id="rId74" Type="http://schemas.openxmlformats.org/officeDocument/2006/relationships/customXml" Target="../customXml/item34.xml"/><Relationship Id="rId79" Type="http://schemas.openxmlformats.org/officeDocument/2006/relationships/customXml" Target="../customXml/item39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1.xml"/><Relationship Id="rId82" Type="http://schemas.openxmlformats.org/officeDocument/2006/relationships/customXml" Target="../customXml/item42.xml"/><Relationship Id="rId1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pivotCacheDefinition" Target="pivotCache/pivotCacheDefinition15.xml"/><Relationship Id="rId30" Type="http://schemas.openxmlformats.org/officeDocument/2006/relationships/pivotCacheDefinition" Target="pivotCache/pivotCacheDefinition18.xml"/><Relationship Id="rId35" Type="http://schemas.openxmlformats.org/officeDocument/2006/relationships/theme" Target="theme/theme1.xml"/><Relationship Id="rId43" Type="http://schemas.openxmlformats.org/officeDocument/2006/relationships/customXml" Target="../customXml/item3.xml"/><Relationship Id="rId48" Type="http://schemas.openxmlformats.org/officeDocument/2006/relationships/customXml" Target="../customXml/item8.xml"/><Relationship Id="rId56" Type="http://schemas.openxmlformats.org/officeDocument/2006/relationships/customXml" Target="../customXml/item16.xml"/><Relationship Id="rId64" Type="http://schemas.openxmlformats.org/officeDocument/2006/relationships/customXml" Target="../customXml/item24.xml"/><Relationship Id="rId69" Type="http://schemas.openxmlformats.org/officeDocument/2006/relationships/customXml" Target="../customXml/item29.xml"/><Relationship Id="rId77" Type="http://schemas.openxmlformats.org/officeDocument/2006/relationships/customXml" Target="../customXml/item3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1.xml"/><Relationship Id="rId72" Type="http://schemas.openxmlformats.org/officeDocument/2006/relationships/customXml" Target="../customXml/item32.xml"/><Relationship Id="rId80" Type="http://schemas.openxmlformats.org/officeDocument/2006/relationships/customXml" Target="../customXml/item4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13.xml"/><Relationship Id="rId33" Type="http://schemas.microsoft.com/office/2007/relationships/slicerCache" Target="slicerCaches/slicerCache2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6.xml"/><Relationship Id="rId59" Type="http://schemas.openxmlformats.org/officeDocument/2006/relationships/customXml" Target="../customXml/item19.xml"/><Relationship Id="rId67" Type="http://schemas.openxmlformats.org/officeDocument/2006/relationships/customXml" Target="../customXml/item27.xml"/><Relationship Id="rId20" Type="http://schemas.openxmlformats.org/officeDocument/2006/relationships/pivotCacheDefinition" Target="pivotCache/pivotCacheDefinition8.xml"/><Relationship Id="rId41" Type="http://schemas.openxmlformats.org/officeDocument/2006/relationships/customXml" Target="../customXml/item1.xml"/><Relationship Id="rId54" Type="http://schemas.openxmlformats.org/officeDocument/2006/relationships/customXml" Target="../customXml/item14.xml"/><Relationship Id="rId62" Type="http://schemas.openxmlformats.org/officeDocument/2006/relationships/customXml" Target="../customXml/item22.xml"/><Relationship Id="rId70" Type="http://schemas.openxmlformats.org/officeDocument/2006/relationships/customXml" Target="../customXml/item30.xml"/><Relationship Id="rId75" Type="http://schemas.openxmlformats.org/officeDocument/2006/relationships/customXml" Target="../customXml/item35.xml"/><Relationship Id="rId83" Type="http://schemas.openxmlformats.org/officeDocument/2006/relationships/customXml" Target="../customXml/item4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pivotCacheDefinition" Target="pivotCache/pivotCacheDefinition16.xml"/><Relationship Id="rId36" Type="http://schemas.openxmlformats.org/officeDocument/2006/relationships/connections" Target="connections.xml"/><Relationship Id="rId49" Type="http://schemas.openxmlformats.org/officeDocument/2006/relationships/customXml" Target="../customXml/item9.xml"/><Relationship Id="rId57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9.xml"/><Relationship Id="rId44" Type="http://schemas.openxmlformats.org/officeDocument/2006/relationships/customXml" Target="../customXml/item4.xml"/><Relationship Id="rId52" Type="http://schemas.openxmlformats.org/officeDocument/2006/relationships/customXml" Target="../customXml/item12.xml"/><Relationship Id="rId60" Type="http://schemas.openxmlformats.org/officeDocument/2006/relationships/customXml" Target="../customXml/item20.xml"/><Relationship Id="rId65" Type="http://schemas.openxmlformats.org/officeDocument/2006/relationships/customXml" Target="../customXml/item25.xml"/><Relationship Id="rId73" Type="http://schemas.openxmlformats.org/officeDocument/2006/relationships/customXml" Target="../customXml/item33.xml"/><Relationship Id="rId78" Type="http://schemas.openxmlformats.org/officeDocument/2006/relationships/customXml" Target="../customXml/item38.xml"/><Relationship Id="rId81" Type="http://schemas.openxmlformats.org/officeDocument/2006/relationships/customXml" Target="../customXml/item4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9" Type="http://schemas.openxmlformats.org/officeDocument/2006/relationships/powerPivotData" Target="model/item.data"/><Relationship Id="rId34" Type="http://schemas.microsoft.com/office/2007/relationships/slicerCache" Target="slicerCaches/slicerCache3.xml"/><Relationship Id="rId50" Type="http://schemas.openxmlformats.org/officeDocument/2006/relationships/customXml" Target="../customXml/item10.xml"/><Relationship Id="rId55" Type="http://schemas.openxmlformats.org/officeDocument/2006/relationships/customXml" Target="../customXml/item15.xml"/><Relationship Id="rId76" Type="http://schemas.openxmlformats.org/officeDocument/2006/relationships/customXml" Target="../customXml/item36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1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7.xml"/><Relationship Id="rId24" Type="http://schemas.openxmlformats.org/officeDocument/2006/relationships/pivotCacheDefinition" Target="pivotCache/pivotCacheDefinition12.xml"/><Relationship Id="rId40" Type="http://schemas.openxmlformats.org/officeDocument/2006/relationships/calcChain" Target="calcChain.xml"/><Relationship Id="rId45" Type="http://schemas.openxmlformats.org/officeDocument/2006/relationships/customXml" Target="../customXml/item5.xml"/><Relationship Id="rId66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[Day-24-DAX.xlsx]TCD!Tableau croisé dynamique3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TCD!$A$4:$A$9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TCD!$B$4:$B$9</c:f>
              <c:numCache>
                <c:formatCode>General</c:formatCode>
                <c:ptCount val="5"/>
                <c:pt idx="0">
                  <c:v>475000</c:v>
                </c:pt>
                <c:pt idx="1">
                  <c:v>330000</c:v>
                </c:pt>
                <c:pt idx="2">
                  <c:v>11940000</c:v>
                </c:pt>
                <c:pt idx="3">
                  <c:v>560000</c:v>
                </c:pt>
                <c:pt idx="4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8-4773-975B-37DD92F00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4208095"/>
        <c:axId val="1696312031"/>
      </c:barChart>
      <c:catAx>
        <c:axId val="14442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6312031"/>
        <c:crosses val="autoZero"/>
        <c:auto val="1"/>
        <c:lblAlgn val="ctr"/>
        <c:lblOffset val="100"/>
        <c:noMultiLvlLbl val="0"/>
      </c:catAx>
      <c:valAx>
        <c:axId val="169631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20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[Day-24-DAX.xlsx]TCD!Tableau croisé dynamique4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TCD!$F$3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TCD!$E$4:$E$8</c:f>
              <c:strCache>
                <c:ptCount val="4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</c:strCache>
            </c:strRef>
          </c:cat>
          <c:val>
            <c:numRef>
              <c:f>TCD!$F$4:$F$8</c:f>
              <c:numCache>
                <c:formatCode>General</c:formatCode>
                <c:ptCount val="4"/>
                <c:pt idx="0">
                  <c:v>7515000</c:v>
                </c:pt>
                <c:pt idx="1">
                  <c:v>2460000</c:v>
                </c:pt>
                <c:pt idx="2">
                  <c:v>1290000</c:v>
                </c:pt>
                <c:pt idx="3">
                  <c:v>2890000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1-45ED-A8D8-BB02B45E6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4236399"/>
        <c:axId val="1696316831"/>
        <c:axId val="0"/>
      </c:bar3DChart>
      <c:catAx>
        <c:axId val="144423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6316831"/>
        <c:crosses val="autoZero"/>
        <c:auto val="1"/>
        <c:lblAlgn val="ctr"/>
        <c:lblOffset val="100"/>
        <c:noMultiLvlLbl val="0"/>
      </c:catAx>
      <c:valAx>
        <c:axId val="169631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23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[Day-24-DAX.xlsx]TCD!Tableau croisé dynamique7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1291160360578302"/>
              <c:y val="9.34708106114262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B70C95-1ED7-47AE-AB8D-1903EAF5F7D1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[VALEUR]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0932255072575171"/>
              <c:y val="-7.147767870285552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FE548B6-FB47-40C9-AC70-39F4D2B34503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[VALEUR]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TCD!$B$26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373-4834-BD11-DF39D1032FAE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373-4834-BD11-DF39D1032FAE}"/>
              </c:ext>
            </c:extLst>
          </c:dPt>
          <c:dLbls>
            <c:dLbl>
              <c:idx val="0"/>
              <c:layout>
                <c:manualLayout>
                  <c:x val="-0.10932255072575171"/>
                  <c:y val="-7.1477678702855527E-2"/>
                </c:manualLayout>
              </c:layout>
              <c:tx>
                <c:rich>
                  <a:bodyPr/>
                  <a:lstStyle/>
                  <a:p>
                    <a:fld id="{6FE548B6-FB47-40C9-AC70-39F4D2B34503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373-4834-BD11-DF39D1032FAE}"/>
                </c:ext>
              </c:extLst>
            </c:dLbl>
            <c:dLbl>
              <c:idx val="1"/>
              <c:layout>
                <c:manualLayout>
                  <c:x val="-0.11291160360578302"/>
                  <c:y val="9.3470810611426286E-2"/>
                </c:manualLayout>
              </c:layout>
              <c:tx>
                <c:rich>
                  <a:bodyPr/>
                  <a:lstStyle/>
                  <a:p>
                    <a:fld id="{38B70C95-1ED7-47AE-AB8D-1903EAF5F7D1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373-4834-BD11-DF39D1032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TCD!$A$27:$A$29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TCD!$B$27:$B$29</c:f>
              <c:numCache>
                <c:formatCode>General</c:formatCode>
                <c:ptCount val="2"/>
                <c:pt idx="0">
                  <c:v>8450000</c:v>
                </c:pt>
                <c:pt idx="1">
                  <c:v>5705000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3-4834-BD11-DF39D1032F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4202063"/>
        <c:axId val="1696319231"/>
      </c:lineChart>
      <c:catAx>
        <c:axId val="144420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6319231"/>
        <c:crosses val="autoZero"/>
        <c:auto val="1"/>
        <c:lblAlgn val="ctr"/>
        <c:lblOffset val="100"/>
        <c:noMultiLvlLbl val="0"/>
      </c:catAx>
      <c:valAx>
        <c:axId val="16963192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4420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[Day-24-DAX.xlsx]TCD!Tableau croisé dynamique5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Categorie</a:t>
            </a:r>
            <a:r>
              <a:rPr lang="fr-FR" baseline="0"/>
              <a:t> x region</a:t>
            </a:r>
          </a:p>
        </c:rich>
      </c:tx>
      <c:layout>
        <c:manualLayout>
          <c:xMode val="edge"/>
          <c:yMode val="edge"/>
          <c:x val="0.3481591823501223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TCD!$B$14:$B$15</c:f>
              <c:strCache>
                <c:ptCount val="1"/>
                <c:pt idx="0">
                  <c:v>Dakar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TCD!$A$16:$A$21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TCD!$B$16:$B$21</c:f>
              <c:numCache>
                <c:formatCode>General</c:formatCode>
                <c:ptCount val="5"/>
                <c:pt idx="0">
                  <c:v>175000</c:v>
                </c:pt>
                <c:pt idx="1">
                  <c:v>270000</c:v>
                </c:pt>
                <c:pt idx="2">
                  <c:v>6705000</c:v>
                </c:pt>
                <c:pt idx="3">
                  <c:v>280000</c:v>
                </c:pt>
                <c:pt idx="4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0-4765-A14B-043A72C28F06}"/>
            </c:ext>
          </c:extLst>
        </c:ser>
        <c:ser>
          <c:idx val="1"/>
          <c:order val="1"/>
          <c:tx>
            <c:strRef>
              <c:f>TCD!$C$14:$C$15</c:f>
              <c:strCache>
                <c:ptCount val="1"/>
                <c:pt idx="0">
                  <c:v>Kaolack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TCD!$A$16:$A$21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TCD!$C$16:$C$21</c:f>
              <c:numCache>
                <c:formatCode>General</c:formatCode>
                <c:ptCount val="5"/>
                <c:pt idx="0">
                  <c:v>45000</c:v>
                </c:pt>
                <c:pt idx="2">
                  <c:v>1820000</c:v>
                </c:pt>
                <c:pt idx="4">
                  <c:v>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0-4765-A14B-043A72C28F06}"/>
            </c:ext>
          </c:extLst>
        </c:ser>
        <c:ser>
          <c:idx val="2"/>
          <c:order val="2"/>
          <c:tx>
            <c:strRef>
              <c:f>TCD!$D$14:$D$15</c:f>
              <c:strCache>
                <c:ptCount val="1"/>
                <c:pt idx="0">
                  <c:v>Saint-Louis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TCD!$A$16:$A$21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TCD!$D$16:$D$21</c:f>
              <c:numCache>
                <c:formatCode>General</c:formatCode>
                <c:ptCount val="5"/>
                <c:pt idx="0">
                  <c:v>175000</c:v>
                </c:pt>
                <c:pt idx="1">
                  <c:v>60000</c:v>
                </c:pt>
                <c:pt idx="2">
                  <c:v>845000</c:v>
                </c:pt>
                <c:pt idx="3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0-4765-A14B-043A72C28F06}"/>
            </c:ext>
          </c:extLst>
        </c:ser>
        <c:ser>
          <c:idx val="3"/>
          <c:order val="3"/>
          <c:tx>
            <c:strRef>
              <c:f>TCD!$E$14:$E$15</c:f>
              <c:strCache>
                <c:ptCount val="1"/>
                <c:pt idx="0">
                  <c:v>Thiès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TCD!$A$16:$A$21</c:f>
              <c:strCache>
                <c:ptCount val="5"/>
                <c:pt idx="0">
                  <c:v>Accessoires</c:v>
                </c:pt>
                <c:pt idx="1">
                  <c:v>Audio</c:v>
                </c:pt>
                <c:pt idx="2">
                  <c:v>Informatique</c:v>
                </c:pt>
                <c:pt idx="3">
                  <c:v>Périphérique</c:v>
                </c:pt>
                <c:pt idx="4">
                  <c:v>Stockage</c:v>
                </c:pt>
              </c:strCache>
            </c:strRef>
          </c:cat>
          <c:val>
            <c:numRef>
              <c:f>TCD!$E$16:$E$21</c:f>
              <c:numCache>
                <c:formatCode>General</c:formatCode>
                <c:ptCount val="5"/>
                <c:pt idx="0">
                  <c:v>80000</c:v>
                </c:pt>
                <c:pt idx="2">
                  <c:v>2570000</c:v>
                </c:pt>
                <c:pt idx="3">
                  <c:v>70000</c:v>
                </c:pt>
                <c:pt idx="4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0-4765-A14B-043A72C28F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89990736"/>
        <c:axId val="1696303391"/>
      </c:barChart>
      <c:catAx>
        <c:axId val="3899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6303391"/>
        <c:crosses val="autoZero"/>
        <c:auto val="1"/>
        <c:lblAlgn val="ctr"/>
        <c:lblOffset val="100"/>
        <c:noMultiLvlLbl val="0"/>
      </c:catAx>
      <c:valAx>
        <c:axId val="16963033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99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395287</xdr:colOff>
      <xdr:row>3</xdr:row>
      <xdr:rowOff>52388</xdr:rowOff>
    </xdr:from>
    <xdr:to>
      <xdr:col>7</xdr:col>
      <xdr:colOff>309562</xdr:colOff>
      <xdr:row>11</xdr:row>
      <xdr:rowOff>42863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égion">
              <a:extLst>
                <a:ext uri="{FF2B5EF4-FFF2-40B4-BE49-F238E27FC236}">
                  <a16:creationId xmlns:a16="http://schemas.microsoft.com/office/drawing/2014/main" id="{276F91E7-EBAF-F6DB-BD4A-0517FE1123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9650" y="704851"/>
              <a:ext cx="1828800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333375</xdr:colOff>
      <xdr:row>0</xdr:row>
      <xdr:rowOff>247650</xdr:rowOff>
    </xdr:from>
    <xdr:to>
      <xdr:col>9</xdr:col>
      <xdr:colOff>419100</xdr:colOff>
      <xdr:row>14</xdr:row>
      <xdr:rowOff>133354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it">
              <a:extLst>
                <a:ext uri="{FF2B5EF4-FFF2-40B4-BE49-F238E27FC236}">
                  <a16:creationId xmlns:a16="http://schemas.microsoft.com/office/drawing/2014/main" id="{C5C8E6FD-04DC-06B6-A26C-1170D12BDA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2263" y="247650"/>
              <a:ext cx="1828800" cy="2595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485774</xdr:colOff>
      <xdr:row>0</xdr:row>
      <xdr:rowOff>80962</xdr:rowOff>
    </xdr:from>
    <xdr:to>
      <xdr:col>12</xdr:col>
      <xdr:colOff>28574</xdr:colOff>
      <xdr:row>13</xdr:row>
      <xdr:rowOff>142879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ois">
              <a:extLst>
                <a:ext uri="{FF2B5EF4-FFF2-40B4-BE49-F238E27FC236}">
                  <a16:creationId xmlns:a16="http://schemas.microsoft.com/office/drawing/2014/main" id="{F8212D19-7FCB-56E3-64D8-116CBD24C4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7737" y="80962"/>
              <a:ext cx="1828800" cy="2595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38100</xdr:rowOff>
    </xdr:from>
    <xdr:to>
      <xdr:col>7</xdr:col>
      <xdr:colOff>657224</xdr:colOff>
      <xdr:row>19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31EC6F8-3590-4419-A343-5966588E8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3</xdr:col>
      <xdr:colOff>1128712</xdr:colOff>
      <xdr:row>33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A0699FB-FC0A-4084-B98B-E761C0987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21</xdr:row>
      <xdr:rowOff>0</xdr:rowOff>
    </xdr:from>
    <xdr:to>
      <xdr:col>7</xdr:col>
      <xdr:colOff>690564</xdr:colOff>
      <xdr:row>33</xdr:row>
      <xdr:rowOff>138112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E5DB011-6004-442B-8592-081FC1FCA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685799</xdr:colOff>
      <xdr:row>50</xdr:row>
      <xdr:rowOff>28575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F276A7E-1762-4855-A86C-CEEF689B0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411684027778" backgroundQuery="1" createdVersion="8" refreshedVersion="8" minRefreshableVersion="3" recordCount="0" supportSubquery="1" supportAdvancedDrill="1" xr:uid="{8CD0745C-FC71-4787-88E7-B5140B52642F}">
  <cacheSource type="external" connectionId="9"/>
  <cacheFields count="2">
    <cacheField name="[tVendeurs].[Vendeur].[Vendeur]" caption="Vendeur" numFmtId="0" hierarchy="13" level="1">
      <sharedItems count="5">
        <s v="Awa Ndiaye"/>
        <s v="Cheikh Ba"/>
        <s v="Fatou Fall"/>
        <s v="Mamadou Diop"/>
        <s v="Mariama Sow"/>
      </sharedItems>
    </cacheField>
    <cacheField name="[Measures].[CA Total]" caption="CA Total" numFmtId="0" hierarchy="25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2" memberValueDatatype="130" unbalanced="0">
      <fieldsUsage count="2">
        <fieldUsage x="-1"/>
        <fieldUsage x="0"/>
      </fieldsUsage>
    </cacheHierarchy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1"/>
      </fieldsUsage>
    </cacheHierarchy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410126620372" backgroundQuery="1" createdVersion="8" refreshedVersion="8" minRefreshableVersion="3" recordCount="0" supportSubquery="1" supportAdvancedDrill="1" xr:uid="{E20FB8E9-8E86-421C-B1F9-92CC5B429AD7}">
  <cacheSource type="external" connectionId="9"/>
  <cacheFields count="3">
    <cacheField name="[tProduits].[Catégorie].[Catégorie]" caption="Catégorie" numFmtId="0" hierarchy="10" level="1">
      <sharedItems count="5">
        <s v="Accessoires"/>
        <s v="Audio"/>
        <s v="Informatique"/>
        <s v="Périphérique"/>
        <s v="Stockage"/>
      </sharedItems>
    </cacheField>
    <cacheField name="[Measures].[CA Total]" caption="CA Total" numFmtId="0" hierarchy="25" level="32767"/>
    <cacheField name="[Measures].[Quantité Totale]" caption="Quantité Totale" numFmtId="0" hierarchy="26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0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1"/>
      </fieldsUsage>
    </cacheHierarchy>
    <cacheHierarchy uniqueName="[Measures].[Quantité Totale]" caption="Quantité Totale" measure="1" displayFolder="" measureGroup="tVentes" count="0" oneField="1">
      <fieldsUsage count="1">
        <fieldUsage x="2"/>
      </fieldsUsage>
    </cacheHierarchy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409025462963" backgroundQuery="1" createdVersion="8" refreshedVersion="8" minRefreshableVersion="3" recordCount="0" supportSubquery="1" supportAdvancedDrill="1" xr:uid="{E0F99771-39B1-46D8-AF97-A8C9E123C15A}">
  <cacheSource type="external" connectionId="9"/>
  <cacheFields count="4">
    <cacheField name="[tVendeurs].[Région].[Région]" caption="Région" numFmtId="0" hierarchy="14" level="1">
      <sharedItems count="4">
        <s v="Dakar"/>
        <s v="Kaolack"/>
        <s v="Saint-Louis"/>
        <s v="Thiès"/>
      </sharedItems>
    </cacheField>
    <cacheField name="[Measures].[CA Total]" caption="CA Total" numFmtId="0" hierarchy="25" level="32767"/>
    <cacheField name="[Measures].[Quantité Totale]" caption="Quantité Totale" numFmtId="0" hierarchy="26" level="32767"/>
    <cacheField name="[Measures].[CA Dakar]" caption="CA Dakar" numFmtId="0" hierarchy="29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2" memberValueDatatype="130" unbalanced="0">
      <fieldsUsage count="2">
        <fieldUsage x="-1"/>
        <fieldUsage x="0"/>
      </fieldsUsage>
    </cacheHierarchy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1"/>
      </fieldsUsage>
    </cacheHierarchy>
    <cacheHierarchy uniqueName="[Measures].[Quantité Totale]" caption="Quantité Totale" measure="1" displayFolder="" measureGroup="tVentes" count="0" oneField="1">
      <fieldsUsage count="1">
        <fieldUsage x="2"/>
      </fieldsUsage>
    </cacheHierarchy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 oneField="1">
      <fieldsUsage count="1">
        <fieldUsage x="3"/>
      </fieldsUsage>
    </cacheHierarchy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9242488426" backgroundQuery="1" createdVersion="8" refreshedVersion="8" minRefreshableVersion="3" recordCount="0" supportSubquery="1" supportAdvancedDrill="1" xr:uid="{5079DCD6-015D-480E-ADDE-DF1D2CAC0D04}">
  <cacheSource type="external" connectionId="9"/>
  <cacheFields count="3">
    <cacheField name="[tVendeurs].[Région].[Région]" caption="Région" numFmtId="0" hierarchy="14" level="1">
      <sharedItems count="4">
        <s v="Dakar"/>
        <s v="Kaolack"/>
        <s v="Saint-Louis"/>
        <s v="Thiès"/>
      </sharedItems>
    </cacheField>
    <cacheField name="[tProduits].[Catégorie].[Catégorie]" caption="Catégorie" numFmtId="0" hierarchy="10" level="1">
      <sharedItems count="5">
        <s v="Accessoires"/>
        <s v="Audio"/>
        <s v="Informatique"/>
        <s v="Périphérique"/>
        <s v="Stockage"/>
      </sharedItems>
    </cacheField>
    <cacheField name="[Measures].[CA Total]" caption="CA Total" numFmtId="0" hierarchy="25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1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2" memberValueDatatype="130" unbalanced="0">
      <fieldsUsage count="2">
        <fieldUsage x="-1"/>
        <fieldUsage x="0"/>
      </fieldsUsage>
    </cacheHierarchy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2"/>
      </fieldsUsage>
    </cacheHierarchy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90584953704" backgroundQuery="1" createdVersion="8" refreshedVersion="8" minRefreshableVersion="3" recordCount="0" supportSubquery="1" supportAdvancedDrill="1" xr:uid="{EEB5FDE1-56AC-433D-816E-3F16B5411438}">
  <cacheSource type="external" connectionId="9"/>
  <cacheFields count="3">
    <cacheField name="[tProduits].[Catégorie].[Catégorie]" caption="Catégorie" numFmtId="0" hierarchy="10" level="1">
      <sharedItems count="5">
        <s v="Accessoires"/>
        <s v="Audio"/>
        <s v="Informatique"/>
        <s v="Périphérique"/>
        <s v="Stockage"/>
      </sharedItems>
    </cacheField>
    <cacheField name="[Measures].[CA Total]" caption="CA Total" numFmtId="0" hierarchy="25" level="32767"/>
    <cacheField name="[Measures].[CA Grosses Ventes]" caption="CA Grosses Ventes" numFmtId="0" hierarchy="30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0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1"/>
      </fieldsUsage>
    </cacheHierarchy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 oneField="1">
      <fieldsUsage count="1">
        <fieldUsage x="2"/>
      </fieldsUsage>
    </cacheHierarchy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6293055555" backgroundQuery="1" createdVersion="8" refreshedVersion="8" minRefreshableVersion="3" recordCount="0" supportSubquery="1" supportAdvancedDrill="1" xr:uid="{670A9E06-2D51-4F9F-BB0F-60CD8F527DFD}">
  <cacheSource type="external" connectionId="9"/>
  <cacheFields count="3">
    <cacheField name="[tVendeurs 1].[Région].[Région]" caption="Région" numFmtId="0" hierarchy="17" level="1">
      <sharedItems count="4">
        <s v="Dakar"/>
        <s v="Kaolack"/>
        <s v="Saint-Louis"/>
        <s v="Thiès"/>
      </sharedItems>
    </cacheField>
    <cacheField name="[Measures].[CA Total]" caption="CA Total" numFmtId="0" hierarchy="25" level="32767"/>
    <cacheField name="[Measures].[CA Dakar]" caption="CA Dakar" numFmtId="0" hierarchy="29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2" memberValueDatatype="130" unbalanced="0">
      <fieldsUsage count="2">
        <fieldUsage x="-1"/>
        <fieldUsage x="0"/>
      </fieldsUsage>
    </cacheHierarchy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1"/>
      </fieldsUsage>
    </cacheHierarchy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 oneField="1">
      <fieldsUsage count="1">
        <fieldUsage x="2"/>
      </fieldsUsage>
    </cacheHierarchy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46180558" backgroundQuery="1" createdVersion="8" refreshedVersion="8" minRefreshableVersion="3" recordCount="0" supportSubquery="1" supportAdvancedDrill="1" xr:uid="{9C3084BF-0B2C-49DC-BD72-125C26E9BF52}">
  <cacheSource type="external" connectionId="9"/>
  <cacheFields count="4">
    <cacheField name="[Measures].[CA Total]" caption="CA Total" numFmtId="0" hierarchy="25" level="32767"/>
    <cacheField name="[Measures].[Quantité Totale]" caption="Quantité Totale" numFmtId="0" hierarchy="26" level="32767"/>
    <cacheField name="[Measures].[Nombre de Ventes]" caption="Nombre de Ventes" numFmtId="0" hierarchy="27" level="32767"/>
    <cacheField name="[Measures].[CA Moyen]" caption="CA Moyen" numFmtId="0" hierarchy="28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0"/>
      </fieldsUsage>
    </cacheHierarchy>
    <cacheHierarchy uniqueName="[Measures].[Quantité Totale]" caption="Quantité Totale" measure="1" displayFolder="" measureGroup="tVentes" count="0" oneField="1">
      <fieldsUsage count="1">
        <fieldUsage x="1"/>
      </fieldsUsage>
    </cacheHierarchy>
    <cacheHierarchy uniqueName="[Measures].[Nombre de Ventes]" caption="Nombre de Ventes" measure="1" displayFolder="" measureGroup="tVentes" count="0" oneField="1">
      <fieldsUsage count="1">
        <fieldUsage x="2"/>
      </fieldsUsage>
    </cacheHierarchy>
    <cacheHierarchy uniqueName="[Measures].[CA Moyen]" caption="CA Moyen" measure="1" displayFolder="" measureGroup="tVentes" count="0" oneField="1">
      <fieldsUsage count="1">
        <fieldUsage x="3"/>
      </fieldsUsage>
    </cacheHierarchy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44675926" backgroundQuery="1" createdVersion="8" refreshedVersion="8" minRefreshableVersion="3" recordCount="0" supportSubquery="1" supportAdvancedDrill="1" xr:uid="{6F022EE2-885F-4553-B090-63D41277AFCD}">
  <cacheSource type="external" connectionId="9"/>
  <cacheFields count="2">
    <cacheField name="[tProduits].[Catégorie].[Catégorie]" caption="Catégorie" numFmtId="0" hierarchy="10" level="1">
      <sharedItems count="5">
        <s v="Accessoires"/>
        <s v="Audio"/>
        <s v="Informatique"/>
        <s v="Périphérique"/>
        <s v="Stockage"/>
      </sharedItems>
    </cacheField>
    <cacheField name="[Measures].[CA_Mesure]" caption="CA_Mesure" numFmtId="0" hierarchy="24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0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43055556" backgroundQuery="1" createdVersion="8" refreshedVersion="8" minRefreshableVersion="3" recordCount="0" supportSubquery="1" supportAdvancedDrill="1" xr:uid="{C84C50B6-B28F-48B0-9C9F-55775D7DCED2}">
  <cacheSource type="external" connectionId="9"/>
  <cacheFields count="3">
    <cacheField name="[tDate].[Mois].[Mois]" caption="Mois" numFmtId="0" hierarchy="2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tDate].[Mois].&amp;[1]"/>
            <x15:cachedUniqueName index="1" name="[tDate].[Mois].&amp;[2]"/>
          </x15:cachedUniqueNames>
        </ext>
      </extLst>
    </cacheField>
    <cacheField name="[tProduits].[Catégorie].[Catégorie]" caption="Catégorie" numFmtId="0" hierarchy="10" level="1">
      <sharedItems count="5">
        <s v="Accessoires"/>
        <s v="Audio"/>
        <s v="Informatique"/>
        <s v="Périphérique"/>
        <s v="Stockage"/>
      </sharedItems>
    </cacheField>
    <cacheField name="[Measures].[CA_Mesure]" caption="CA_Mesure" numFmtId="0" hierarchy="24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2" memberValueDatatype="20" unbalanced="0">
      <fieldsUsage count="2">
        <fieldUsage x="-1"/>
        <fieldUsage x="0"/>
      </fieldsUsage>
    </cacheHierarchy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1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 oneField="1">
      <fieldsUsage count="1">
        <fieldUsage x="2"/>
      </fieldsUsage>
    </cacheHierarchy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41550924" backgroundQuery="1" createdVersion="8" refreshedVersion="8" minRefreshableVersion="3" recordCount="0" supportSubquery="1" supportAdvancedDrill="1" xr:uid="{0773A038-C927-41AA-AB9E-D1120D7FCA04}">
  <cacheSource type="external" connectionId="9"/>
  <cacheFields count="2">
    <cacheField name="[tDate].[Trimestre].[Trimestre]" caption="Trimestre" numFmtId="0" hierarchy="3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tDate].[Trimestre].&amp;[1]"/>
          </x15:cachedUniqueNames>
        </ext>
      </extLst>
    </cacheField>
    <cacheField name="[Measures].[CA_Mesure]" caption="CA_Mesure" numFmtId="0" hierarchy="24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2" memberValueDatatype="20" unbalanced="0">
      <fieldsUsage count="2">
        <fieldUsage x="-1"/>
        <fieldUsage x="0"/>
      </fieldsUsage>
    </cacheHierarchy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400463" backgroundQuery="1" createdVersion="8" refreshedVersion="8" minRefreshableVersion="3" recordCount="0" supportSubquery="1" supportAdvancedDrill="1" xr:uid="{670640FF-E501-4ECD-A8B7-E0EB667E2CD2}">
  <cacheSource type="external" connectionId="9"/>
  <cacheFields count="2">
    <cacheField name="[tDate].[Mois].[Mois]" caption="Mois" numFmtId="0" hierarchy="2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tDate].[Mois].&amp;[1]"/>
            <x15:cachedUniqueName index="1" name="[tDate].[Mois].&amp;[2]"/>
          </x15:cachedUniqueNames>
        </ext>
      </extLst>
    </cacheField>
    <cacheField name="[Measures].[CA_Mesure]" caption="CA_Mesure" numFmtId="0" hierarchy="24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2" memberValueDatatype="20" unbalanced="0">
      <fieldsUsage count="2">
        <fieldUsage x="-1"/>
        <fieldUsage x="0"/>
      </fieldsUsage>
    </cacheHierarchy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38657407" backgroundQuery="1" createdVersion="8" refreshedVersion="8" minRefreshableVersion="3" recordCount="0" supportSubquery="1" supportAdvancedDrill="1" xr:uid="{DE5CD6FA-8F6A-468E-B662-A76E9A6D0B62}">
  <cacheSource type="external" connectionId="9"/>
  <cacheFields count="3">
    <cacheField name="[tProduits].[Catégorie].[Catégorie]" caption="Catégorie" numFmtId="0" hierarchy="10" level="1">
      <sharedItems count="5">
        <s v="Accessoires"/>
        <s v="Audio"/>
        <s v="Informatique"/>
        <s v="Périphérique"/>
        <s v="Stockage"/>
      </sharedItems>
    </cacheField>
    <cacheField name="[tVendeurs].[Région].[Région]" caption="Région" numFmtId="0" hierarchy="14" level="1">
      <sharedItems count="4">
        <s v="Dakar"/>
        <s v="Kaolack"/>
        <s v="Saint-Louis"/>
        <s v="Thiès"/>
      </sharedItems>
    </cacheField>
    <cacheField name="[Measures].[CA_Mesure]" caption="CA_Mesure" numFmtId="0" hierarchy="24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>
      <fieldsUsage count="2">
        <fieldUsage x="-1"/>
        <fieldUsage x="0"/>
      </fieldsUsage>
    </cacheHierarchy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2" memberValueDatatype="130" unbalanced="0">
      <fieldsUsage count="2">
        <fieldUsage x="-1"/>
        <fieldUsage x="1"/>
      </fieldsUsage>
    </cacheHierarchy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 oneField="1">
      <fieldsUsage count="1">
        <fieldUsage x="2"/>
      </fieldsUsage>
    </cacheHierarchy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37152775" backgroundQuery="1" createdVersion="8" refreshedVersion="8" minRefreshableVersion="3" recordCount="0" supportSubquery="1" supportAdvancedDrill="1" xr:uid="{BE173C04-4247-422E-A3BA-8DC6B85313E7}">
  <cacheSource type="external" connectionId="9"/>
  <cacheFields count="2">
    <cacheField name="[tVendeurs].[Région].[Région]" caption="Région" numFmtId="0" hierarchy="14" level="1">
      <sharedItems count="4">
        <s v="Dakar"/>
        <s v="Kaolack"/>
        <s v="Saint-Louis"/>
        <s v="Thiès"/>
      </sharedItems>
    </cacheField>
    <cacheField name="[Measures].[CA_Mesure]" caption="CA_Mesure" numFmtId="0" hierarchy="24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2" memberValueDatatype="130" unbalanced="0">
      <fieldsUsage count="2">
        <fieldUsage x="-1"/>
        <fieldUsage x="0"/>
      </fieldsUsage>
    </cacheHierarchy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35763889" backgroundQuery="1" createdVersion="8" refreshedVersion="8" minRefreshableVersion="3" recordCount="0" supportSubquery="1" supportAdvancedDrill="1" xr:uid="{F14EC710-4E72-4FB0-B9F8-62C856428AB4}">
  <cacheSource type="external" connectionId="9"/>
  <cacheFields count="2">
    <cacheField name="[tProduits].[Produit].[Produit]" caption="Produit" numFmtId="0" hierarchy="9" level="1">
      <sharedItems count="1">
        <s v="Laptop HP"/>
      </sharedItems>
    </cacheField>
    <cacheField name="[Measures].[CA_Mesure]" caption="CA_Mesure" numFmtId="0" hierarchy="24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2" memberValueDatatype="130" unbalanced="0">
      <fieldsUsage count="2">
        <fieldUsage x="-1"/>
        <fieldUsage x="0"/>
      </fieldsUsage>
    </cacheHierarchy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 oneField="1">
      <fieldsUsage count="1">
        <fieldUsage x="1"/>
      </fieldsUsage>
    </cacheHierarchy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34259258" backgroundQuery="1" createdVersion="8" refreshedVersion="8" minRefreshableVersion="3" recordCount="0" supportSubquery="1" supportAdvancedDrill="1" xr:uid="{1AF9BE08-5C7E-4024-8BFA-07EA3BF5B454}">
  <cacheSource type="external" connectionId="9"/>
  <cacheFields count="1">
    <cacheField name="[Measures].[Somme de Quantité]" caption="Somme de Quantité" numFmtId="0" hierarchy="23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38583298611" backgroundQuery="1" createdVersion="8" refreshedVersion="8" minRefreshableVersion="3" recordCount="0" supportSubquery="1" supportAdvancedDrill="1" xr:uid="{B08A1859-F7C7-4681-B009-87D437531005}">
  <cacheSource type="external" connectionId="9"/>
  <cacheFields count="1">
    <cacheField name="[Measures].[CA_Mesure]" caption="CA_Mesure" numFmtId="0" hierarchy="24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 oneField="1">
      <fieldsUsage count="1">
        <fieldUsage x="0"/>
      </fieldsUsage>
    </cacheHierarchy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430342245367" backgroundQuery="1" createdVersion="8" refreshedVersion="8" minRefreshableVersion="3" recordCount="0" supportSubquery="1" supportAdvancedDrill="1" xr:uid="{C70B39E9-1887-4352-9BF5-EC65E795562F}">
  <cacheSource type="external" connectionId="9"/>
  <cacheFields count="2">
    <cacheField name="[tDate].[Mois].[Mois]" caption="Mois" numFmtId="0" hierarchy="2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tDate].[Mois].&amp;[1]"/>
            <x15:cachedUniqueName index="1" name="[tDate].[Mois].&amp;[2]"/>
          </x15:cachedUniqueNames>
        </ext>
      </extLst>
    </cacheField>
    <cacheField name="[Measures].[CA Total]" caption="CA Total" numFmtId="0" hierarchy="25" level="32767"/>
  </cacheFields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2" memberValueDatatype="20" unbalanced="0">
      <fieldsUsage count="2">
        <fieldUsage x="-1"/>
        <fieldUsage x="0"/>
      </fieldsUsage>
    </cacheHierarchy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0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0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0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1"/>
      </fieldsUsage>
    </cacheHierarchy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436419560188" backgroundQuery="1" createdVersion="8" refreshedVersion="8" minRefreshableVersion="3" recordCount="0" supportSubquery="1" supportAdvancedDrill="1" xr:uid="{78DC0285-DDBC-4705-AD1F-7D623122EF8C}">
  <cacheSource type="external" connectionId="9"/>
  <cacheFields count="5">
    <cacheField name="[Measures].[CA Total]" caption="CA Total" numFmtId="0" hierarchy="25" level="32767"/>
    <cacheField name="[Measures].[Quantité Totale]" caption="Quantité Totale" numFmtId="0" hierarchy="26" level="32767"/>
    <cacheField name="[Measures].[Nombre de Ventes]" caption="Nombre de Ventes" numFmtId="0" hierarchy="27" level="32767"/>
    <cacheField name="[Measures].[CA Moyen]" caption="CA Moyen" numFmtId="0" hierarchy="28" level="32767"/>
    <cacheField name="[tProduits].[Produit].[Produit]" caption="Produit" numFmtId="0" hierarchy="9" level="1">
      <sharedItems containsSemiMixedTypes="0" containsNonDate="0" containsString="0"/>
    </cacheField>
  </cacheFields>
  <cacheHierarchies count="38">
    <cacheHierarchy uniqueName="[tDate].[Date]" caption="Date" attribute="1" time="1" defaultMemberUniqueName="[tDate].[Date].[All]" allUniqueName="[tDate].[Date].[All]" dimensionUniqueName="[tDate]" displayFolder="" count="2" memberValueDatatype="7" unbalanced="0"/>
    <cacheHierarchy uniqueName="[tDate].[Année]" caption="Année" attribute="1" defaultMemberUniqueName="[tDate].[Année].[All]" allUniqueName="[tDate].[Année].[All]" dimensionUniqueName="[tDate]" displayFolder="" count="2" memberValueDatatype="20" unbalanced="0"/>
    <cacheHierarchy uniqueName="[tDate].[Mois]" caption="Mois" attribute="1" defaultMemberUniqueName="[tDate].[Mois].[All]" allUniqueName="[tDate].[Mois].[All]" dimensionUniqueName="[tDate]" displayFolder="" count="2" memberValueDatatype="20" unbalanced="0"/>
    <cacheHierarchy uniqueName="[tDate].[Trimestre]" caption="Trimestre" attribute="1" defaultMemberUniqueName="[tDate].[Trimestre].[All]" allUniqueName="[tDate].[Trimestre].[All]" dimensionUniqueName="[tDate]" displayFolder="" count="2" memberValueDatatype="20" unbalanced="0"/>
    <cacheHierarchy uniqueName="[tDate 1].[Date]" caption="Date" attribute="1" time="1" defaultMemberUniqueName="[tDate 1].[Date].[All]" allUniqueName="[tDate 1].[Date].[All]" dimensionUniqueName="[tDate 1]" displayFolder="" count="2" memberValueDatatype="7" unbalanced="0"/>
    <cacheHierarchy uniqueName="[tDate 1].[Année]" caption="Année" attribute="1" defaultMemberUniqueName="[tDate 1].[Année].[All]" allUniqueName="[tDate 1].[Année].[All]" dimensionUniqueName="[tDate 1]" displayFolder="" count="2" memberValueDatatype="20" unbalanced="0"/>
    <cacheHierarchy uniqueName="[tDate 1].[Mois]" caption="Mois" attribute="1" defaultMemberUniqueName="[tDate 1].[Mois].[All]" allUniqueName="[tDate 1].[Mois].[All]" dimensionUniqueName="[tDate 1]" displayFolder="" count="2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2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2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2" memberValueDatatype="130" unbalanced="0">
      <fieldsUsage count="2">
        <fieldUsage x="-1"/>
        <fieldUsage x="4"/>
      </fieldsUsage>
    </cacheHierarchy>
    <cacheHierarchy uniqueName="[tProduits].[Catégorie]" caption="Catégorie" attribute="1" defaultMemberUniqueName="[tProduits].[Catégorie].[All]" allUniqueName="[tProduits].[Catégorie].[All]" dimensionUniqueName="[tProduits]" displayFolder="" count="2" memberValueDatatype="130" unbalanced="0"/>
    <cacheHierarchy uniqueName="[tProduits].[Prix]" caption="Prix" attribute="1" defaultMemberUniqueName="[tProduits].[Prix].[All]" allUniqueName="[tProduits].[Prix].[All]" dimensionUniqueName="[tProduits]" displayFolder="" count="2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2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2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2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2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2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2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2" memberValueDatatype="130" unbalanced="0"/>
    <cacheHierarchy uniqueName="[tVentes].[Date]" caption="Date" attribute="1" time="1" defaultMemberUniqueName="[tVentes].[Date].[All]" allUniqueName="[tVentes].[Date].[All]" dimensionUniqueName="[tVentes]" displayFolder="" count="2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2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2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2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 oneField="1">
      <fieldsUsage count="1">
        <fieldUsage x="0"/>
      </fieldsUsage>
    </cacheHierarchy>
    <cacheHierarchy uniqueName="[Measures].[Quantité Totale]" caption="Quantité Totale" measure="1" displayFolder="" measureGroup="tVentes" count="0" oneField="1">
      <fieldsUsage count="1">
        <fieldUsage x="1"/>
      </fieldsUsage>
    </cacheHierarchy>
    <cacheHierarchy uniqueName="[Measures].[Nombre de Ventes]" caption="Nombre de Ventes" measure="1" displayFolder="" measureGroup="tVentes" count="0" oneField="1">
      <fieldsUsage count="1">
        <fieldUsage x="2"/>
      </fieldsUsage>
    </cacheHierarchy>
    <cacheHierarchy uniqueName="[Measures].[CA Moyen]" caption="CA Moyen" measure="1" displayFolder="" measureGroup="tVentes" count="0" oneField="1">
      <fieldsUsage count="1">
        <fieldUsage x="3"/>
      </fieldsUsage>
    </cacheHierarchy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dimensions count="7">
    <dimension measure="1" name="Measures" uniqueName="[Measures]" caption="Measures"/>
    <dimension name="tDate" uniqueName="[tDate]" caption="tDate"/>
    <dimension name="tDate 1" uniqueName="[tDate 1]" caption="tDate 1"/>
    <dimension name="tProduits" uniqueName="[tProduits]" caption="tProduits"/>
    <dimension name="tVendeurs" uniqueName="[tVendeurs]" caption="tVendeurs"/>
    <dimension name="tVendeurs 1" uniqueName="[tVendeurs 1]" caption="tVendeurs 1"/>
    <dimension name="tVentes" uniqueName="[tVentes]" caption="tVentes"/>
  </dimensions>
  <measureGroups count="6">
    <measureGroup name="tDate" caption="tDate"/>
    <measureGroup name="tDate 1" caption="tDate 1"/>
    <measureGroup name="tProduits" caption="tProduits"/>
    <measureGroup name="tVendeurs" caption="tVendeurs"/>
    <measureGroup name="tVendeurs 1" caption="tVendeurs 1"/>
    <measureGroup name="tVentes" caption="tVentes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u DJIGO" refreshedDate="46293.432088078705" backgroundQuery="1" createdVersion="3" refreshedVersion="8" minRefreshableVersion="3" recordCount="0" supportSubquery="1" supportAdvancedDrill="1" xr:uid="{2CF8AB5F-771B-4451-BB4D-1C046235C486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tDate].[Date]" caption="Date" attribute="1" time="1" defaultMemberUniqueName="[tDate].[Date].[All]" allUniqueName="[tDate].[Date].[All]" dimensionUniqueName="[tDate]" displayFolder="" count="0" memberValueDatatype="7" unbalanced="0"/>
    <cacheHierarchy uniqueName="[tDate].[Année]" caption="Année" attribute="1" defaultMemberUniqueName="[tDate].[Année].[All]" allUniqueName="[tDate].[Année].[All]" dimensionUniqueName="[tDate]" displayFolder="" count="0" memberValueDatatype="20" unbalanced="0"/>
    <cacheHierarchy uniqueName="[tDate].[Mois]" caption="Mois" attribute="1" defaultMemberUniqueName="[tDate].[Mois].[All]" allUniqueName="[tDate].[Mois].[All]" dimensionUniqueName="[tDate]" displayFolder="" count="0" memberValueDatatype="20" unbalanced="0"/>
    <cacheHierarchy uniqueName="[tDate].[Trimestre]" caption="Trimestre" attribute="1" defaultMemberUniqueName="[tDate].[Trimestre].[All]" allUniqueName="[tDate].[Trimestre].[All]" dimensionUniqueName="[tDate]" displayFolder="" count="0" memberValueDatatype="20" unbalanced="0"/>
    <cacheHierarchy uniqueName="[tDate 1].[Date]" caption="Date" attribute="1" time="1" defaultMemberUniqueName="[tDate 1].[Date].[All]" allUniqueName="[tDate 1].[Date].[All]" dimensionUniqueName="[tDate 1]" displayFolder="" count="0" memberValueDatatype="7" unbalanced="0"/>
    <cacheHierarchy uniqueName="[tDate 1].[Année]" caption="Année" attribute="1" defaultMemberUniqueName="[tDate 1].[Année].[All]" allUniqueName="[tDate 1].[Année].[All]" dimensionUniqueName="[tDate 1]" displayFolder="" count="0" memberValueDatatype="20" unbalanced="0"/>
    <cacheHierarchy uniqueName="[tDate 1].[Mois]" caption="Mois" attribute="1" defaultMemberUniqueName="[tDate 1].[Mois].[All]" allUniqueName="[tDate 1].[Mois].[All]" dimensionUniqueName="[tDate 1]" displayFolder="" count="2" memberValueDatatype="20" unbalanced="0"/>
    <cacheHierarchy uniqueName="[tDate 1].[Trimestre]" caption="Trimestre" attribute="1" defaultMemberUniqueName="[tDate 1].[Trimestre].[All]" allUniqueName="[tDate 1].[Trimestre].[All]" dimensionUniqueName="[tDate 1]" displayFolder="" count="0" memberValueDatatype="20" unbalanced="0"/>
    <cacheHierarchy uniqueName="[tProduits].[Produit_ID]" caption="Produit_ID" attribute="1" defaultMemberUniqueName="[tProduits].[Produit_ID].[All]" allUniqueName="[tProduits].[Produit_ID].[All]" dimensionUniqueName="[tProduits]" displayFolder="" count="0" memberValueDatatype="130" unbalanced="0"/>
    <cacheHierarchy uniqueName="[tProduits].[Produit]" caption="Produit" attribute="1" defaultMemberUniqueName="[tProduits].[Produit].[All]" allUniqueName="[tProduits].[Produit].[All]" dimensionUniqueName="[tProduits]" displayFolder="" count="2" memberValueDatatype="130" unbalanced="0"/>
    <cacheHierarchy uniqueName="[tProduits].[Catégorie]" caption="Catégorie" attribute="1" defaultMemberUniqueName="[tProduits].[Catégorie].[All]" allUniqueName="[tProduits].[Catégorie].[All]" dimensionUniqueName="[tProduits]" displayFolder="" count="0" memberValueDatatype="130" unbalanced="0"/>
    <cacheHierarchy uniqueName="[tProduits].[Prix]" caption="Prix" attribute="1" defaultMemberUniqueName="[tProduits].[Prix].[All]" allUniqueName="[tProduits].[Prix].[All]" dimensionUniqueName="[tProduits]" displayFolder="" count="0" memberValueDatatype="20" unbalanced="0"/>
    <cacheHierarchy uniqueName="[tVendeurs].[Vendeur_ID]" caption="Vendeur_ID" attribute="1" defaultMemberUniqueName="[tVendeurs].[Vendeur_ID].[All]" allUniqueName="[tVendeurs].[Vendeur_ID].[All]" dimensionUniqueName="[tVendeurs]" displayFolder="" count="0" memberValueDatatype="130" unbalanced="0"/>
    <cacheHierarchy uniqueName="[tVendeurs].[Vendeur]" caption="Vendeur" attribute="1" defaultMemberUniqueName="[tVendeurs].[Vendeur].[All]" allUniqueName="[tVendeurs].[Vendeur].[All]" dimensionUniqueName="[tVendeurs]" displayFolder="" count="0" memberValueDatatype="130" unbalanced="0"/>
    <cacheHierarchy uniqueName="[tVendeurs].[Région]" caption="Région" attribute="1" defaultMemberUniqueName="[tVendeurs].[Région].[All]" allUniqueName="[tVendeurs].[Région].[All]" dimensionUniqueName="[tVendeurs]" displayFolder="" count="2" memberValueDatatype="130" unbalanced="0"/>
    <cacheHierarchy uniqueName="[tVendeurs 1].[Vendeur_ID]" caption="Vendeur_ID" attribute="1" defaultMemberUniqueName="[tVendeurs 1].[Vendeur_ID].[All]" allUniqueName="[tVendeurs 1].[Vendeur_ID].[All]" dimensionUniqueName="[tVendeurs 1]" displayFolder="" count="0" memberValueDatatype="130" unbalanced="0"/>
    <cacheHierarchy uniqueName="[tVendeurs 1].[Vendeur]" caption="Vendeur" attribute="1" defaultMemberUniqueName="[tVendeurs 1].[Vendeur].[All]" allUniqueName="[tVendeurs 1].[Vendeur].[All]" dimensionUniqueName="[tVendeurs 1]" displayFolder="" count="0" memberValueDatatype="130" unbalanced="0"/>
    <cacheHierarchy uniqueName="[tVendeurs 1].[Région]" caption="Région" attribute="1" defaultMemberUniqueName="[tVendeurs 1].[Région].[All]" allUniqueName="[tVendeurs 1].[Région].[All]" dimensionUniqueName="[tVendeurs 1]" displayFolder="" count="0" memberValueDatatype="130" unbalanced="0"/>
    <cacheHierarchy uniqueName="[tVentes].[Vente_ID]" caption="Vente_ID" attribute="1" defaultMemberUniqueName="[tVentes].[Vente_ID].[All]" allUniqueName="[tVentes].[Vente_ID].[All]" dimensionUniqueName="[tVentes]" displayFolder="" count="0" memberValueDatatype="130" unbalanced="0"/>
    <cacheHierarchy uniqueName="[tVentes].[Date]" caption="Date" attribute="1" time="1" defaultMemberUniqueName="[tVentes].[Date].[All]" allUniqueName="[tVentes].[Date].[All]" dimensionUniqueName="[tVentes]" displayFolder="" count="0" memberValueDatatype="7" unbalanced="0"/>
    <cacheHierarchy uniqueName="[tVentes].[Produit_ID]" caption="Produit_ID" attribute="1" defaultMemberUniqueName="[tVentes].[Produit_ID].[All]" allUniqueName="[tVentes].[Produit_ID].[All]" dimensionUniqueName="[tVentes]" displayFolder="" count="0" memberValueDatatype="130" unbalanced="0"/>
    <cacheHierarchy uniqueName="[tVentes].[Vendeur_ID]" caption="Vendeur_ID" attribute="1" defaultMemberUniqueName="[tVentes].[Vendeur_ID].[All]" allUniqueName="[tVentes].[Vendeur_ID].[All]" dimensionUniqueName="[tVentes]" displayFolder="" count="0" memberValueDatatype="130" unbalanced="0"/>
    <cacheHierarchy uniqueName="[tVentes].[Quantité]" caption="Quantité" attribute="1" defaultMemberUniqueName="[tVentes].[Quantité].[All]" allUniqueName="[tVentes].[Quantité].[All]" dimensionUniqueName="[tVentes]" displayFolder="" count="0" memberValueDatatype="20" unbalanced="0"/>
    <cacheHierarchy uniqueName="[Measures].[Somme de Quantité]" caption="Somme de Quantité" measure="1" displayFolder="" measureGroup="tVent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A_Mesure]" caption="CA_Mesure" measure="1" displayFolder="" measureGroup="tVentes" count="0"/>
    <cacheHierarchy uniqueName="[Measures].[CA Total]" caption="CA Total" measure="1" displayFolder="" measureGroup="tVentes" count="0"/>
    <cacheHierarchy uniqueName="[Measures].[Quantité Totale]" caption="Quantité Totale" measure="1" displayFolder="" measureGroup="tVentes" count="0"/>
    <cacheHierarchy uniqueName="[Measures].[Nombre de Ventes]" caption="Nombre de Ventes" measure="1" displayFolder="" measureGroup="tVentes" count="0"/>
    <cacheHierarchy uniqueName="[Measures].[CA Moyen]" caption="CA Moyen" measure="1" displayFolder="" measureGroup="tVentes" count="0"/>
    <cacheHierarchy uniqueName="[Measures].[CA Dakar]" caption="CA Dakar" measure="1" displayFolder="" measureGroup="tVentes" count="0"/>
    <cacheHierarchy uniqueName="[Measures].[CA Grosses Ventes]" caption="CA Grosses Ventes" measure="1" displayFolder="" measureGroup="tVentes" count="0"/>
    <cacheHierarchy uniqueName="[Measures].[__XL_Count tVentes]" caption="__XL_Count tVentes" measure="1" displayFolder="" measureGroup="tVentes" count="0" hidden="1"/>
    <cacheHierarchy uniqueName="[Measures].[__XL_Count tProduits]" caption="__XL_Count tProduits" measure="1" displayFolder="" measureGroup="tProduits" count="0" hidden="1"/>
    <cacheHierarchy uniqueName="[Measures].[__XL_Count tVendeurs]" caption="__XL_Count tVendeurs" measure="1" displayFolder="" measureGroup="tVendeurs" count="0" hidden="1"/>
    <cacheHierarchy uniqueName="[Measures].[__XL_Count tDate]" caption="__XL_Count tDate" measure="1" displayFolder="" measureGroup="tDate" count="0" hidden="1"/>
    <cacheHierarchy uniqueName="[Measures].[__XL_Count tVendeurs 1]" caption="__XL_Count tVendeurs 1" measure="1" displayFolder="" measureGroup="tVendeurs 1" count="0" hidden="1"/>
    <cacheHierarchy uniqueName="[Measures].[__XL_Count tDate 1]" caption="__XL_Count tDate 1" measure="1" displayFolder="" measureGroup="tDate 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8644607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C0164-041C-47D6-8A79-37D0DC28D099}" name="Tableau croisé dynamique11" cacheId="360" applyNumberFormats="0" applyBorderFormats="0" applyFontFormats="0" applyPatternFormats="0" applyAlignmentFormats="0" applyWidthHeightFormats="1" dataCaption="Valeurs" tag="8d6ab89e-a2fb-4996-b7fb-0dbf28397bf2" updatedVersion="8" minRefreshableVersion="3" useAutoFormatting="1" itemPrintTitles="1" createdVersion="8" indent="0" outline="1" outlineData="1" multipleFieldFilters="0">
  <location ref="A34:B3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formats count="8">
    <format dxfId="7">
      <pivotArea field="0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Date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45ACA-59DF-471B-B839-664043DC1459}" name="Tableau croisé dynamique9" cacheId="312" applyNumberFormats="0" applyBorderFormats="0" applyFontFormats="0" applyPatternFormats="0" applyAlignmentFormats="0" applyWidthHeightFormats="1" dataCaption="Valeurs" tag="41785375-2756-4158-8553-b509ed3c2a08" updatedVersion="8" minRefreshableVersion="3" useAutoFormatting="1" itemPrintTitles="1" createdVersion="8" indent="0" outline="1" outlineData="1" multipleFieldFilters="0">
  <location ref="A25:B3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16">
    <format dxfId="23">
      <pivotArea field="0" type="button" dataOnly="0" labelOnly="1" outline="0" axis="axisRow" fieldPosition="0"/>
    </format>
    <format dxfId="22">
      <pivotArea dataOnly="0" labelOnly="1" outline="0" axis="axisValues" fieldPosition="0"/>
    </format>
    <format dxfId="21">
      <pivotArea field="0" type="button" dataOnly="0" labelOnly="1" outline="0" axis="axisRow" fieldPosition="0"/>
    </format>
    <format dxfId="20">
      <pivotArea dataOnly="0" labelOnly="1" outline="0" axis="axisValues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deur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0FB8C-BC9C-476B-B79F-1802E06EC6C4}" name="Tableau croisé dynamique8" cacheId="313" applyNumberFormats="0" applyBorderFormats="0" applyFontFormats="0" applyPatternFormats="0" applyAlignmentFormats="0" applyWidthHeightFormats="1" dataCaption="Valeurs" tag="ca593d14-95ec-4165-ba38-25a1c7ab0681" updatedVersion="8" minRefreshableVersion="3" useAutoFormatting="1" itemPrintTitles="1" createdVersion="8" indent="0" outline="1" outlineData="1" multipleFieldFilters="0">
  <location ref="A16:C22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18">
    <format dxfId="41">
      <pivotArea field="0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field="0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75E04-CC89-4A0B-B1E9-52127196604E}" name="Tableau croisé dynamique7" cacheId="314" applyNumberFormats="0" applyBorderFormats="0" applyFontFormats="0" applyPatternFormats="0" applyAlignmentFormats="0" applyWidthHeightFormats="1" dataCaption="Valeurs" tag="f32113c8-ce53-4bc3-a2d9-cf2dc6e9f605" updatedVersion="8" minRefreshableVersion="3" useAutoFormatting="1" itemPrintTitles="1" createdVersion="8" indent="0" outline="1" outlineData="1" multipleFieldFilters="0" rowHeaderCaption="Region">
  <location ref="A8:D13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formats count="18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">
      <pivotArea field="0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">
      <pivotArea field="0" type="button" dataOnly="0" labelOnly="1" outline="0" axis="axisRow" fieldPosition="0"/>
    </format>
    <format dxfId="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field="0" type="button" dataOnly="0" labelOnly="1" outline="0" axis="axisRow" fieldPosition="0"/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grandRow="1" outline="0" collapsedLevelsAreSubtotals="1" fieldPosition="0"/>
    </format>
    <format dxfId="42">
      <pivotArea dataOnly="0" labelOnly="1" grandRow="1" outline="0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deur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B11C3-0ABD-4FB9-999E-D19721DF6321}" name="Tableau croisé dynamique6" cacheId="382" applyNumberFormats="0" applyBorderFormats="0" applyFontFormats="0" applyPatternFormats="0" applyAlignmentFormats="0" applyWidthHeightFormats="1" dataCaption="Valeurs" tag="e44cb6ea-a1f1-4797-951c-bc5cc4902842" updatedVersion="8" minRefreshableVersion="3" useAutoFormatting="1" itemPrintTitles="1" createdVersion="8" indent="0" outline="1" outlineData="1" multipleFieldFilters="0">
  <location ref="A4:D5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formats count="11">
    <format dxfId="6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8">
      <pivotArea outline="0" collapsedLevelsAreSubtotals="1" fieldPosition="0"/>
    </format>
    <format dxfId="69">
      <pivotArea type="all" dataOnly="0" outline="0" fieldPosition="0"/>
    </format>
    <format dxfId="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3">
      <pivotArea outline="0" collapsedLevelsAreSubtotals="1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tes]"/>
        <x15:activeTabTopLevelEntity name="[tVendeurs]"/>
        <x15:activeTabTopLevelEntity name="[tProduits]"/>
        <x15:activeTabTopLevelEntity name="[tDat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64ACF-552B-436E-A1D8-F5D57398636B}" name="Tableau croisé dynamique4" cacheId="316" applyNumberFormats="0" applyBorderFormats="0" applyFontFormats="0" applyPatternFormats="0" applyAlignmentFormats="0" applyWidthHeightFormats="1" dataCaption="Valeurs" tag="a876cf21-f249-41b0-9ef8-01b11277e1c2" updatedVersion="8" minRefreshableVersion="3" useAutoFormatting="1" itemPrintTitles="1" createdVersion="8" indent="0" outline="1" outlineData="1" multipleFieldFilters="0" rowHeaderCaption="Region" colHeaderCaption="Catégorie">
  <location ref="A26:G32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subtotal="count" baseField="0" baseItem="0"/>
  </dataFields>
  <formats count="8">
    <format dxfId="78">
      <pivotArea type="origin" dataOnly="0" labelOnly="1" outline="0" fieldPosition="0"/>
    </format>
    <format dxfId="77">
      <pivotArea field="1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Col="1" outline="0" fieldPosition="0"/>
    </format>
    <format dxfId="72">
      <pivotArea grandRow="1" outline="0" collapsedLevelsAreSubtotals="1" fieldPosition="0"/>
    </format>
    <format dxfId="71">
      <pivotArea dataOnly="0" labelOnly="1" grandRow="1" outline="0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deurs]"/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B1418-4731-414D-9795-711DF641E429}" name="Tableau croisé dynamique3" cacheId="317" applyNumberFormats="0" applyBorderFormats="0" applyFontFormats="0" applyPatternFormats="0" applyAlignmentFormats="0" applyWidthHeightFormats="1" dataCaption="Valeurs" tag="10560d8b-c1db-4948-b2f4-8c7ee120e6be" updatedVersion="8" minRefreshableVersion="3" useAutoFormatting="1" itemPrintTitles="1" createdVersion="8" indent="0" outline="1" outlineData="1" multipleFieldFilters="0">
  <location ref="A17:C23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FA26A-2E0B-45B5-87D2-503B442CBF04}" name="Tableau croisé dynamique2" cacheId="318" applyNumberFormats="0" applyBorderFormats="0" applyFontFormats="0" applyPatternFormats="0" applyAlignmentFormats="0" applyWidthHeightFormats="1" dataCaption="Valeurs" tag="e5990817-0341-4907-b41a-53f43694e7ba" updatedVersion="8" minRefreshableVersion="3" useAutoFormatting="1" itemPrintTitles="1" createdVersion="8" indent="0" outline="1" outlineData="1" multipleFieldFilters="0">
  <location ref="A8:C13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13">
    <format dxfId="94">
      <pivotArea field="0" type="button" dataOnly="0" labelOnly="1" outline="0" axis="axisRow" fieldPosition="0"/>
    </format>
    <format dxfId="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0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deurs 1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89C2A-EBE6-4810-99A3-CE55497BD4FA}" name="Tableau croisé dynamique1" cacheId="319" applyNumberFormats="0" applyBorderFormats="0" applyFontFormats="0" applyPatternFormats="0" applyAlignmentFormats="0" applyWidthHeightFormats="1" dataCaption="Valeurs" tag="5c1010bc-32fd-4435-88c5-cf8cf2427c79" updatedVersion="8" minRefreshableVersion="3" useAutoFormatting="1" itemPrintTitles="1" createdVersion="8" indent="0" outline="1" outlineData="1" multipleFieldFilters="0">
  <location ref="A3:D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formats count="5">
    <format dxfId="9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6">
      <pivotArea outline="0" collapsedLevelsAreSubtotals="1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18EB4-1293-4482-8522-4AB369F7DA41}" name="Tableau croisé dynamique3" cacheId="320" applyNumberFormats="0" applyBorderFormats="0" applyFontFormats="0" applyPatternFormats="0" applyAlignmentFormats="0" applyWidthHeightFormats="1" dataCaption="Valeurs" tag="b6cc61c6-f449-4002-a094-af16c7a3436b" updatedVersion="8" minRefreshableVersion="3" useAutoFormatting="1" itemPrintTitles="1" createdVersion="8" indent="0" outline="1" outlineData="1" multipleFieldFilters="0" chartFormat="6" rowHeaderCaption="Catégorie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6CB1F-6286-4C0A-BA45-354D9D349141}" name="Tableau croisé dynamique9" cacheId="321" applyNumberFormats="0" applyBorderFormats="0" applyFontFormats="0" applyPatternFormats="0" applyAlignmentFormats="0" applyWidthHeightFormats="1" dataCaption="Valeurs" tag="bbb99b12-f741-4699-9afd-30a3dfd2407f" updatedVersion="8" minRefreshableVersion="3" useAutoFormatting="1" itemPrintTitles="1" createdVersion="8" indent="0" outline="1" outlineData="1" multipleFieldFilters="0" rowHeaderCaption="Mois" colHeaderCaption="Catégorie">
  <location ref="A39:G43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Date]"/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5A816-1911-4C4B-B54C-DB99B1E8F912}" name="Tableau croisé dynamique8" cacheId="322" applyNumberFormats="0" applyBorderFormats="0" applyFontFormats="0" applyPatternFormats="0" applyAlignmentFormats="0" applyWidthHeightFormats="1" dataCaption="Valeurs" tag="977393e3-82be-4319-b0cc-377b1c8ba312" updatedVersion="8" minRefreshableVersion="3" useAutoFormatting="1" itemPrintTitles="1" createdVersion="8" indent="0" outline="1" outlineData="1" multipleFieldFilters="0">
  <location ref="A33:B35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Date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D4483-0FEC-4CDE-A3E2-29EEEA756B04}" name="Tableau croisé dynamique7" cacheId="323" applyNumberFormats="0" applyBorderFormats="0" applyFontFormats="0" applyPatternFormats="0" applyAlignmentFormats="0" applyWidthHeightFormats="1" dataCaption="Valeurs" tag="cdf5a4dd-4df4-411d-8e27-37af2235483b" updatedVersion="8" minRefreshableVersion="3" useAutoFormatting="1" itemPrintTitles="1" createdVersion="8" indent="0" outline="1" outlineData="1" multipleFieldFilters="0" chartFormat="5">
  <location ref="A26:B2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Date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9A5D9-FD34-4CE3-B1C6-D66D6CCD65BD}" name="Tableau croisé dynamique5" cacheId="324" applyNumberFormats="0" applyBorderFormats="0" applyFontFormats="0" applyPatternFormats="0" applyAlignmentFormats="0" applyWidthHeightFormats="1" dataCaption="Valeurs" tag="412ae5e8-3f31-4652-990a-b539680bff62" updatedVersion="8" minRefreshableVersion="3" useAutoFormatting="1" itemPrintTitles="1" createdVersion="8" indent="0" outline="1" outlineData="1" multipleFieldFilters="0" chartFormat="5" rowHeaderCaption="Categorie" colHeaderCaption="Region">
  <location ref="A14:F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its]"/>
        <x15:activeTabTopLevelEntity name="[tVendeur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DD75C-ED82-47BF-9CFE-436216EEACBA}" name="Tableau croisé dynamique4" cacheId="325" applyNumberFormats="0" applyBorderFormats="0" applyFontFormats="0" applyPatternFormats="0" applyAlignmentFormats="0" applyWidthHeightFormats="1" dataCaption="Valeurs" tag="3f7f70c9-992c-4ec8-9519-b312f1e603ea" updatedVersion="8" minRefreshableVersion="3" useAutoFormatting="1" itemPrintTitles="1" createdVersion="8" indent="0" outline="1" outlineData="1" multipleFieldFilters="0" chartFormat="16" rowHeaderCaption="Region">
  <location ref="E3:F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deur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692D8-1903-4F0B-98D9-9CCB0624F588}" name="Tableau croisé dynamique12" cacheId="326" applyNumberFormats="0" applyBorderFormats="0" applyFontFormats="0" applyPatternFormats="0" applyAlignmentFormats="0" applyWidthHeightFormats="1" dataCaption="Valeurs" tag="27f794a4-ed1b-4fe3-b70d-d5b8ec19618f" updatedVersion="8" minRefreshableVersion="3" useAutoFormatting="1" itemPrintTitles="1" createdVersion="8" indent="0" outline="1" outlineData="1" multipleFieldFilters="0" rowHeaderCaption="Top Produit">
  <location ref="G3:H5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Produits]"/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7D5E4-AA8E-434B-96B1-75F594FD9FEF}" name="Tableau croisé dynamique11" cacheId="327" applyNumberFormats="0" applyBorderFormats="0" applyFontFormats="0" applyPatternFormats="0" applyAlignmentFormats="0" applyWidthHeightFormats="1" dataCaption="Valeurs" tag="4ea6fd14-829c-47ba-8549-707d8220cd2a" updatedVersion="8" minRefreshableVersion="3" useAutoFormatting="1" itemPrintTitles="1" createdVersion="8" indent="0" outline="1" outlineData="1" multipleFieldFilters="0">
  <location ref="D3:D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omme de Quantité" fld="0" baseField="0" baseItem="0"/>
  </dataFields>
  <formats count="4">
    <format dxfId="113">
      <pivotArea dataOnly="0" labelOnly="1" outline="0" axis="axisValues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36344-7910-4DFE-A44D-0007C8B70EC1}" name="Tableau croisé dynamique10" cacheId="328" applyNumberFormats="0" applyBorderFormats="0" applyFontFormats="0" applyPatternFormats="0" applyAlignmentFormats="0" applyWidthHeightFormats="1" dataCaption="Valeurs" tag="6d76435b-d421-4346-ac39-021cbd0b7c88" updatedVersion="8" minRefreshableVersion="3" useAutoFormatting="1" itemPrintTitles="1" createdVersion="8" indent="0" showHeaders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4">
    <format dxfId="117">
      <pivotArea dataOnly="0" labelOnly="1" outline="0" axis="axisValues" fieldPosition="0"/>
    </format>
    <format dxfId="116">
      <pivotArea dataOnly="0" labelOnly="1" outline="0" axis="axisValues" fieldPosition="0"/>
    </format>
    <format dxfId="115">
      <pivotArea outline="0" collapsedLevelsAreSubtotals="1" fieldPosition="0"/>
    </format>
    <format dxfId="114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1" xr16:uid="{EA17569E-2C32-4DC4-98C4-249B2D1E52CD}" autoFormatId="16" applyNumberFormats="0" applyBorderFormats="0" applyFontFormats="0" applyPatternFormats="0" applyAlignmentFormats="0" applyWidthHeightFormats="0">
  <queryTableRefresh nextId="7">
    <queryTableFields count="5">
      <queryTableField id="1" name="Vente_ID" tableColumnId="1"/>
      <queryTableField id="2" name="Date" tableColumnId="2"/>
      <queryTableField id="3" name="Produit_ID" tableColumnId="3"/>
      <queryTableField id="4" name="Vendeur_ID" tableColumnId="4"/>
      <queryTableField id="5" name="Quantité" tableColumnId="5"/>
    </queryTableFields>
  </queryTableRefresh>
  <extLst>
    <ext xmlns:x15="http://schemas.microsoft.com/office/spreadsheetml/2010/11/main" uri="{883FBD77-0823-4a55-B5E3-86C4891E6966}">
      <x15:queryTable sourceDataName="Requête - tVent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2" xr16:uid="{D6539E99-6EE5-456D-9643-E28B4A23750D}" autoFormatId="16" applyNumberFormats="0" applyBorderFormats="0" applyFontFormats="0" applyPatternFormats="0" applyAlignmentFormats="0" applyWidthHeightFormats="0">
  <queryTableRefresh nextId="5">
    <queryTableFields count="4">
      <queryTableField id="1" name="Produit_ID" tableColumnId="1"/>
      <queryTableField id="2" name="Produit" tableColumnId="2"/>
      <queryTableField id="3" name="Catégorie" tableColumnId="3"/>
      <queryTableField id="4" name="Prix" tableColumnId="4"/>
    </queryTableFields>
  </queryTableRefresh>
  <extLst>
    <ext xmlns:x15="http://schemas.microsoft.com/office/spreadsheetml/2010/11/main" uri="{883FBD77-0823-4a55-B5E3-86C4891E6966}">
      <x15:queryTable sourceDataName="Requête - tProdui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3" xr16:uid="{07286FC8-F50E-4D31-ABD2-F596331BB842}" autoFormatId="16" applyNumberFormats="0" applyBorderFormats="0" applyFontFormats="0" applyPatternFormats="0" applyAlignmentFormats="0" applyWidthHeightFormats="0">
  <queryTableRefresh nextId="4">
    <queryTableFields count="3">
      <queryTableField id="1" name="Vendeur_ID" tableColumnId="1"/>
      <queryTableField id="2" name="Vendeur" tableColumnId="2"/>
      <queryTableField id="3" name="Région" tableColumnId="3"/>
    </queryTableFields>
  </queryTableRefresh>
  <extLst>
    <ext xmlns:x15="http://schemas.microsoft.com/office/spreadsheetml/2010/11/main" uri="{883FBD77-0823-4a55-B5E3-86C4891E6966}">
      <x15:queryTable sourceDataName="Requête - tVendeu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4" xr16:uid="{50213CCA-E482-4233-BAF3-53D2CDFCF817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Année" tableColumnId="2"/>
      <queryTableField id="3" name="Mois" tableColumnId="3"/>
      <queryTableField id="4" name="Trimestre" tableColumnId="4"/>
    </queryTableFields>
  </queryTableRefresh>
  <extLst>
    <ext xmlns:x15="http://schemas.microsoft.com/office/spreadsheetml/2010/11/main" uri="{883FBD77-0823-4a55-B5E3-86C4891E6966}">
      <x15:queryTable sourceDataName="Requête - tDate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39D158DF-D14A-46E2-878E-D645E5A4C26E}" sourceName="[tVendeurs].[Région]">
  <pivotTables>
    <pivotTable tabId="18" name="Tableau croisé dynamique6"/>
  </pivotTables>
  <data>
    <olap pivotCacheId="1086446075">
      <levels count="2">
        <level uniqueName="[tVendeurs].[Région].[(All)]" sourceCaption="(All)" count="0"/>
        <level uniqueName="[tVendeurs].[Région].[Région]" sourceCaption="Région" count="4">
          <ranges>
            <range startItem="0">
              <i n="[tVendeurs].[Région].&amp;[Dakar]" c="Dakar"/>
              <i n="[tVendeurs].[Région].&amp;[Kaolack]" c="Kaolack"/>
              <i n="[tVendeurs].[Région].&amp;[Saint-Louis]" c="Saint-Louis"/>
              <i n="[tVendeurs].[Région].&amp;[Thiès]" c="Thiès"/>
            </range>
          </ranges>
        </level>
      </levels>
      <selections count="1">
        <selection n="[tVendeurs].[Régio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0BE79333-8FD7-43D5-B15C-E8272466E187}" sourceName="[tProduits].[Produit]">
  <pivotTables>
    <pivotTable tabId="18" name="Tableau croisé dynamique6"/>
  </pivotTables>
  <data>
    <olap pivotCacheId="1086446075">
      <levels count="2">
        <level uniqueName="[tProduits].[Produit].[(All)]" sourceCaption="(All)" count="0"/>
        <level uniqueName="[tProduits].[Produit].[Produit]" sourceCaption="Produit" count="10">
          <ranges>
            <range startItem="0">
              <i n="[tProduits].[Produit].&amp;[Carte graphique]" c="Carte graphique"/>
              <i n="[tProduits].[Produit].&amp;[Casque Audio]" c="Casque Audio"/>
              <i n="[tProduits].[Produit].&amp;[Clavier mécanique]" c="Clavier mécanique"/>
              <i n="[tProduits].[Produit].&amp;[Disque SSD 1To]" c="Disque SSD 1To"/>
              <i n="[tProduits].[Produit].&amp;[Écran 24&quot;]" c="Écran 24&quot;"/>
              <i n="[tProduits].[Produit].&amp;[Laptop HP]" c="Laptop HP"/>
              <i n="[tProduits].[Produit].&amp;[RAM 16Go]" c="RAM 16Go"/>
              <i n="[tProduits].[Produit].&amp;[Souris Logitech]" c="Souris Logitech"/>
              <i n="[tProduits].[Produit].&amp;[Tablette Samsung]" c="Tablette Samsung"/>
              <i n="[tProduits].[Produit].&amp;[Webcam HD]" c="Webcam HD"/>
            </range>
          </ranges>
        </level>
      </levels>
      <selections count="1">
        <selection n="[tProduits].[Produit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" xr10:uid="{7883D67D-4C87-4198-837D-DADE732BB055}" sourceName="[tDate 1].[Mois]">
  <pivotTables>
    <pivotTable tabId="18" name="Tableau croisé dynamique6"/>
  </pivotTables>
  <data>
    <olap pivotCacheId="1086446075">
      <levels count="2">
        <level uniqueName="[tDate 1].[Mois].[(All)]" sourceCaption="(All)" count="0"/>
        <level uniqueName="[tDate 1].[Mois].[Mois]" sourceCaption="Mois" count="12">
          <ranges>
            <range startItem="0">
              <i n="[tDate 1].[Mois].&amp;[1]" c="1"/>
              <i n="[tDate 1].[Mois].&amp;[2]" c="2"/>
              <i n="[tDate 1].[Mois].&amp;[3]" c="3"/>
              <i n="[tDate 1].[Mois].&amp;[4]" c="4"/>
              <i n="[tDate 1].[Mois].&amp;[5]" c="5"/>
              <i n="[tDate 1].[Mois].&amp;[6]" c="6"/>
              <i n="[tDate 1].[Mois].&amp;[7]" c="7"/>
              <i n="[tDate 1].[Mois].&amp;[8]" c="8"/>
              <i n="[tDate 1].[Mois].&amp;[9]" c="9"/>
              <i n="[tDate 1].[Mois].&amp;[10]" c="10"/>
              <i n="[tDate 1].[Mois].&amp;[11]" c="11"/>
              <i n="[tDate 1].[Mois].&amp;[12]" c="12"/>
            </range>
          </ranges>
        </level>
      </levels>
      <selections count="1">
        <selection n="[tDate 1].[Mois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" xr10:uid="{AED40A96-B336-4B3D-8DE2-81E2101AFCDE}" cache="Segment_Région" caption="Région" level="1" style="SlicerStyleOther1" rowHeight="249238"/>
  <slicer name="Produit" xr10:uid="{5720FFB3-2C17-48B7-8675-83760B87CDB0}" cache="Segment_Produit" caption="Produit" level="1" style="SlicerStyleOther1" rowHeight="249238"/>
  <slicer name="Mois" xr10:uid="{E20F340F-F7F0-4AF1-A891-5DE417D76464}" cache="Segment_Mois" caption="Mois" level="1" style="SlicerStyleOther1" rowHeight="249238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8454D5-375B-442F-9C76-BC4900D68CC2}" name="tVentes_2" displayName="tVentes_2" ref="A1:E51" tableType="queryTable" totalsRowShown="0">
  <autoFilter ref="A1:E51" xr:uid="{238454D5-375B-442F-9C76-BC4900D68CC2}"/>
  <tableColumns count="5">
    <tableColumn id="1" xr3:uid="{89B5EAAD-46BB-4FEE-A6E0-0E953D919B16}" uniqueName="1" name="Vente_ID" queryTableFieldId="1" dataDxfId="109"/>
    <tableColumn id="2" xr3:uid="{DE237461-0827-4673-B72C-8EDDC3A3B60C}" uniqueName="2" name="Date" queryTableFieldId="2" dataDxfId="95"/>
    <tableColumn id="3" xr3:uid="{778850A3-8835-48E8-90FE-5A53ED75347F}" uniqueName="3" name="Produit_ID" queryTableFieldId="3" dataDxfId="108"/>
    <tableColumn id="4" xr3:uid="{D7F30399-3894-4CAC-8CCA-787A2085DA66}" uniqueName="4" name="Vendeur_ID" queryTableFieldId="4" dataDxfId="107"/>
    <tableColumn id="5" xr3:uid="{497743F5-B0FC-42F4-82A7-23F60DEC7228}" uniqueName="5" name="Quantité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92548-1D00-4787-9A5D-C90DE3D2761C}" name="tVentes" displayName="tVentes" ref="A1:E51" totalsRowShown="0">
  <autoFilter ref="A1:E51" xr:uid="{84092548-1D00-4787-9A5D-C90DE3D2761C}"/>
  <tableColumns count="5">
    <tableColumn id="1" xr3:uid="{F0B9027F-8141-4B46-B5F9-EE196E5206AE}" name="Vente_ID"/>
    <tableColumn id="2" xr3:uid="{984AE515-2307-4B87-88F1-FDA9F18B4546}" name="Date" dataDxfId="106"/>
    <tableColumn id="3" xr3:uid="{0DD68AB0-2E8B-4344-879B-8C3F9C4B106F}" name="Produit_ID"/>
    <tableColumn id="4" xr3:uid="{1D7B3E27-AD18-4387-986D-6559BDC96C15}" name="Vendeur_ID"/>
    <tableColumn id="5" xr3:uid="{96DE3970-88CD-41E5-A1A4-2137901A3BBF}" name="Quantit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862D97-56E1-4211-885C-0854FD2E240A}" name="tProduits_2" displayName="tProduits_2" ref="A1:D11" tableType="queryTable" totalsRowShown="0">
  <autoFilter ref="A1:D11" xr:uid="{BC862D97-56E1-4211-885C-0854FD2E240A}"/>
  <tableColumns count="4">
    <tableColumn id="1" xr3:uid="{83591D06-E128-4A52-A3C2-03964121AFC6}" uniqueName="1" name="Produit_ID" queryTableFieldId="1" dataDxfId="105"/>
    <tableColumn id="2" xr3:uid="{359D4CA3-2C5E-4072-A412-027949CD2178}" uniqueName="2" name="Produit" queryTableFieldId="2" dataDxfId="104"/>
    <tableColumn id="3" xr3:uid="{FFCCDF6C-2411-4EAB-83EE-7B42DD9802B0}" uniqueName="3" name="Catégorie" queryTableFieldId="3" dataDxfId="103"/>
    <tableColumn id="4" xr3:uid="{16D8BC55-1D0E-4695-811B-7F4969487E25}" uniqueName="4" name="Prix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59D45-D624-4C7D-AF95-740EA941E99E}" name="tProduits" displayName="tProduits" ref="A1:D11" totalsRowShown="0">
  <autoFilter ref="A1:D11" xr:uid="{CE459D45-D624-4C7D-AF95-740EA941E99E}"/>
  <tableColumns count="4">
    <tableColumn id="1" xr3:uid="{7DF149CC-550B-409B-AC98-E99D67511D62}" name="Produit_ID"/>
    <tableColumn id="2" xr3:uid="{DC2AD0DE-AE72-4430-9525-CAF13E7BAC36}" name="Produit"/>
    <tableColumn id="3" xr3:uid="{810F801B-7175-48B0-A2FA-DDCEDDA4A298}" name="Catégorie"/>
    <tableColumn id="4" xr3:uid="{E2C10D61-4BA8-4CA7-8302-0F89A4F4CD0F}" name="Pri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7AA648-2CB0-4613-88E5-C40F1C5AC9D7}" name="tVendeurs_2" displayName="tVendeurs_2" ref="A1:C6" tableType="queryTable" totalsRowShown="0">
  <autoFilter ref="A1:C6" xr:uid="{9F7AA648-2CB0-4613-88E5-C40F1C5AC9D7}"/>
  <tableColumns count="3">
    <tableColumn id="1" xr3:uid="{D770990B-C5AA-47C3-98C1-C9DC845512AD}" uniqueName="1" name="Vendeur_ID" queryTableFieldId="1" dataDxfId="102"/>
    <tableColumn id="2" xr3:uid="{39B88AA1-2759-4A7E-8105-0BAAF1A468E9}" uniqueName="2" name="Vendeur" queryTableFieldId="2" dataDxfId="101"/>
    <tableColumn id="3" xr3:uid="{6AFEECA1-82DA-497F-920B-16DBDE0CACD3}" uniqueName="3" name="Région" queryTableFieldId="3" dataDxfId="1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7104FA-AD7D-472D-AF66-9C29E8412467}" name="tVendeurs" displayName="tVendeurs" ref="A1:C6" totalsRowShown="0">
  <autoFilter ref="A1:C6" xr:uid="{0F7104FA-AD7D-472D-AF66-9C29E8412467}"/>
  <tableColumns count="3">
    <tableColumn id="1" xr3:uid="{BB1DF205-3BF4-435F-A76A-C156CDAEA51D}" name="Vendeur_ID"/>
    <tableColumn id="2" xr3:uid="{B03D0105-31B6-4B5B-BF14-EB416C4FBF33}" name="Vendeur"/>
    <tableColumn id="3" xr3:uid="{0CFCF790-2742-430C-BB70-CCC9FC299E7C}" name="Rég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90AA30-B570-4A03-8467-1A9663226818}" name="tDate_2" displayName="tDate_2" ref="A1:D366" tableType="queryTable" totalsRowShown="0">
  <autoFilter ref="A1:D366" xr:uid="{5590AA30-B570-4A03-8467-1A9663226818}"/>
  <tableColumns count="4">
    <tableColumn id="1" xr3:uid="{87547A7E-071E-48C8-A42C-307B405DE692}" uniqueName="1" name="Date" queryTableFieldId="1" dataDxfId="98"/>
    <tableColumn id="2" xr3:uid="{0AD2FBA7-F99B-4B67-A370-590FA307BB98}" uniqueName="2" name="Année" queryTableFieldId="2"/>
    <tableColumn id="3" xr3:uid="{1F3BD7D9-10DC-4889-8712-002FF7A95798}" uniqueName="3" name="Mois" queryTableFieldId="3"/>
    <tableColumn id="4" xr3:uid="{D7E19975-FD39-4E75-B6FF-5C61F753B7BA}" uniqueName="4" name="Trimestre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3A6EFE-67E7-4618-B49A-77EECC0ED8A1}" name="tDate" displayName="tDate" ref="A1:D366" totalsRowShown="0">
  <autoFilter ref="A1:D366" xr:uid="{3F3A6EFE-67E7-4618-B49A-77EECC0ED8A1}"/>
  <tableColumns count="4">
    <tableColumn id="1" xr3:uid="{01B2E65D-1517-4BD6-B374-C18068D2BC3B}" name="Date" dataDxfId="99">
      <calculatedColumnFormula>A1+1</calculatedColumnFormula>
    </tableColumn>
    <tableColumn id="2" xr3:uid="{DA307B22-C183-4941-81C1-1BAE6835ADE2}" name="Année">
      <calculatedColumnFormula>YEAR(A2)</calculatedColumnFormula>
    </tableColumn>
    <tableColumn id="3" xr3:uid="{EC24D562-805F-4D63-B382-337D822223D4}" name="Mois">
      <calculatedColumnFormula>MONTH(A2)</calculatedColumnFormula>
    </tableColumn>
    <tableColumn id="4" xr3:uid="{1B680B3D-FFD5-4CEB-A449-FF7965B558DB}" name="Trimestre">
      <calculatedColumnFormula>ROUNDUP(MONTH(A2)/3,0)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F123-5F75-4554-89C4-7BAFEB1F5235}">
  <dimension ref="A1:I51"/>
  <sheetViews>
    <sheetView tabSelected="1" workbookViewId="0">
      <selection activeCell="K17" sqref="K17"/>
    </sheetView>
  </sheetViews>
  <sheetFormatPr baseColWidth="10" defaultRowHeight="13.9" x14ac:dyDescent="0.4"/>
  <cols>
    <col min="1" max="1" width="18.53125" style="14" bestFit="1" customWidth="1"/>
    <col min="2" max="2" width="15.19921875" style="14" bestFit="1" customWidth="1"/>
    <col min="3" max="3" width="17.59765625" style="14" bestFit="1" customWidth="1"/>
    <col min="4" max="4" width="10.59765625" style="14" bestFit="1" customWidth="1"/>
    <col min="5" max="5" width="10.06640625" style="14" bestFit="1" customWidth="1"/>
    <col min="6" max="6" width="8" style="14" bestFit="1" customWidth="1"/>
    <col min="7" max="7" width="8.73046875" style="14" bestFit="1" customWidth="1"/>
    <col min="8" max="8" width="8.59765625" style="14" bestFit="1" customWidth="1"/>
    <col min="9" max="9" width="15.796875" style="14" bestFit="1" customWidth="1"/>
    <col min="10" max="16384" width="10.6640625" style="14"/>
  </cols>
  <sheetData>
    <row r="1" spans="1:7" ht="20.25" x14ac:dyDescent="0.4">
      <c r="A1" s="27" t="s">
        <v>126</v>
      </c>
      <c r="B1" s="27"/>
      <c r="C1" s="27"/>
      <c r="D1" s="27"/>
      <c r="E1" s="27"/>
      <c r="F1" s="27"/>
      <c r="G1" s="27"/>
    </row>
    <row r="3" spans="1:7" ht="17.25" x14ac:dyDescent="0.45">
      <c r="B3" s="30" t="s">
        <v>127</v>
      </c>
      <c r="C3" s="30"/>
    </row>
    <row r="4" spans="1:7" ht="15.4" x14ac:dyDescent="0.45">
      <c r="A4" s="28" t="s">
        <v>117</v>
      </c>
      <c r="B4" s="28" t="s">
        <v>118</v>
      </c>
      <c r="C4" s="28" t="s">
        <v>119</v>
      </c>
      <c r="D4" s="28" t="s">
        <v>120</v>
      </c>
    </row>
    <row r="5" spans="1:7" x14ac:dyDescent="0.4">
      <c r="A5" s="29">
        <v>14155000</v>
      </c>
      <c r="B5" s="29">
        <v>134</v>
      </c>
      <c r="C5" s="29">
        <v>50</v>
      </c>
      <c r="D5" s="29">
        <v>283100</v>
      </c>
    </row>
    <row r="7" spans="1:7" ht="17.25" x14ac:dyDescent="0.45">
      <c r="B7" s="31" t="s">
        <v>128</v>
      </c>
      <c r="C7" s="31"/>
    </row>
    <row r="8" spans="1:7" ht="15.4" x14ac:dyDescent="0.45">
      <c r="A8" s="28" t="s">
        <v>107</v>
      </c>
      <c r="B8" s="28" t="s">
        <v>117</v>
      </c>
      <c r="C8" s="28" t="s">
        <v>118</v>
      </c>
      <c r="D8" s="28" t="s">
        <v>122</v>
      </c>
      <c r="E8"/>
    </row>
    <row r="9" spans="1:7" ht="14.25" x14ac:dyDescent="0.45">
      <c r="A9" s="23" t="s">
        <v>91</v>
      </c>
      <c r="B9" s="16">
        <v>7515000</v>
      </c>
      <c r="C9" s="16">
        <v>64</v>
      </c>
      <c r="D9" s="16">
        <v>7515000</v>
      </c>
      <c r="E9"/>
    </row>
    <row r="10" spans="1:7" ht="14.25" x14ac:dyDescent="0.45">
      <c r="A10" s="23" t="s">
        <v>98</v>
      </c>
      <c r="B10" s="16">
        <v>2460000</v>
      </c>
      <c r="C10" s="16">
        <v>17</v>
      </c>
      <c r="D10" s="16">
        <v>7515000</v>
      </c>
      <c r="E10"/>
    </row>
    <row r="11" spans="1:7" ht="14.25" x14ac:dyDescent="0.45">
      <c r="A11" s="23" t="s">
        <v>95</v>
      </c>
      <c r="B11" s="16">
        <v>1290000</v>
      </c>
      <c r="C11" s="16">
        <v>21</v>
      </c>
      <c r="D11" s="16">
        <v>7515000</v>
      </c>
      <c r="E11"/>
    </row>
    <row r="12" spans="1:7" ht="14.25" x14ac:dyDescent="0.45">
      <c r="A12" s="23" t="s">
        <v>93</v>
      </c>
      <c r="B12" s="16">
        <v>2890000</v>
      </c>
      <c r="C12" s="16">
        <v>32</v>
      </c>
      <c r="D12" s="16">
        <v>7515000</v>
      </c>
      <c r="E12"/>
    </row>
    <row r="13" spans="1:7" ht="15.4" x14ac:dyDescent="0.45">
      <c r="A13" s="32" t="s">
        <v>103</v>
      </c>
      <c r="B13" s="33">
        <v>14155000</v>
      </c>
      <c r="C13" s="33">
        <v>134</v>
      </c>
      <c r="D13" s="33">
        <v>7515000</v>
      </c>
      <c r="E13"/>
    </row>
    <row r="15" spans="1:7" ht="17.25" x14ac:dyDescent="0.45">
      <c r="A15" s="31" t="s">
        <v>129</v>
      </c>
      <c r="B15" s="31"/>
    </row>
    <row r="16" spans="1:7" ht="15.4" x14ac:dyDescent="0.45">
      <c r="A16" s="28" t="s">
        <v>102</v>
      </c>
      <c r="B16" s="28" t="s">
        <v>117</v>
      </c>
      <c r="C16" s="28" t="s">
        <v>118</v>
      </c>
    </row>
    <row r="17" spans="1:9" ht="14.25" x14ac:dyDescent="0.45">
      <c r="A17" s="23" t="s">
        <v>76</v>
      </c>
      <c r="B17" s="16">
        <v>475000</v>
      </c>
      <c r="C17" s="16">
        <v>28</v>
      </c>
      <c r="F17"/>
      <c r="G17"/>
      <c r="H17"/>
      <c r="I17"/>
    </row>
    <row r="18" spans="1:9" ht="14.25" x14ac:dyDescent="0.45">
      <c r="A18" s="23" t="s">
        <v>80</v>
      </c>
      <c r="B18" s="16">
        <v>330000</v>
      </c>
      <c r="C18" s="16">
        <v>11</v>
      </c>
      <c r="F18"/>
      <c r="G18"/>
      <c r="H18"/>
      <c r="I18"/>
    </row>
    <row r="19" spans="1:9" ht="14.25" x14ac:dyDescent="0.45">
      <c r="A19" s="23" t="s">
        <v>74</v>
      </c>
      <c r="B19" s="16">
        <v>11940000</v>
      </c>
      <c r="C19" s="16">
        <v>69</v>
      </c>
      <c r="F19"/>
      <c r="G19"/>
      <c r="H19"/>
    </row>
    <row r="20" spans="1:9" ht="14.25" x14ac:dyDescent="0.45">
      <c r="A20" s="23" t="s">
        <v>87</v>
      </c>
      <c r="B20" s="16">
        <v>560000</v>
      </c>
      <c r="C20" s="16">
        <v>16</v>
      </c>
      <c r="F20"/>
      <c r="G20"/>
      <c r="H20"/>
    </row>
    <row r="21" spans="1:9" ht="14.25" x14ac:dyDescent="0.45">
      <c r="A21" s="23" t="s">
        <v>83</v>
      </c>
      <c r="B21" s="16">
        <v>850000</v>
      </c>
      <c r="C21" s="16">
        <v>10</v>
      </c>
      <c r="F21"/>
      <c r="G21"/>
      <c r="H21"/>
    </row>
    <row r="22" spans="1:9" ht="15.4" x14ac:dyDescent="0.45">
      <c r="A22" s="32" t="s">
        <v>103</v>
      </c>
      <c r="B22" s="33">
        <v>14155000</v>
      </c>
      <c r="C22" s="33">
        <v>134</v>
      </c>
      <c r="F22"/>
      <c r="G22"/>
      <c r="H22"/>
    </row>
    <row r="23" spans="1:9" ht="15.4" x14ac:dyDescent="0.45">
      <c r="A23" s="37"/>
      <c r="B23" s="37"/>
      <c r="C23" s="37"/>
      <c r="F23"/>
      <c r="G23"/>
      <c r="H23"/>
    </row>
    <row r="24" spans="1:9" ht="17.25" x14ac:dyDescent="0.45">
      <c r="A24" s="31" t="s">
        <v>130</v>
      </c>
      <c r="B24" s="31"/>
      <c r="F24"/>
      <c r="G24"/>
      <c r="H24"/>
    </row>
    <row r="25" spans="1:9" ht="15.4" x14ac:dyDescent="0.45">
      <c r="A25" s="28" t="s">
        <v>102</v>
      </c>
      <c r="B25" s="28" t="s">
        <v>117</v>
      </c>
      <c r="C25"/>
      <c r="F25"/>
      <c r="G25"/>
      <c r="H25"/>
    </row>
    <row r="26" spans="1:9" ht="14.25" x14ac:dyDescent="0.45">
      <c r="A26" s="4" t="s">
        <v>90</v>
      </c>
      <c r="B26" s="13">
        <v>4955000</v>
      </c>
      <c r="C26"/>
      <c r="F26"/>
      <c r="G26"/>
      <c r="H26"/>
    </row>
    <row r="27" spans="1:9" ht="14.25" x14ac:dyDescent="0.45">
      <c r="A27" s="4" t="s">
        <v>96</v>
      </c>
      <c r="B27" s="13">
        <v>2560000</v>
      </c>
      <c r="C27"/>
      <c r="F27"/>
      <c r="G27"/>
      <c r="H27"/>
    </row>
    <row r="28" spans="1:9" ht="14.25" x14ac:dyDescent="0.45">
      <c r="A28" s="4" t="s">
        <v>94</v>
      </c>
      <c r="B28" s="13">
        <v>1290000</v>
      </c>
      <c r="C28"/>
      <c r="F28"/>
      <c r="G28"/>
      <c r="H28"/>
    </row>
    <row r="29" spans="1:9" ht="14.25" x14ac:dyDescent="0.45">
      <c r="A29" s="4" t="s">
        <v>92</v>
      </c>
      <c r="B29" s="13">
        <v>2890000</v>
      </c>
      <c r="C29"/>
      <c r="F29"/>
      <c r="G29"/>
      <c r="H29"/>
    </row>
    <row r="30" spans="1:9" ht="14.25" x14ac:dyDescent="0.45">
      <c r="A30" s="4" t="s">
        <v>97</v>
      </c>
      <c r="B30" s="13">
        <v>2460000</v>
      </c>
      <c r="C30"/>
      <c r="F30"/>
      <c r="G30"/>
      <c r="H30"/>
    </row>
    <row r="31" spans="1:9" ht="15.4" x14ac:dyDescent="0.45">
      <c r="A31" s="32" t="s">
        <v>103</v>
      </c>
      <c r="B31" s="33">
        <v>14155000</v>
      </c>
      <c r="C31"/>
      <c r="F31"/>
      <c r="G31"/>
      <c r="H31"/>
    </row>
    <row r="32" spans="1:9" ht="14.25" x14ac:dyDescent="0.45">
      <c r="A32"/>
      <c r="B32"/>
      <c r="C32"/>
      <c r="F32"/>
      <c r="G32"/>
      <c r="H32"/>
    </row>
    <row r="33" spans="1:8" ht="17.25" x14ac:dyDescent="0.45">
      <c r="A33" s="31" t="s">
        <v>131</v>
      </c>
      <c r="B33" s="31"/>
      <c r="C33"/>
      <c r="F33"/>
      <c r="G33"/>
      <c r="H33"/>
    </row>
    <row r="34" spans="1:8" ht="14.25" x14ac:dyDescent="0.45">
      <c r="A34" s="34" t="s">
        <v>102</v>
      </c>
      <c r="B34" s="34" t="s">
        <v>117</v>
      </c>
      <c r="C34"/>
      <c r="F34"/>
      <c r="G34"/>
      <c r="H34"/>
    </row>
    <row r="35" spans="1:8" ht="14.25" x14ac:dyDescent="0.45">
      <c r="A35" s="4">
        <v>1</v>
      </c>
      <c r="B35" s="13">
        <v>8450000</v>
      </c>
      <c r="C35"/>
    </row>
    <row r="36" spans="1:8" ht="14.25" x14ac:dyDescent="0.45">
      <c r="A36" s="4">
        <v>2</v>
      </c>
      <c r="B36" s="13">
        <v>5705000</v>
      </c>
      <c r="C36"/>
    </row>
    <row r="37" spans="1:8" ht="14.25" x14ac:dyDescent="0.45">
      <c r="A37" s="35" t="s">
        <v>103</v>
      </c>
      <c r="B37" s="36">
        <v>14155000</v>
      </c>
      <c r="C37"/>
    </row>
    <row r="38" spans="1:8" ht="14.25" x14ac:dyDescent="0.45">
      <c r="A38"/>
      <c r="B38"/>
      <c r="C38"/>
    </row>
    <row r="39" spans="1:8" ht="14.25" x14ac:dyDescent="0.45">
      <c r="A39"/>
      <c r="B39"/>
      <c r="C39"/>
    </row>
    <row r="40" spans="1:8" ht="14.25" x14ac:dyDescent="0.45">
      <c r="A40"/>
      <c r="B40"/>
      <c r="C40"/>
    </row>
    <row r="41" spans="1:8" ht="14.25" x14ac:dyDescent="0.45">
      <c r="A41"/>
      <c r="B41"/>
      <c r="C41"/>
    </row>
    <row r="42" spans="1:8" ht="14.25" x14ac:dyDescent="0.45">
      <c r="A42"/>
      <c r="B42"/>
      <c r="C42"/>
    </row>
    <row r="43" spans="1:8" ht="14.25" x14ac:dyDescent="0.45">
      <c r="A43"/>
      <c r="B43"/>
      <c r="C43"/>
    </row>
    <row r="44" spans="1:8" ht="14.25" x14ac:dyDescent="0.45">
      <c r="A44"/>
      <c r="B44"/>
      <c r="C44"/>
    </row>
    <row r="45" spans="1:8" ht="14.25" x14ac:dyDescent="0.45">
      <c r="A45"/>
      <c r="B45"/>
      <c r="C45"/>
    </row>
    <row r="46" spans="1:8" ht="14.25" x14ac:dyDescent="0.45">
      <c r="A46"/>
      <c r="B46"/>
      <c r="C46"/>
    </row>
    <row r="47" spans="1:8" ht="14.25" x14ac:dyDescent="0.45">
      <c r="A47"/>
      <c r="B47"/>
      <c r="C47"/>
    </row>
    <row r="48" spans="1:8" ht="14.25" x14ac:dyDescent="0.45">
      <c r="A48"/>
      <c r="B48"/>
      <c r="C48"/>
    </row>
    <row r="49" spans="1:3" ht="14.25" x14ac:dyDescent="0.45">
      <c r="A49"/>
      <c r="B49"/>
      <c r="C49"/>
    </row>
    <row r="50" spans="1:3" ht="14.25" x14ac:dyDescent="0.45">
      <c r="A50"/>
      <c r="B50"/>
      <c r="C50"/>
    </row>
    <row r="51" spans="1:3" ht="14.25" x14ac:dyDescent="0.45">
      <c r="A51"/>
      <c r="B51"/>
      <c r="C51"/>
    </row>
  </sheetData>
  <mergeCells count="5">
    <mergeCell ref="A33:B33"/>
    <mergeCell ref="A1:G1"/>
    <mergeCell ref="B7:C7"/>
    <mergeCell ref="A24:B24"/>
    <mergeCell ref="A15:B15"/>
  </mergeCells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6665-F95C-4BF0-8326-9D9AD2BD8426}">
  <dimension ref="A1:G43"/>
  <sheetViews>
    <sheetView topLeftCell="A6" workbookViewId="0">
      <selection activeCell="A17" sqref="A17:C23"/>
    </sheetView>
  </sheetViews>
  <sheetFormatPr baseColWidth="10" defaultRowHeight="13.9" x14ac:dyDescent="0.4"/>
  <cols>
    <col min="1" max="1" width="18.53125" style="14" bestFit="1" customWidth="1"/>
    <col min="2" max="2" width="21.1328125" style="14" bestFit="1" customWidth="1"/>
    <col min="3" max="3" width="15.86328125" style="14" bestFit="1" customWidth="1"/>
    <col min="4" max="5" width="11.06640625" style="14" bestFit="1" customWidth="1"/>
    <col min="6" max="6" width="8.06640625" style="14" bestFit="1" customWidth="1"/>
    <col min="7" max="7" width="11" style="14" bestFit="1" customWidth="1"/>
    <col min="8" max="16384" width="10.6640625" style="14"/>
  </cols>
  <sheetData>
    <row r="1" spans="1:4" ht="17.25" x14ac:dyDescent="0.4">
      <c r="A1" s="19" t="s">
        <v>116</v>
      </c>
      <c r="B1" s="19"/>
      <c r="C1" s="19"/>
      <c r="D1" s="19"/>
    </row>
    <row r="3" spans="1:4" x14ac:dyDescent="0.4">
      <c r="A3" s="18" t="s">
        <v>117</v>
      </c>
      <c r="B3" s="18" t="s">
        <v>118</v>
      </c>
      <c r="C3" s="18" t="s">
        <v>119</v>
      </c>
      <c r="D3" s="18" t="s">
        <v>120</v>
      </c>
    </row>
    <row r="4" spans="1:4" x14ac:dyDescent="0.4">
      <c r="A4" s="22">
        <v>14155000</v>
      </c>
      <c r="B4" s="22">
        <v>134</v>
      </c>
      <c r="C4" s="22">
        <v>50</v>
      </c>
      <c r="D4" s="22">
        <v>283100</v>
      </c>
    </row>
    <row r="6" spans="1:4" ht="17.25" x14ac:dyDescent="0.4">
      <c r="A6" s="19" t="s">
        <v>121</v>
      </c>
      <c r="B6" s="19"/>
      <c r="C6" s="19"/>
      <c r="D6" s="19"/>
    </row>
    <row r="8" spans="1:4" x14ac:dyDescent="0.4">
      <c r="A8" s="18" t="s">
        <v>102</v>
      </c>
      <c r="B8" s="18" t="s">
        <v>117</v>
      </c>
      <c r="C8" s="18" t="s">
        <v>122</v>
      </c>
    </row>
    <row r="9" spans="1:4" x14ac:dyDescent="0.4">
      <c r="A9" s="23" t="s">
        <v>91</v>
      </c>
      <c r="B9" s="16">
        <v>7515000</v>
      </c>
      <c r="C9" s="24">
        <v>7515000</v>
      </c>
    </row>
    <row r="10" spans="1:4" x14ac:dyDescent="0.4">
      <c r="A10" s="23" t="s">
        <v>98</v>
      </c>
      <c r="B10" s="16">
        <v>2460000</v>
      </c>
      <c r="C10" s="16"/>
    </row>
    <row r="11" spans="1:4" x14ac:dyDescent="0.4">
      <c r="A11" s="23" t="s">
        <v>95</v>
      </c>
      <c r="B11" s="16">
        <v>1290000</v>
      </c>
      <c r="C11" s="16"/>
    </row>
    <row r="12" spans="1:4" x14ac:dyDescent="0.4">
      <c r="A12" s="23" t="s">
        <v>93</v>
      </c>
      <c r="B12" s="16">
        <v>2890000</v>
      </c>
      <c r="C12" s="16"/>
    </row>
    <row r="13" spans="1:4" x14ac:dyDescent="0.4">
      <c r="A13" s="25" t="s">
        <v>103</v>
      </c>
      <c r="B13" s="26">
        <v>14155000</v>
      </c>
      <c r="C13" s="26">
        <v>7515000</v>
      </c>
    </row>
    <row r="15" spans="1:4" ht="17.25" x14ac:dyDescent="0.4">
      <c r="A15" s="19" t="s">
        <v>123</v>
      </c>
      <c r="B15" s="19"/>
      <c r="C15" s="19"/>
      <c r="D15" s="19"/>
    </row>
    <row r="17" spans="1:7" ht="14.25" x14ac:dyDescent="0.45">
      <c r="A17" s="3" t="s">
        <v>102</v>
      </c>
      <c r="B17" t="s">
        <v>117</v>
      </c>
      <c r="C17" t="s">
        <v>124</v>
      </c>
      <c r="D17"/>
    </row>
    <row r="18" spans="1:7" ht="14.25" x14ac:dyDescent="0.45">
      <c r="A18" s="4" t="s">
        <v>76</v>
      </c>
      <c r="B18" s="13">
        <v>475000</v>
      </c>
      <c r="C18" s="13"/>
      <c r="D18"/>
    </row>
    <row r="19" spans="1:7" ht="14.25" x14ac:dyDescent="0.45">
      <c r="A19" s="4" t="s">
        <v>80</v>
      </c>
      <c r="B19" s="13">
        <v>330000</v>
      </c>
      <c r="C19" s="13"/>
      <c r="D19"/>
    </row>
    <row r="20" spans="1:7" ht="14.25" x14ac:dyDescent="0.45">
      <c r="A20" s="4" t="s">
        <v>74</v>
      </c>
      <c r="B20" s="13">
        <v>11940000</v>
      </c>
      <c r="C20" s="13"/>
      <c r="D20"/>
    </row>
    <row r="21" spans="1:7" ht="14.25" x14ac:dyDescent="0.45">
      <c r="A21" s="4" t="s">
        <v>87</v>
      </c>
      <c r="B21" s="13">
        <v>560000</v>
      </c>
      <c r="C21" s="13"/>
      <c r="D21"/>
    </row>
    <row r="22" spans="1:7" ht="14.25" x14ac:dyDescent="0.45">
      <c r="A22" s="4" t="s">
        <v>83</v>
      </c>
      <c r="B22" s="13">
        <v>850000</v>
      </c>
      <c r="C22" s="13"/>
      <c r="D22"/>
    </row>
    <row r="23" spans="1:7" ht="14.25" x14ac:dyDescent="0.45">
      <c r="A23" s="4" t="s">
        <v>103</v>
      </c>
      <c r="B23" s="13">
        <v>14155000</v>
      </c>
      <c r="C23" s="13"/>
      <c r="D23"/>
    </row>
    <row r="24" spans="1:7" ht="14.25" x14ac:dyDescent="0.45">
      <c r="A24"/>
      <c r="B24"/>
      <c r="C24"/>
    </row>
    <row r="25" spans="1:7" ht="17.25" x14ac:dyDescent="0.4">
      <c r="A25" s="19" t="s">
        <v>125</v>
      </c>
      <c r="B25" s="19"/>
      <c r="C25" s="19"/>
      <c r="D25" s="19"/>
    </row>
    <row r="26" spans="1:7" ht="14.25" x14ac:dyDescent="0.45">
      <c r="A26" s="17" t="s">
        <v>117</v>
      </c>
      <c r="B26" s="17" t="s">
        <v>71</v>
      </c>
      <c r="C26" s="17"/>
      <c r="D26" s="17"/>
      <c r="E26" s="17"/>
      <c r="F26" s="17"/>
      <c r="G26" s="17"/>
    </row>
    <row r="27" spans="1:7" ht="14.25" x14ac:dyDescent="0.45">
      <c r="A27" s="17" t="s">
        <v>107</v>
      </c>
      <c r="B27" s="17" t="s">
        <v>76</v>
      </c>
      <c r="C27" s="17" t="s">
        <v>80</v>
      </c>
      <c r="D27" s="17" t="s">
        <v>74</v>
      </c>
      <c r="E27" s="17" t="s">
        <v>87</v>
      </c>
      <c r="F27" s="17" t="s">
        <v>83</v>
      </c>
      <c r="G27" s="17" t="s">
        <v>103</v>
      </c>
    </row>
    <row r="28" spans="1:7" ht="14.25" x14ac:dyDescent="0.45">
      <c r="A28" s="4" t="s">
        <v>91</v>
      </c>
      <c r="B28" s="13">
        <v>175000</v>
      </c>
      <c r="C28" s="13">
        <v>270000</v>
      </c>
      <c r="D28" s="13">
        <v>6705000</v>
      </c>
      <c r="E28" s="13">
        <v>280000</v>
      </c>
      <c r="F28" s="13">
        <v>85000</v>
      </c>
      <c r="G28" s="13">
        <v>7515000</v>
      </c>
    </row>
    <row r="29" spans="1:7" ht="14.25" x14ac:dyDescent="0.45">
      <c r="A29" s="4" t="s">
        <v>98</v>
      </c>
      <c r="B29" s="13">
        <v>45000</v>
      </c>
      <c r="C29" s="13"/>
      <c r="D29" s="13">
        <v>1820000</v>
      </c>
      <c r="E29" s="13"/>
      <c r="F29" s="13">
        <v>595000</v>
      </c>
      <c r="G29" s="13">
        <v>2460000</v>
      </c>
    </row>
    <row r="30" spans="1:7" ht="14.25" x14ac:dyDescent="0.45">
      <c r="A30" s="4" t="s">
        <v>95</v>
      </c>
      <c r="B30" s="13">
        <v>175000</v>
      </c>
      <c r="C30" s="13">
        <v>60000</v>
      </c>
      <c r="D30" s="13">
        <v>845000</v>
      </c>
      <c r="E30" s="13">
        <v>210000</v>
      </c>
      <c r="F30" s="13"/>
      <c r="G30" s="13">
        <v>1290000</v>
      </c>
    </row>
    <row r="31" spans="1:7" ht="14.25" x14ac:dyDescent="0.45">
      <c r="A31" s="4" t="s">
        <v>93</v>
      </c>
      <c r="B31" s="13">
        <v>80000</v>
      </c>
      <c r="C31" s="13"/>
      <c r="D31" s="13">
        <v>2570000</v>
      </c>
      <c r="E31" s="13">
        <v>70000</v>
      </c>
      <c r="F31" s="13">
        <v>170000</v>
      </c>
      <c r="G31" s="13">
        <v>2890000</v>
      </c>
    </row>
    <row r="32" spans="1:7" ht="14.25" x14ac:dyDescent="0.45">
      <c r="A32" s="21" t="s">
        <v>103</v>
      </c>
      <c r="B32" s="20">
        <v>475000</v>
      </c>
      <c r="C32" s="20">
        <v>330000</v>
      </c>
      <c r="D32" s="20">
        <v>11940000</v>
      </c>
      <c r="E32" s="20">
        <v>560000</v>
      </c>
      <c r="F32" s="20">
        <v>850000</v>
      </c>
      <c r="G32" s="20">
        <v>14155000</v>
      </c>
    </row>
    <row r="33" spans="1:3" ht="14.25" x14ac:dyDescent="0.45">
      <c r="A33"/>
      <c r="B33"/>
      <c r="C33"/>
    </row>
    <row r="34" spans="1:3" ht="14.25" x14ac:dyDescent="0.45">
      <c r="A34"/>
      <c r="B34"/>
      <c r="C34"/>
    </row>
    <row r="35" spans="1:3" ht="14.25" x14ac:dyDescent="0.45">
      <c r="A35"/>
      <c r="B35"/>
      <c r="C35"/>
    </row>
    <row r="36" spans="1:3" ht="14.25" x14ac:dyDescent="0.45">
      <c r="A36"/>
      <c r="B36"/>
      <c r="C36"/>
    </row>
    <row r="37" spans="1:3" ht="14.25" x14ac:dyDescent="0.45">
      <c r="A37"/>
      <c r="B37"/>
      <c r="C37"/>
    </row>
    <row r="38" spans="1:3" ht="14.25" x14ac:dyDescent="0.45">
      <c r="A38"/>
      <c r="B38"/>
      <c r="C38"/>
    </row>
    <row r="39" spans="1:3" ht="14.25" x14ac:dyDescent="0.45">
      <c r="A39"/>
      <c r="B39"/>
      <c r="C39"/>
    </row>
    <row r="40" spans="1:3" ht="14.25" x14ac:dyDescent="0.45">
      <c r="A40"/>
      <c r="B40"/>
      <c r="C40"/>
    </row>
    <row r="41" spans="1:3" ht="14.25" x14ac:dyDescent="0.45">
      <c r="A41"/>
      <c r="B41"/>
      <c r="C41"/>
    </row>
    <row r="42" spans="1:3" ht="14.25" x14ac:dyDescent="0.45">
      <c r="A42"/>
      <c r="B42"/>
      <c r="C42"/>
    </row>
    <row r="43" spans="1:3" ht="14.25" x14ac:dyDescent="0.45">
      <c r="A43"/>
      <c r="B43"/>
      <c r="C43"/>
    </row>
  </sheetData>
  <mergeCells count="4">
    <mergeCell ref="A1:D1"/>
    <mergeCell ref="A6:D6"/>
    <mergeCell ref="A15:D15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91B9-5106-431F-9977-64A360816C0B}">
  <dimension ref="A1:E51"/>
  <sheetViews>
    <sheetView topLeftCell="A35" workbookViewId="0">
      <selection activeCell="I43" sqref="I43"/>
    </sheetView>
  </sheetViews>
  <sheetFormatPr baseColWidth="10" defaultRowHeight="14.25" x14ac:dyDescent="0.45"/>
  <cols>
    <col min="1" max="1" width="10.1328125" bestFit="1" customWidth="1"/>
    <col min="2" max="2" width="14.796875" bestFit="1" customWidth="1"/>
    <col min="3" max="3" width="11.265625" bestFit="1" customWidth="1"/>
    <col min="4" max="4" width="12.19921875" bestFit="1" customWidth="1"/>
    <col min="5" max="5" width="9.796875" bestFit="1" customWidth="1"/>
    <col min="6" max="6" width="5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2">
        <v>46023</v>
      </c>
      <c r="C2" t="s">
        <v>6</v>
      </c>
      <c r="D2" t="s">
        <v>7</v>
      </c>
      <c r="E2">
        <v>2</v>
      </c>
    </row>
    <row r="3" spans="1:5" x14ac:dyDescent="0.45">
      <c r="A3" t="s">
        <v>8</v>
      </c>
      <c r="B3" s="2">
        <v>46024</v>
      </c>
      <c r="C3" t="s">
        <v>9</v>
      </c>
      <c r="D3" t="s">
        <v>10</v>
      </c>
      <c r="E3">
        <v>5</v>
      </c>
    </row>
    <row r="4" spans="1:5" x14ac:dyDescent="0.45">
      <c r="A4" t="s">
        <v>11</v>
      </c>
      <c r="B4" s="2">
        <v>46025</v>
      </c>
      <c r="C4" t="s">
        <v>12</v>
      </c>
      <c r="D4" t="s">
        <v>7</v>
      </c>
      <c r="E4">
        <v>1</v>
      </c>
    </row>
    <row r="5" spans="1:5" x14ac:dyDescent="0.45">
      <c r="A5" t="s">
        <v>13</v>
      </c>
      <c r="B5" s="2">
        <v>46026</v>
      </c>
      <c r="C5" t="s">
        <v>14</v>
      </c>
      <c r="D5" t="s">
        <v>15</v>
      </c>
      <c r="E5">
        <v>3</v>
      </c>
    </row>
    <row r="6" spans="1:5" x14ac:dyDescent="0.45">
      <c r="A6" t="s">
        <v>16</v>
      </c>
      <c r="B6" s="2">
        <v>46027</v>
      </c>
      <c r="C6" t="s">
        <v>17</v>
      </c>
      <c r="D6" t="s">
        <v>7</v>
      </c>
      <c r="E6">
        <v>2</v>
      </c>
    </row>
    <row r="7" spans="1:5" x14ac:dyDescent="0.45">
      <c r="A7" t="s">
        <v>18</v>
      </c>
      <c r="B7" s="2">
        <v>46028</v>
      </c>
      <c r="C7" t="s">
        <v>19</v>
      </c>
      <c r="D7" t="s">
        <v>20</v>
      </c>
      <c r="E7">
        <v>4</v>
      </c>
    </row>
    <row r="8" spans="1:5" x14ac:dyDescent="0.45">
      <c r="A8" t="s">
        <v>21</v>
      </c>
      <c r="B8" s="2">
        <v>46029</v>
      </c>
      <c r="C8" t="s">
        <v>22</v>
      </c>
      <c r="D8" t="s">
        <v>10</v>
      </c>
      <c r="E8">
        <v>1</v>
      </c>
    </row>
    <row r="9" spans="1:5" x14ac:dyDescent="0.45">
      <c r="A9" t="s">
        <v>23</v>
      </c>
      <c r="B9" s="2">
        <v>46030</v>
      </c>
      <c r="C9" t="s">
        <v>24</v>
      </c>
      <c r="D9" t="s">
        <v>25</v>
      </c>
      <c r="E9">
        <v>2</v>
      </c>
    </row>
    <row r="10" spans="1:5" x14ac:dyDescent="0.45">
      <c r="A10" t="s">
        <v>26</v>
      </c>
      <c r="B10" s="2">
        <v>46031</v>
      </c>
      <c r="C10" t="s">
        <v>27</v>
      </c>
      <c r="D10" t="s">
        <v>7</v>
      </c>
      <c r="E10">
        <v>3</v>
      </c>
    </row>
    <row r="11" spans="1:5" x14ac:dyDescent="0.45">
      <c r="A11" t="s">
        <v>28</v>
      </c>
      <c r="B11" s="2">
        <v>46032</v>
      </c>
      <c r="C11" t="s">
        <v>29</v>
      </c>
      <c r="D11" t="s">
        <v>15</v>
      </c>
      <c r="E11">
        <v>5</v>
      </c>
    </row>
    <row r="12" spans="1:5" x14ac:dyDescent="0.45">
      <c r="A12" t="s">
        <v>30</v>
      </c>
      <c r="B12" s="2">
        <v>46033</v>
      </c>
      <c r="C12" t="s">
        <v>6</v>
      </c>
      <c r="D12" t="s">
        <v>10</v>
      </c>
      <c r="E12">
        <v>2</v>
      </c>
    </row>
    <row r="13" spans="1:5" x14ac:dyDescent="0.45">
      <c r="A13" t="s">
        <v>31</v>
      </c>
      <c r="B13" s="2">
        <v>46034</v>
      </c>
      <c r="C13" t="s">
        <v>12</v>
      </c>
      <c r="D13" t="s">
        <v>20</v>
      </c>
      <c r="E13">
        <v>1</v>
      </c>
    </row>
    <row r="14" spans="1:5" x14ac:dyDescent="0.45">
      <c r="A14" t="s">
        <v>32</v>
      </c>
      <c r="B14" s="2">
        <v>46035</v>
      </c>
      <c r="C14" t="s">
        <v>17</v>
      </c>
      <c r="D14" t="s">
        <v>7</v>
      </c>
      <c r="E14">
        <v>4</v>
      </c>
    </row>
    <row r="15" spans="1:5" x14ac:dyDescent="0.45">
      <c r="A15" t="s">
        <v>33</v>
      </c>
      <c r="B15" s="2">
        <v>46036</v>
      </c>
      <c r="C15" t="s">
        <v>22</v>
      </c>
      <c r="D15" t="s">
        <v>25</v>
      </c>
      <c r="E15">
        <v>2</v>
      </c>
    </row>
    <row r="16" spans="1:5" x14ac:dyDescent="0.45">
      <c r="A16" t="s">
        <v>34</v>
      </c>
      <c r="B16" s="2">
        <v>46037</v>
      </c>
      <c r="C16" t="s">
        <v>9</v>
      </c>
      <c r="D16" t="s">
        <v>10</v>
      </c>
      <c r="E16">
        <v>3</v>
      </c>
    </row>
    <row r="17" spans="1:5" x14ac:dyDescent="0.45">
      <c r="A17" t="s">
        <v>35</v>
      </c>
      <c r="B17" s="2">
        <v>46038</v>
      </c>
      <c r="C17" t="s">
        <v>14</v>
      </c>
      <c r="D17" t="s">
        <v>15</v>
      </c>
      <c r="E17">
        <v>2</v>
      </c>
    </row>
    <row r="18" spans="1:5" x14ac:dyDescent="0.45">
      <c r="A18" t="s">
        <v>36</v>
      </c>
      <c r="B18" s="2">
        <v>46039</v>
      </c>
      <c r="C18" t="s">
        <v>19</v>
      </c>
      <c r="D18" t="s">
        <v>7</v>
      </c>
      <c r="E18">
        <v>1</v>
      </c>
    </row>
    <row r="19" spans="1:5" x14ac:dyDescent="0.45">
      <c r="A19" t="s">
        <v>37</v>
      </c>
      <c r="B19" s="2">
        <v>46040</v>
      </c>
      <c r="C19" t="s">
        <v>24</v>
      </c>
      <c r="D19" t="s">
        <v>20</v>
      </c>
      <c r="E19">
        <v>5</v>
      </c>
    </row>
    <row r="20" spans="1:5" x14ac:dyDescent="0.45">
      <c r="A20" t="s">
        <v>38</v>
      </c>
      <c r="B20" s="2">
        <v>46041</v>
      </c>
      <c r="C20" t="s">
        <v>29</v>
      </c>
      <c r="D20" t="s">
        <v>10</v>
      </c>
      <c r="E20">
        <v>2</v>
      </c>
    </row>
    <row r="21" spans="1:5" x14ac:dyDescent="0.45">
      <c r="A21" t="s">
        <v>39</v>
      </c>
      <c r="B21" s="2">
        <v>46042</v>
      </c>
      <c r="C21" t="s">
        <v>6</v>
      </c>
      <c r="D21" t="s">
        <v>25</v>
      </c>
      <c r="E21">
        <v>3</v>
      </c>
    </row>
    <row r="22" spans="1:5" x14ac:dyDescent="0.45">
      <c r="A22" t="s">
        <v>40</v>
      </c>
      <c r="B22" s="2">
        <v>46043</v>
      </c>
      <c r="C22" t="s">
        <v>12</v>
      </c>
      <c r="D22" t="s">
        <v>7</v>
      </c>
      <c r="E22">
        <v>4</v>
      </c>
    </row>
    <row r="23" spans="1:5" x14ac:dyDescent="0.45">
      <c r="A23" t="s">
        <v>41</v>
      </c>
      <c r="B23" s="2">
        <v>46044</v>
      </c>
      <c r="C23" t="s">
        <v>17</v>
      </c>
      <c r="D23" t="s">
        <v>15</v>
      </c>
      <c r="E23">
        <v>2</v>
      </c>
    </row>
    <row r="24" spans="1:5" x14ac:dyDescent="0.45">
      <c r="A24" t="s">
        <v>42</v>
      </c>
      <c r="B24" s="2">
        <v>46045</v>
      </c>
      <c r="C24" t="s">
        <v>22</v>
      </c>
      <c r="D24" t="s">
        <v>10</v>
      </c>
      <c r="E24">
        <v>1</v>
      </c>
    </row>
    <row r="25" spans="1:5" x14ac:dyDescent="0.45">
      <c r="A25" t="s">
        <v>43</v>
      </c>
      <c r="B25" s="2">
        <v>46046</v>
      </c>
      <c r="C25" t="s">
        <v>27</v>
      </c>
      <c r="D25" t="s">
        <v>20</v>
      </c>
      <c r="E25">
        <v>3</v>
      </c>
    </row>
    <row r="26" spans="1:5" x14ac:dyDescent="0.45">
      <c r="A26" t="s">
        <v>44</v>
      </c>
      <c r="B26" s="2">
        <v>46047</v>
      </c>
      <c r="C26" t="s">
        <v>9</v>
      </c>
      <c r="D26" t="s">
        <v>7</v>
      </c>
      <c r="E26">
        <v>2</v>
      </c>
    </row>
    <row r="27" spans="1:5" x14ac:dyDescent="0.45">
      <c r="A27" t="s">
        <v>45</v>
      </c>
      <c r="B27" s="2">
        <v>46048</v>
      </c>
      <c r="C27" t="s">
        <v>14</v>
      </c>
      <c r="D27" t="s">
        <v>25</v>
      </c>
      <c r="E27">
        <v>1</v>
      </c>
    </row>
    <row r="28" spans="1:5" x14ac:dyDescent="0.45">
      <c r="A28" t="s">
        <v>46</v>
      </c>
      <c r="B28" s="2">
        <v>46049</v>
      </c>
      <c r="C28" t="s">
        <v>19</v>
      </c>
      <c r="D28" t="s">
        <v>10</v>
      </c>
      <c r="E28">
        <v>4</v>
      </c>
    </row>
    <row r="29" spans="1:5" x14ac:dyDescent="0.45">
      <c r="A29" t="s">
        <v>47</v>
      </c>
      <c r="B29" s="2">
        <v>46050</v>
      </c>
      <c r="C29" t="s">
        <v>24</v>
      </c>
      <c r="D29" t="s">
        <v>15</v>
      </c>
      <c r="E29">
        <v>2</v>
      </c>
    </row>
    <row r="30" spans="1:5" x14ac:dyDescent="0.45">
      <c r="A30" t="s">
        <v>48</v>
      </c>
      <c r="B30" s="2">
        <v>46051</v>
      </c>
      <c r="C30" t="s">
        <v>29</v>
      </c>
      <c r="D30" t="s">
        <v>7</v>
      </c>
      <c r="E30">
        <v>5</v>
      </c>
    </row>
    <row r="31" spans="1:5" x14ac:dyDescent="0.45">
      <c r="A31" t="s">
        <v>49</v>
      </c>
      <c r="B31" s="2">
        <v>46052</v>
      </c>
      <c r="C31" t="s">
        <v>6</v>
      </c>
      <c r="D31" t="s">
        <v>20</v>
      </c>
      <c r="E31">
        <v>2</v>
      </c>
    </row>
    <row r="32" spans="1:5" x14ac:dyDescent="0.45">
      <c r="A32" t="s">
        <v>50</v>
      </c>
      <c r="B32" s="2">
        <v>46054</v>
      </c>
      <c r="C32" t="s">
        <v>9</v>
      </c>
      <c r="D32" t="s">
        <v>7</v>
      </c>
      <c r="E32">
        <v>3</v>
      </c>
    </row>
    <row r="33" spans="1:5" x14ac:dyDescent="0.45">
      <c r="A33" t="s">
        <v>51</v>
      </c>
      <c r="B33" s="2">
        <v>46055</v>
      </c>
      <c r="C33" t="s">
        <v>12</v>
      </c>
      <c r="D33" t="s">
        <v>10</v>
      </c>
      <c r="E33">
        <v>4</v>
      </c>
    </row>
    <row r="34" spans="1:5" x14ac:dyDescent="0.45">
      <c r="A34" t="s">
        <v>52</v>
      </c>
      <c r="B34" s="2">
        <v>46056</v>
      </c>
      <c r="C34" t="s">
        <v>14</v>
      </c>
      <c r="D34" t="s">
        <v>15</v>
      </c>
      <c r="E34">
        <v>2</v>
      </c>
    </row>
    <row r="35" spans="1:5" x14ac:dyDescent="0.45">
      <c r="A35" t="s">
        <v>53</v>
      </c>
      <c r="B35" s="2">
        <v>46057</v>
      </c>
      <c r="C35" t="s">
        <v>17</v>
      </c>
      <c r="D35" t="s">
        <v>7</v>
      </c>
      <c r="E35">
        <v>1</v>
      </c>
    </row>
    <row r="36" spans="1:5" x14ac:dyDescent="0.45">
      <c r="A36" t="s">
        <v>54</v>
      </c>
      <c r="B36" s="2">
        <v>46058</v>
      </c>
      <c r="C36" t="s">
        <v>19</v>
      </c>
      <c r="D36" t="s">
        <v>20</v>
      </c>
      <c r="E36">
        <v>3</v>
      </c>
    </row>
    <row r="37" spans="1:5" x14ac:dyDescent="0.45">
      <c r="A37" t="s">
        <v>55</v>
      </c>
      <c r="B37" s="2">
        <v>46059</v>
      </c>
      <c r="C37" t="s">
        <v>22</v>
      </c>
      <c r="D37" t="s">
        <v>25</v>
      </c>
      <c r="E37">
        <v>5</v>
      </c>
    </row>
    <row r="38" spans="1:5" x14ac:dyDescent="0.45">
      <c r="A38" t="s">
        <v>56</v>
      </c>
      <c r="B38" s="2">
        <v>46060</v>
      </c>
      <c r="C38" t="s">
        <v>24</v>
      </c>
      <c r="D38" t="s">
        <v>10</v>
      </c>
      <c r="E38">
        <v>2</v>
      </c>
    </row>
    <row r="39" spans="1:5" x14ac:dyDescent="0.45">
      <c r="A39" t="s">
        <v>57</v>
      </c>
      <c r="B39" s="2">
        <v>46061</v>
      </c>
      <c r="C39" t="s">
        <v>27</v>
      </c>
      <c r="D39" t="s">
        <v>7</v>
      </c>
      <c r="E39">
        <v>4</v>
      </c>
    </row>
    <row r="40" spans="1:5" x14ac:dyDescent="0.45">
      <c r="A40" t="s">
        <v>58</v>
      </c>
      <c r="B40" s="2">
        <v>46062</v>
      </c>
      <c r="C40" t="s">
        <v>29</v>
      </c>
      <c r="D40" t="s">
        <v>15</v>
      </c>
      <c r="E40">
        <v>1</v>
      </c>
    </row>
    <row r="41" spans="1:5" x14ac:dyDescent="0.45">
      <c r="A41" t="s">
        <v>59</v>
      </c>
      <c r="B41" s="2">
        <v>46063</v>
      </c>
      <c r="C41" t="s">
        <v>6</v>
      </c>
      <c r="D41" t="s">
        <v>7</v>
      </c>
      <c r="E41">
        <v>3</v>
      </c>
    </row>
    <row r="42" spans="1:5" x14ac:dyDescent="0.45">
      <c r="A42" t="s">
        <v>60</v>
      </c>
      <c r="B42" s="2">
        <v>46064</v>
      </c>
      <c r="C42" t="s">
        <v>9</v>
      </c>
      <c r="D42" t="s">
        <v>25</v>
      </c>
      <c r="E42">
        <v>2</v>
      </c>
    </row>
    <row r="43" spans="1:5" x14ac:dyDescent="0.45">
      <c r="A43" t="s">
        <v>61</v>
      </c>
      <c r="B43" s="2">
        <v>46065</v>
      </c>
      <c r="C43" t="s">
        <v>12</v>
      </c>
      <c r="D43" t="s">
        <v>10</v>
      </c>
      <c r="E43">
        <v>4</v>
      </c>
    </row>
    <row r="44" spans="1:5" x14ac:dyDescent="0.45">
      <c r="A44" t="s">
        <v>62</v>
      </c>
      <c r="B44" s="2">
        <v>46066</v>
      </c>
      <c r="C44" t="s">
        <v>14</v>
      </c>
      <c r="D44" t="s">
        <v>7</v>
      </c>
      <c r="E44">
        <v>5</v>
      </c>
    </row>
    <row r="45" spans="1:5" x14ac:dyDescent="0.45">
      <c r="A45" t="s">
        <v>63</v>
      </c>
      <c r="B45" s="2">
        <v>46067</v>
      </c>
      <c r="C45" t="s">
        <v>17</v>
      </c>
      <c r="D45" t="s">
        <v>20</v>
      </c>
      <c r="E45">
        <v>2</v>
      </c>
    </row>
    <row r="46" spans="1:5" x14ac:dyDescent="0.45">
      <c r="A46" t="s">
        <v>64</v>
      </c>
      <c r="B46" s="2">
        <v>46068</v>
      </c>
      <c r="C46" t="s">
        <v>19</v>
      </c>
      <c r="D46" t="s">
        <v>15</v>
      </c>
      <c r="E46">
        <v>3</v>
      </c>
    </row>
    <row r="47" spans="1:5" x14ac:dyDescent="0.45">
      <c r="A47" t="s">
        <v>65</v>
      </c>
      <c r="B47" s="2">
        <v>46069</v>
      </c>
      <c r="C47" t="s">
        <v>22</v>
      </c>
      <c r="D47" t="s">
        <v>7</v>
      </c>
      <c r="E47">
        <v>1</v>
      </c>
    </row>
    <row r="48" spans="1:5" x14ac:dyDescent="0.45">
      <c r="A48" t="s">
        <v>66</v>
      </c>
      <c r="B48" s="2">
        <v>46070</v>
      </c>
      <c r="C48" t="s">
        <v>24</v>
      </c>
      <c r="D48" t="s">
        <v>10</v>
      </c>
      <c r="E48">
        <v>4</v>
      </c>
    </row>
    <row r="49" spans="1:5" x14ac:dyDescent="0.45">
      <c r="A49" t="s">
        <v>67</v>
      </c>
      <c r="B49" s="2">
        <v>46071</v>
      </c>
      <c r="C49" t="s">
        <v>27</v>
      </c>
      <c r="D49" t="s">
        <v>25</v>
      </c>
      <c r="E49">
        <v>2</v>
      </c>
    </row>
    <row r="50" spans="1:5" x14ac:dyDescent="0.45">
      <c r="A50" t="s">
        <v>68</v>
      </c>
      <c r="B50" s="2">
        <v>46072</v>
      </c>
      <c r="C50" t="s">
        <v>29</v>
      </c>
      <c r="D50" t="s">
        <v>7</v>
      </c>
      <c r="E50">
        <v>3</v>
      </c>
    </row>
    <row r="51" spans="1:5" x14ac:dyDescent="0.45">
      <c r="A51" t="s">
        <v>69</v>
      </c>
      <c r="B51" s="2">
        <v>46073</v>
      </c>
      <c r="C51" t="s">
        <v>6</v>
      </c>
      <c r="D51" t="s">
        <v>15</v>
      </c>
      <c r="E5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2D3D-4195-464F-AD92-8B2C532F3DCB}">
  <dimension ref="A1:E51"/>
  <sheetViews>
    <sheetView workbookViewId="0">
      <selection activeCell="C4" sqref="A2:E51"/>
    </sheetView>
  </sheetViews>
  <sheetFormatPr baseColWidth="10" defaultRowHeight="14.25" x14ac:dyDescent="0.45"/>
  <cols>
    <col min="3" max="3" width="10.9296875" customWidth="1"/>
    <col min="4" max="4" width="11.86328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1">
        <v>46023</v>
      </c>
      <c r="C2" t="s">
        <v>6</v>
      </c>
      <c r="D2" t="s">
        <v>7</v>
      </c>
      <c r="E2">
        <v>2</v>
      </c>
    </row>
    <row r="3" spans="1:5" x14ac:dyDescent="0.45">
      <c r="A3" t="s">
        <v>8</v>
      </c>
      <c r="B3" s="1">
        <v>46024</v>
      </c>
      <c r="C3" t="s">
        <v>9</v>
      </c>
      <c r="D3" t="s">
        <v>10</v>
      </c>
      <c r="E3">
        <v>5</v>
      </c>
    </row>
    <row r="4" spans="1:5" x14ac:dyDescent="0.45">
      <c r="A4" t="s">
        <v>11</v>
      </c>
      <c r="B4" s="1">
        <v>46025</v>
      </c>
      <c r="C4" t="s">
        <v>12</v>
      </c>
      <c r="D4" t="s">
        <v>7</v>
      </c>
      <c r="E4">
        <v>1</v>
      </c>
    </row>
    <row r="5" spans="1:5" x14ac:dyDescent="0.45">
      <c r="A5" t="s">
        <v>13</v>
      </c>
      <c r="B5" s="1">
        <v>46026</v>
      </c>
      <c r="C5" t="s">
        <v>14</v>
      </c>
      <c r="D5" t="s">
        <v>15</v>
      </c>
      <c r="E5">
        <v>3</v>
      </c>
    </row>
    <row r="6" spans="1:5" x14ac:dyDescent="0.45">
      <c r="A6" t="s">
        <v>16</v>
      </c>
      <c r="B6" s="1">
        <v>46027</v>
      </c>
      <c r="C6" t="s">
        <v>17</v>
      </c>
      <c r="D6" t="s">
        <v>7</v>
      </c>
      <c r="E6">
        <v>2</v>
      </c>
    </row>
    <row r="7" spans="1:5" x14ac:dyDescent="0.45">
      <c r="A7" t="s">
        <v>18</v>
      </c>
      <c r="B7" s="1">
        <v>46028</v>
      </c>
      <c r="C7" t="s">
        <v>19</v>
      </c>
      <c r="D7" t="s">
        <v>20</v>
      </c>
      <c r="E7">
        <v>4</v>
      </c>
    </row>
    <row r="8" spans="1:5" x14ac:dyDescent="0.45">
      <c r="A8" t="s">
        <v>21</v>
      </c>
      <c r="B8" s="1">
        <v>46029</v>
      </c>
      <c r="C8" t="s">
        <v>22</v>
      </c>
      <c r="D8" t="s">
        <v>10</v>
      </c>
      <c r="E8">
        <v>1</v>
      </c>
    </row>
    <row r="9" spans="1:5" x14ac:dyDescent="0.45">
      <c r="A9" t="s">
        <v>23</v>
      </c>
      <c r="B9" s="1">
        <v>46030</v>
      </c>
      <c r="C9" t="s">
        <v>24</v>
      </c>
      <c r="D9" t="s">
        <v>25</v>
      </c>
      <c r="E9">
        <v>2</v>
      </c>
    </row>
    <row r="10" spans="1:5" x14ac:dyDescent="0.45">
      <c r="A10" t="s">
        <v>26</v>
      </c>
      <c r="B10" s="1">
        <v>46031</v>
      </c>
      <c r="C10" t="s">
        <v>27</v>
      </c>
      <c r="D10" t="s">
        <v>7</v>
      </c>
      <c r="E10">
        <v>3</v>
      </c>
    </row>
    <row r="11" spans="1:5" x14ac:dyDescent="0.45">
      <c r="A11" t="s">
        <v>28</v>
      </c>
      <c r="B11" s="1">
        <v>46032</v>
      </c>
      <c r="C11" t="s">
        <v>29</v>
      </c>
      <c r="D11" t="s">
        <v>15</v>
      </c>
      <c r="E11">
        <v>5</v>
      </c>
    </row>
    <row r="12" spans="1:5" x14ac:dyDescent="0.45">
      <c r="A12" t="s">
        <v>30</v>
      </c>
      <c r="B12" s="1">
        <v>46033</v>
      </c>
      <c r="C12" t="s">
        <v>6</v>
      </c>
      <c r="D12" t="s">
        <v>10</v>
      </c>
      <c r="E12">
        <v>2</v>
      </c>
    </row>
    <row r="13" spans="1:5" x14ac:dyDescent="0.45">
      <c r="A13" t="s">
        <v>31</v>
      </c>
      <c r="B13" s="1">
        <v>46034</v>
      </c>
      <c r="C13" t="s">
        <v>12</v>
      </c>
      <c r="D13" t="s">
        <v>20</v>
      </c>
      <c r="E13">
        <v>1</v>
      </c>
    </row>
    <row r="14" spans="1:5" x14ac:dyDescent="0.45">
      <c r="A14" t="s">
        <v>32</v>
      </c>
      <c r="B14" s="1">
        <v>46035</v>
      </c>
      <c r="C14" t="s">
        <v>17</v>
      </c>
      <c r="D14" t="s">
        <v>7</v>
      </c>
      <c r="E14">
        <v>4</v>
      </c>
    </row>
    <row r="15" spans="1:5" x14ac:dyDescent="0.45">
      <c r="A15" t="s">
        <v>33</v>
      </c>
      <c r="B15" s="1">
        <v>46036</v>
      </c>
      <c r="C15" t="s">
        <v>22</v>
      </c>
      <c r="D15" t="s">
        <v>25</v>
      </c>
      <c r="E15">
        <v>2</v>
      </c>
    </row>
    <row r="16" spans="1:5" x14ac:dyDescent="0.45">
      <c r="A16" t="s">
        <v>34</v>
      </c>
      <c r="B16" s="1">
        <v>46037</v>
      </c>
      <c r="C16" t="s">
        <v>9</v>
      </c>
      <c r="D16" t="s">
        <v>10</v>
      </c>
      <c r="E16">
        <v>3</v>
      </c>
    </row>
    <row r="17" spans="1:5" x14ac:dyDescent="0.45">
      <c r="A17" t="s">
        <v>35</v>
      </c>
      <c r="B17" s="1">
        <v>46038</v>
      </c>
      <c r="C17" t="s">
        <v>14</v>
      </c>
      <c r="D17" t="s">
        <v>15</v>
      </c>
      <c r="E17">
        <v>2</v>
      </c>
    </row>
    <row r="18" spans="1:5" x14ac:dyDescent="0.45">
      <c r="A18" t="s">
        <v>36</v>
      </c>
      <c r="B18" s="1">
        <v>46039</v>
      </c>
      <c r="C18" t="s">
        <v>19</v>
      </c>
      <c r="D18" t="s">
        <v>7</v>
      </c>
      <c r="E18">
        <v>1</v>
      </c>
    </row>
    <row r="19" spans="1:5" x14ac:dyDescent="0.45">
      <c r="A19" t="s">
        <v>37</v>
      </c>
      <c r="B19" s="1">
        <v>46040</v>
      </c>
      <c r="C19" t="s">
        <v>24</v>
      </c>
      <c r="D19" t="s">
        <v>20</v>
      </c>
      <c r="E19">
        <v>5</v>
      </c>
    </row>
    <row r="20" spans="1:5" x14ac:dyDescent="0.45">
      <c r="A20" t="s">
        <v>38</v>
      </c>
      <c r="B20" s="1">
        <v>46041</v>
      </c>
      <c r="C20" t="s">
        <v>29</v>
      </c>
      <c r="D20" t="s">
        <v>10</v>
      </c>
      <c r="E20">
        <v>2</v>
      </c>
    </row>
    <row r="21" spans="1:5" x14ac:dyDescent="0.45">
      <c r="A21" t="s">
        <v>39</v>
      </c>
      <c r="B21" s="1">
        <v>46042</v>
      </c>
      <c r="C21" t="s">
        <v>6</v>
      </c>
      <c r="D21" t="s">
        <v>25</v>
      </c>
      <c r="E21">
        <v>3</v>
      </c>
    </row>
    <row r="22" spans="1:5" x14ac:dyDescent="0.45">
      <c r="A22" t="s">
        <v>40</v>
      </c>
      <c r="B22" s="1">
        <v>46043</v>
      </c>
      <c r="C22" t="s">
        <v>12</v>
      </c>
      <c r="D22" t="s">
        <v>7</v>
      </c>
      <c r="E22">
        <v>4</v>
      </c>
    </row>
    <row r="23" spans="1:5" x14ac:dyDescent="0.45">
      <c r="A23" t="s">
        <v>41</v>
      </c>
      <c r="B23" s="1">
        <v>46044</v>
      </c>
      <c r="C23" t="s">
        <v>17</v>
      </c>
      <c r="D23" t="s">
        <v>15</v>
      </c>
      <c r="E23">
        <v>2</v>
      </c>
    </row>
    <row r="24" spans="1:5" x14ac:dyDescent="0.45">
      <c r="A24" t="s">
        <v>42</v>
      </c>
      <c r="B24" s="1">
        <v>46045</v>
      </c>
      <c r="C24" t="s">
        <v>22</v>
      </c>
      <c r="D24" t="s">
        <v>10</v>
      </c>
      <c r="E24">
        <v>1</v>
      </c>
    </row>
    <row r="25" spans="1:5" x14ac:dyDescent="0.45">
      <c r="A25" t="s">
        <v>43</v>
      </c>
      <c r="B25" s="1">
        <v>46046</v>
      </c>
      <c r="C25" t="s">
        <v>27</v>
      </c>
      <c r="D25" t="s">
        <v>20</v>
      </c>
      <c r="E25">
        <v>3</v>
      </c>
    </row>
    <row r="26" spans="1:5" x14ac:dyDescent="0.45">
      <c r="A26" t="s">
        <v>44</v>
      </c>
      <c r="B26" s="1">
        <v>46047</v>
      </c>
      <c r="C26" t="s">
        <v>9</v>
      </c>
      <c r="D26" t="s">
        <v>7</v>
      </c>
      <c r="E26">
        <v>2</v>
      </c>
    </row>
    <row r="27" spans="1:5" x14ac:dyDescent="0.45">
      <c r="A27" t="s">
        <v>45</v>
      </c>
      <c r="B27" s="1">
        <v>46048</v>
      </c>
      <c r="C27" t="s">
        <v>14</v>
      </c>
      <c r="D27" t="s">
        <v>25</v>
      </c>
      <c r="E27">
        <v>1</v>
      </c>
    </row>
    <row r="28" spans="1:5" x14ac:dyDescent="0.45">
      <c r="A28" t="s">
        <v>46</v>
      </c>
      <c r="B28" s="1">
        <v>46049</v>
      </c>
      <c r="C28" t="s">
        <v>19</v>
      </c>
      <c r="D28" t="s">
        <v>10</v>
      </c>
      <c r="E28">
        <v>4</v>
      </c>
    </row>
    <row r="29" spans="1:5" x14ac:dyDescent="0.45">
      <c r="A29" t="s">
        <v>47</v>
      </c>
      <c r="B29" s="1">
        <v>46050</v>
      </c>
      <c r="C29" t="s">
        <v>24</v>
      </c>
      <c r="D29" t="s">
        <v>15</v>
      </c>
      <c r="E29">
        <v>2</v>
      </c>
    </row>
    <row r="30" spans="1:5" x14ac:dyDescent="0.45">
      <c r="A30" t="s">
        <v>48</v>
      </c>
      <c r="B30" s="1">
        <v>46051</v>
      </c>
      <c r="C30" t="s">
        <v>29</v>
      </c>
      <c r="D30" t="s">
        <v>7</v>
      </c>
      <c r="E30">
        <v>5</v>
      </c>
    </row>
    <row r="31" spans="1:5" x14ac:dyDescent="0.45">
      <c r="A31" t="s">
        <v>49</v>
      </c>
      <c r="B31" s="1">
        <v>46052</v>
      </c>
      <c r="C31" t="s">
        <v>6</v>
      </c>
      <c r="D31" t="s">
        <v>20</v>
      </c>
      <c r="E31">
        <v>2</v>
      </c>
    </row>
    <row r="32" spans="1:5" x14ac:dyDescent="0.45">
      <c r="A32" t="s">
        <v>50</v>
      </c>
      <c r="B32" s="1">
        <v>46054</v>
      </c>
      <c r="C32" t="s">
        <v>9</v>
      </c>
      <c r="D32" t="s">
        <v>7</v>
      </c>
      <c r="E32">
        <v>3</v>
      </c>
    </row>
    <row r="33" spans="1:5" x14ac:dyDescent="0.45">
      <c r="A33" t="s">
        <v>51</v>
      </c>
      <c r="B33" s="1">
        <v>46055</v>
      </c>
      <c r="C33" t="s">
        <v>12</v>
      </c>
      <c r="D33" t="s">
        <v>10</v>
      </c>
      <c r="E33">
        <v>4</v>
      </c>
    </row>
    <row r="34" spans="1:5" x14ac:dyDescent="0.45">
      <c r="A34" t="s">
        <v>52</v>
      </c>
      <c r="B34" s="1">
        <v>46056</v>
      </c>
      <c r="C34" t="s">
        <v>14</v>
      </c>
      <c r="D34" t="s">
        <v>15</v>
      </c>
      <c r="E34">
        <v>2</v>
      </c>
    </row>
    <row r="35" spans="1:5" x14ac:dyDescent="0.45">
      <c r="A35" t="s">
        <v>53</v>
      </c>
      <c r="B35" s="1">
        <v>46057</v>
      </c>
      <c r="C35" t="s">
        <v>17</v>
      </c>
      <c r="D35" t="s">
        <v>7</v>
      </c>
      <c r="E35">
        <v>1</v>
      </c>
    </row>
    <row r="36" spans="1:5" x14ac:dyDescent="0.45">
      <c r="A36" t="s">
        <v>54</v>
      </c>
      <c r="B36" s="1">
        <v>46058</v>
      </c>
      <c r="C36" t="s">
        <v>19</v>
      </c>
      <c r="D36" t="s">
        <v>20</v>
      </c>
      <c r="E36">
        <v>3</v>
      </c>
    </row>
    <row r="37" spans="1:5" x14ac:dyDescent="0.45">
      <c r="A37" t="s">
        <v>55</v>
      </c>
      <c r="B37" s="1">
        <v>46059</v>
      </c>
      <c r="C37" t="s">
        <v>22</v>
      </c>
      <c r="D37" t="s">
        <v>25</v>
      </c>
      <c r="E37">
        <v>5</v>
      </c>
    </row>
    <row r="38" spans="1:5" x14ac:dyDescent="0.45">
      <c r="A38" t="s">
        <v>56</v>
      </c>
      <c r="B38" s="1">
        <v>46060</v>
      </c>
      <c r="C38" t="s">
        <v>24</v>
      </c>
      <c r="D38" t="s">
        <v>10</v>
      </c>
      <c r="E38">
        <v>2</v>
      </c>
    </row>
    <row r="39" spans="1:5" x14ac:dyDescent="0.45">
      <c r="A39" t="s">
        <v>57</v>
      </c>
      <c r="B39" s="1">
        <v>46061</v>
      </c>
      <c r="C39" t="s">
        <v>27</v>
      </c>
      <c r="D39" t="s">
        <v>7</v>
      </c>
      <c r="E39">
        <v>4</v>
      </c>
    </row>
    <row r="40" spans="1:5" x14ac:dyDescent="0.45">
      <c r="A40" t="s">
        <v>58</v>
      </c>
      <c r="B40" s="1">
        <v>46062</v>
      </c>
      <c r="C40" t="s">
        <v>29</v>
      </c>
      <c r="D40" t="s">
        <v>15</v>
      </c>
      <c r="E40">
        <v>1</v>
      </c>
    </row>
    <row r="41" spans="1:5" x14ac:dyDescent="0.45">
      <c r="A41" t="s">
        <v>59</v>
      </c>
      <c r="B41" s="1">
        <v>46063</v>
      </c>
      <c r="C41" t="s">
        <v>6</v>
      </c>
      <c r="D41" t="s">
        <v>7</v>
      </c>
      <c r="E41">
        <v>3</v>
      </c>
    </row>
    <row r="42" spans="1:5" x14ac:dyDescent="0.45">
      <c r="A42" t="s">
        <v>60</v>
      </c>
      <c r="B42" s="1">
        <v>46064</v>
      </c>
      <c r="C42" t="s">
        <v>9</v>
      </c>
      <c r="D42" t="s">
        <v>25</v>
      </c>
      <c r="E42">
        <v>2</v>
      </c>
    </row>
    <row r="43" spans="1:5" x14ac:dyDescent="0.45">
      <c r="A43" t="s">
        <v>61</v>
      </c>
      <c r="B43" s="1">
        <v>46065</v>
      </c>
      <c r="C43" t="s">
        <v>12</v>
      </c>
      <c r="D43" t="s">
        <v>10</v>
      </c>
      <c r="E43">
        <v>4</v>
      </c>
    </row>
    <row r="44" spans="1:5" x14ac:dyDescent="0.45">
      <c r="A44" t="s">
        <v>62</v>
      </c>
      <c r="B44" s="1">
        <v>46066</v>
      </c>
      <c r="C44" t="s">
        <v>14</v>
      </c>
      <c r="D44" t="s">
        <v>7</v>
      </c>
      <c r="E44">
        <v>5</v>
      </c>
    </row>
    <row r="45" spans="1:5" x14ac:dyDescent="0.45">
      <c r="A45" t="s">
        <v>63</v>
      </c>
      <c r="B45" s="1">
        <v>46067</v>
      </c>
      <c r="C45" t="s">
        <v>17</v>
      </c>
      <c r="D45" t="s">
        <v>20</v>
      </c>
      <c r="E45">
        <v>2</v>
      </c>
    </row>
    <row r="46" spans="1:5" x14ac:dyDescent="0.45">
      <c r="A46" t="s">
        <v>64</v>
      </c>
      <c r="B46" s="1">
        <v>46068</v>
      </c>
      <c r="C46" t="s">
        <v>19</v>
      </c>
      <c r="D46" t="s">
        <v>15</v>
      </c>
      <c r="E46">
        <v>3</v>
      </c>
    </row>
    <row r="47" spans="1:5" x14ac:dyDescent="0.45">
      <c r="A47" t="s">
        <v>65</v>
      </c>
      <c r="B47" s="1">
        <v>46069</v>
      </c>
      <c r="C47" t="s">
        <v>22</v>
      </c>
      <c r="D47" t="s">
        <v>7</v>
      </c>
      <c r="E47">
        <v>1</v>
      </c>
    </row>
    <row r="48" spans="1:5" x14ac:dyDescent="0.45">
      <c r="A48" t="s">
        <v>66</v>
      </c>
      <c r="B48" s="1">
        <v>46070</v>
      </c>
      <c r="C48" t="s">
        <v>24</v>
      </c>
      <c r="D48" t="s">
        <v>10</v>
      </c>
      <c r="E48">
        <v>4</v>
      </c>
    </row>
    <row r="49" spans="1:5" x14ac:dyDescent="0.45">
      <c r="A49" t="s">
        <v>67</v>
      </c>
      <c r="B49" s="1">
        <v>46071</v>
      </c>
      <c r="C49" t="s">
        <v>27</v>
      </c>
      <c r="D49" t="s">
        <v>25</v>
      </c>
      <c r="E49">
        <v>2</v>
      </c>
    </row>
    <row r="50" spans="1:5" x14ac:dyDescent="0.45">
      <c r="A50" t="s">
        <v>68</v>
      </c>
      <c r="B50" s="1">
        <v>46072</v>
      </c>
      <c r="C50" t="s">
        <v>29</v>
      </c>
      <c r="D50" t="s">
        <v>7</v>
      </c>
      <c r="E50">
        <v>3</v>
      </c>
    </row>
    <row r="51" spans="1:5" x14ac:dyDescent="0.45">
      <c r="A51" t="s">
        <v>69</v>
      </c>
      <c r="B51" s="1">
        <v>46073</v>
      </c>
      <c r="C51" t="s">
        <v>6</v>
      </c>
      <c r="D51" t="s">
        <v>15</v>
      </c>
      <c r="E5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29FF-5F48-4760-90B2-EC903ABD8D0C}">
  <dimension ref="A1:D11"/>
  <sheetViews>
    <sheetView workbookViewId="0">
      <selection sqref="A1:D11"/>
    </sheetView>
  </sheetViews>
  <sheetFormatPr baseColWidth="10" defaultRowHeight="14.25" x14ac:dyDescent="0.45"/>
  <cols>
    <col min="1" max="1" width="11.265625" bestFit="1" customWidth="1"/>
    <col min="2" max="2" width="15.19921875" bestFit="1" customWidth="1"/>
    <col min="3" max="3" width="10.796875" bestFit="1" customWidth="1"/>
    <col min="4" max="4" width="6.73046875" bestFit="1" customWidth="1"/>
  </cols>
  <sheetData>
    <row r="1" spans="1:4" x14ac:dyDescent="0.45">
      <c r="A1" t="s">
        <v>2</v>
      </c>
      <c r="B1" t="s">
        <v>70</v>
      </c>
      <c r="C1" t="s">
        <v>71</v>
      </c>
      <c r="D1" t="s">
        <v>72</v>
      </c>
    </row>
    <row r="2" spans="1:4" x14ac:dyDescent="0.45">
      <c r="A2" t="s">
        <v>6</v>
      </c>
      <c r="B2" t="s">
        <v>73</v>
      </c>
      <c r="C2" t="s">
        <v>74</v>
      </c>
      <c r="D2">
        <v>450000</v>
      </c>
    </row>
    <row r="3" spans="1:4" x14ac:dyDescent="0.45">
      <c r="A3" t="s">
        <v>9</v>
      </c>
      <c r="B3" t="s">
        <v>75</v>
      </c>
      <c r="C3" t="s">
        <v>76</v>
      </c>
      <c r="D3">
        <v>10000</v>
      </c>
    </row>
    <row r="4" spans="1:4" x14ac:dyDescent="0.45">
      <c r="A4" t="s">
        <v>12</v>
      </c>
      <c r="B4" t="s">
        <v>77</v>
      </c>
      <c r="C4" t="s">
        <v>74</v>
      </c>
      <c r="D4">
        <v>120000</v>
      </c>
    </row>
    <row r="5" spans="1:4" x14ac:dyDescent="0.45">
      <c r="A5" t="s">
        <v>14</v>
      </c>
      <c r="B5" t="s">
        <v>78</v>
      </c>
      <c r="C5" t="s">
        <v>76</v>
      </c>
      <c r="D5">
        <v>25000</v>
      </c>
    </row>
    <row r="6" spans="1:4" x14ac:dyDescent="0.45">
      <c r="A6" t="s">
        <v>17</v>
      </c>
      <c r="B6" t="s">
        <v>79</v>
      </c>
      <c r="C6" t="s">
        <v>80</v>
      </c>
      <c r="D6">
        <v>30000</v>
      </c>
    </row>
    <row r="7" spans="1:4" x14ac:dyDescent="0.45">
      <c r="A7" t="s">
        <v>19</v>
      </c>
      <c r="B7" t="s">
        <v>81</v>
      </c>
      <c r="C7" t="s">
        <v>74</v>
      </c>
      <c r="D7">
        <v>95000</v>
      </c>
    </row>
    <row r="8" spans="1:4" x14ac:dyDescent="0.45">
      <c r="A8" t="s">
        <v>22</v>
      </c>
      <c r="B8" t="s">
        <v>82</v>
      </c>
      <c r="C8" t="s">
        <v>83</v>
      </c>
      <c r="D8">
        <v>85000</v>
      </c>
    </row>
    <row r="9" spans="1:4" x14ac:dyDescent="0.45">
      <c r="A9" t="s">
        <v>24</v>
      </c>
      <c r="B9" t="s">
        <v>84</v>
      </c>
      <c r="C9" t="s">
        <v>74</v>
      </c>
      <c r="D9">
        <v>55000</v>
      </c>
    </row>
    <row r="10" spans="1:4" x14ac:dyDescent="0.45">
      <c r="A10" t="s">
        <v>27</v>
      </c>
      <c r="B10" t="s">
        <v>85</v>
      </c>
      <c r="C10" t="s">
        <v>74</v>
      </c>
      <c r="D10">
        <v>180000</v>
      </c>
    </row>
    <row r="11" spans="1:4" x14ac:dyDescent="0.45">
      <c r="A11" t="s">
        <v>29</v>
      </c>
      <c r="B11" t="s">
        <v>86</v>
      </c>
      <c r="C11" t="s">
        <v>87</v>
      </c>
      <c r="D11">
        <v>35000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D2E9-40EE-4DD5-A407-9276CFD4FB06}">
  <dimension ref="A1:D11"/>
  <sheetViews>
    <sheetView workbookViewId="0">
      <selection sqref="A1:D11"/>
    </sheetView>
  </sheetViews>
  <sheetFormatPr baseColWidth="10" defaultRowHeight="14.25" x14ac:dyDescent="0.45"/>
  <cols>
    <col min="1" max="1" width="10.9296875" customWidth="1"/>
    <col min="2" max="2" width="15.19921875" bestFit="1" customWidth="1"/>
  </cols>
  <sheetData>
    <row r="1" spans="1:4" x14ac:dyDescent="0.45">
      <c r="A1" t="s">
        <v>2</v>
      </c>
      <c r="B1" t="s">
        <v>70</v>
      </c>
      <c r="C1" t="s">
        <v>71</v>
      </c>
      <c r="D1" t="s">
        <v>72</v>
      </c>
    </row>
    <row r="2" spans="1:4" x14ac:dyDescent="0.45">
      <c r="A2" t="s">
        <v>6</v>
      </c>
      <c r="B2" t="s">
        <v>73</v>
      </c>
      <c r="C2" t="s">
        <v>74</v>
      </c>
      <c r="D2">
        <v>450000</v>
      </c>
    </row>
    <row r="3" spans="1:4" x14ac:dyDescent="0.45">
      <c r="A3" t="s">
        <v>9</v>
      </c>
      <c r="B3" t="s">
        <v>75</v>
      </c>
      <c r="C3" t="s">
        <v>76</v>
      </c>
      <c r="D3">
        <v>10000</v>
      </c>
    </row>
    <row r="4" spans="1:4" x14ac:dyDescent="0.45">
      <c r="A4" t="s">
        <v>12</v>
      </c>
      <c r="B4" t="s">
        <v>77</v>
      </c>
      <c r="C4" t="s">
        <v>74</v>
      </c>
      <c r="D4">
        <v>120000</v>
      </c>
    </row>
    <row r="5" spans="1:4" x14ac:dyDescent="0.45">
      <c r="A5" t="s">
        <v>14</v>
      </c>
      <c r="B5" t="s">
        <v>78</v>
      </c>
      <c r="C5" t="s">
        <v>76</v>
      </c>
      <c r="D5">
        <v>25000</v>
      </c>
    </row>
    <row r="6" spans="1:4" x14ac:dyDescent="0.45">
      <c r="A6" t="s">
        <v>17</v>
      </c>
      <c r="B6" t="s">
        <v>79</v>
      </c>
      <c r="C6" t="s">
        <v>80</v>
      </c>
      <c r="D6">
        <v>30000</v>
      </c>
    </row>
    <row r="7" spans="1:4" x14ac:dyDescent="0.45">
      <c r="A7" t="s">
        <v>19</v>
      </c>
      <c r="B7" t="s">
        <v>81</v>
      </c>
      <c r="C7" t="s">
        <v>74</v>
      </c>
      <c r="D7">
        <v>95000</v>
      </c>
    </row>
    <row r="8" spans="1:4" x14ac:dyDescent="0.45">
      <c r="A8" t="s">
        <v>22</v>
      </c>
      <c r="B8" t="s">
        <v>82</v>
      </c>
      <c r="C8" t="s">
        <v>83</v>
      </c>
      <c r="D8">
        <v>85000</v>
      </c>
    </row>
    <row r="9" spans="1:4" x14ac:dyDescent="0.45">
      <c r="A9" t="s">
        <v>24</v>
      </c>
      <c r="B9" t="s">
        <v>84</v>
      </c>
      <c r="C9" t="s">
        <v>74</v>
      </c>
      <c r="D9">
        <v>55000</v>
      </c>
    </row>
    <row r="10" spans="1:4" x14ac:dyDescent="0.45">
      <c r="A10" t="s">
        <v>27</v>
      </c>
      <c r="B10" t="s">
        <v>85</v>
      </c>
      <c r="C10" t="s">
        <v>74</v>
      </c>
      <c r="D10">
        <v>180000</v>
      </c>
    </row>
    <row r="11" spans="1:4" x14ac:dyDescent="0.45">
      <c r="A11" t="s">
        <v>29</v>
      </c>
      <c r="B11" t="s">
        <v>86</v>
      </c>
      <c r="C11" t="s">
        <v>87</v>
      </c>
      <c r="D11">
        <v>35000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F5C0-32BA-46AA-94B1-6F14D7A0E396}">
  <dimension ref="A1:C6"/>
  <sheetViews>
    <sheetView workbookViewId="0">
      <selection sqref="A1:C6"/>
    </sheetView>
  </sheetViews>
  <sheetFormatPr baseColWidth="10" defaultRowHeight="14.25" x14ac:dyDescent="0.45"/>
  <cols>
    <col min="1" max="1" width="12.19921875" bestFit="1" customWidth="1"/>
    <col min="2" max="2" width="12.53125" bestFit="1" customWidth="1"/>
    <col min="3" max="3" width="9.53125" bestFit="1" customWidth="1"/>
  </cols>
  <sheetData>
    <row r="1" spans="1:3" x14ac:dyDescent="0.45">
      <c r="A1" t="s">
        <v>3</v>
      </c>
      <c r="B1" t="s">
        <v>88</v>
      </c>
      <c r="C1" t="s">
        <v>89</v>
      </c>
    </row>
    <row r="2" spans="1:3" x14ac:dyDescent="0.45">
      <c r="A2" t="s">
        <v>7</v>
      </c>
      <c r="B2" t="s">
        <v>90</v>
      </c>
      <c r="C2" t="s">
        <v>91</v>
      </c>
    </row>
    <row r="3" spans="1:3" x14ac:dyDescent="0.45">
      <c r="A3" t="s">
        <v>20</v>
      </c>
      <c r="B3" t="s">
        <v>96</v>
      </c>
      <c r="C3" t="s">
        <v>91</v>
      </c>
    </row>
    <row r="4" spans="1:3" x14ac:dyDescent="0.45">
      <c r="A4" t="s">
        <v>10</v>
      </c>
      <c r="B4" t="s">
        <v>92</v>
      </c>
      <c r="C4" t="s">
        <v>93</v>
      </c>
    </row>
    <row r="5" spans="1:3" x14ac:dyDescent="0.45">
      <c r="A5" t="s">
        <v>15</v>
      </c>
      <c r="B5" t="s">
        <v>94</v>
      </c>
      <c r="C5" t="s">
        <v>95</v>
      </c>
    </row>
    <row r="6" spans="1:3" x14ac:dyDescent="0.45">
      <c r="A6" t="s">
        <v>25</v>
      </c>
      <c r="B6" t="s">
        <v>97</v>
      </c>
      <c r="C6" t="s">
        <v>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FBAB-0D26-4057-9BF1-D883A40BF36D}">
  <dimension ref="A1:C6"/>
  <sheetViews>
    <sheetView workbookViewId="0">
      <selection sqref="A1:C6"/>
    </sheetView>
  </sheetViews>
  <sheetFormatPr baseColWidth="10" defaultRowHeight="14.25" x14ac:dyDescent="0.45"/>
  <cols>
    <col min="1" max="1" width="11.86328125" customWidth="1"/>
  </cols>
  <sheetData>
    <row r="1" spans="1:3" x14ac:dyDescent="0.45">
      <c r="A1" t="s">
        <v>3</v>
      </c>
      <c r="B1" t="s">
        <v>88</v>
      </c>
      <c r="C1" t="s">
        <v>89</v>
      </c>
    </row>
    <row r="2" spans="1:3" x14ac:dyDescent="0.45">
      <c r="A2" t="s">
        <v>7</v>
      </c>
      <c r="B2" t="s">
        <v>90</v>
      </c>
      <c r="C2" t="s">
        <v>91</v>
      </c>
    </row>
    <row r="3" spans="1:3" x14ac:dyDescent="0.45">
      <c r="A3" t="s">
        <v>10</v>
      </c>
      <c r="B3" t="s">
        <v>92</v>
      </c>
      <c r="C3" t="s">
        <v>93</v>
      </c>
    </row>
    <row r="4" spans="1:3" x14ac:dyDescent="0.45">
      <c r="A4" t="s">
        <v>15</v>
      </c>
      <c r="B4" t="s">
        <v>94</v>
      </c>
      <c r="C4" t="s">
        <v>95</v>
      </c>
    </row>
    <row r="5" spans="1:3" x14ac:dyDescent="0.45">
      <c r="A5" t="s">
        <v>20</v>
      </c>
      <c r="B5" t="s">
        <v>96</v>
      </c>
      <c r="C5" t="s">
        <v>91</v>
      </c>
    </row>
    <row r="6" spans="1:3" x14ac:dyDescent="0.45">
      <c r="A6" t="s">
        <v>25</v>
      </c>
      <c r="B6" t="s">
        <v>97</v>
      </c>
      <c r="C6" t="s">
        <v>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1088-4EE1-4D1F-ADCF-7ADB6029EBCD}">
  <dimension ref="A1:D366"/>
  <sheetViews>
    <sheetView workbookViewId="0">
      <selection activeCell="A3" sqref="A3"/>
    </sheetView>
  </sheetViews>
  <sheetFormatPr baseColWidth="10" defaultRowHeight="14.25" x14ac:dyDescent="0.45"/>
  <cols>
    <col min="1" max="1" width="14.796875" bestFit="1" customWidth="1"/>
    <col min="2" max="2" width="8" bestFit="1" customWidth="1"/>
    <col min="3" max="3" width="6.6640625" bestFit="1" customWidth="1"/>
    <col min="4" max="4" width="10.59765625" bestFit="1" customWidth="1"/>
  </cols>
  <sheetData>
    <row r="1" spans="1:4" x14ac:dyDescent="0.45">
      <c r="A1" t="s">
        <v>1</v>
      </c>
      <c r="B1" t="s">
        <v>99</v>
      </c>
      <c r="C1" t="s">
        <v>100</v>
      </c>
      <c r="D1" t="s">
        <v>101</v>
      </c>
    </row>
    <row r="2" spans="1:4" x14ac:dyDescent="0.45">
      <c r="A2" s="2">
        <v>46204</v>
      </c>
      <c r="B2">
        <v>2026</v>
      </c>
      <c r="C2">
        <v>7</v>
      </c>
      <c r="D2">
        <v>3</v>
      </c>
    </row>
    <row r="3" spans="1:4" x14ac:dyDescent="0.45">
      <c r="A3" s="2">
        <v>46205</v>
      </c>
      <c r="B3">
        <v>2026</v>
      </c>
      <c r="C3">
        <v>7</v>
      </c>
      <c r="D3">
        <v>3</v>
      </c>
    </row>
    <row r="4" spans="1:4" x14ac:dyDescent="0.45">
      <c r="A4" s="2">
        <v>46206</v>
      </c>
      <c r="B4">
        <v>2026</v>
      </c>
      <c r="C4">
        <v>7</v>
      </c>
      <c r="D4">
        <v>3</v>
      </c>
    </row>
    <row r="5" spans="1:4" x14ac:dyDescent="0.45">
      <c r="A5" s="2">
        <v>46207</v>
      </c>
      <c r="B5">
        <v>2026</v>
      </c>
      <c r="C5">
        <v>7</v>
      </c>
      <c r="D5">
        <v>3</v>
      </c>
    </row>
    <row r="6" spans="1:4" x14ac:dyDescent="0.45">
      <c r="A6" s="2">
        <v>46208</v>
      </c>
      <c r="B6">
        <v>2026</v>
      </c>
      <c r="C6">
        <v>7</v>
      </c>
      <c r="D6">
        <v>3</v>
      </c>
    </row>
    <row r="7" spans="1:4" x14ac:dyDescent="0.45">
      <c r="A7" s="2">
        <v>46209</v>
      </c>
      <c r="B7">
        <v>2026</v>
      </c>
      <c r="C7">
        <v>7</v>
      </c>
      <c r="D7">
        <v>3</v>
      </c>
    </row>
    <row r="8" spans="1:4" x14ac:dyDescent="0.45">
      <c r="A8" s="2">
        <v>46210</v>
      </c>
      <c r="B8">
        <v>2026</v>
      </c>
      <c r="C8">
        <v>7</v>
      </c>
      <c r="D8">
        <v>3</v>
      </c>
    </row>
    <row r="9" spans="1:4" x14ac:dyDescent="0.45">
      <c r="A9" s="2">
        <v>46211</v>
      </c>
      <c r="B9">
        <v>2026</v>
      </c>
      <c r="C9">
        <v>7</v>
      </c>
      <c r="D9">
        <v>3</v>
      </c>
    </row>
    <row r="10" spans="1:4" x14ac:dyDescent="0.45">
      <c r="A10" s="2">
        <v>46212</v>
      </c>
      <c r="B10">
        <v>2026</v>
      </c>
      <c r="C10">
        <v>7</v>
      </c>
      <c r="D10">
        <v>3</v>
      </c>
    </row>
    <row r="11" spans="1:4" x14ac:dyDescent="0.45">
      <c r="A11" s="2">
        <v>46213</v>
      </c>
      <c r="B11">
        <v>2026</v>
      </c>
      <c r="C11">
        <v>7</v>
      </c>
      <c r="D11">
        <v>3</v>
      </c>
    </row>
    <row r="12" spans="1:4" x14ac:dyDescent="0.45">
      <c r="A12" s="2">
        <v>46214</v>
      </c>
      <c r="B12">
        <v>2026</v>
      </c>
      <c r="C12">
        <v>7</v>
      </c>
      <c r="D12">
        <v>3</v>
      </c>
    </row>
    <row r="13" spans="1:4" x14ac:dyDescent="0.45">
      <c r="A13" s="2">
        <v>46215</v>
      </c>
      <c r="B13">
        <v>2026</v>
      </c>
      <c r="C13">
        <v>7</v>
      </c>
      <c r="D13">
        <v>3</v>
      </c>
    </row>
    <row r="14" spans="1:4" x14ac:dyDescent="0.45">
      <c r="A14" s="2">
        <v>46216</v>
      </c>
      <c r="B14">
        <v>2026</v>
      </c>
      <c r="C14">
        <v>7</v>
      </c>
      <c r="D14">
        <v>3</v>
      </c>
    </row>
    <row r="15" spans="1:4" x14ac:dyDescent="0.45">
      <c r="A15" s="2">
        <v>46217</v>
      </c>
      <c r="B15">
        <v>2026</v>
      </c>
      <c r="C15">
        <v>7</v>
      </c>
      <c r="D15">
        <v>3</v>
      </c>
    </row>
    <row r="16" spans="1:4" x14ac:dyDescent="0.45">
      <c r="A16" s="2">
        <v>46218</v>
      </c>
      <c r="B16">
        <v>2026</v>
      </c>
      <c r="C16">
        <v>7</v>
      </c>
      <c r="D16">
        <v>3</v>
      </c>
    </row>
    <row r="17" spans="1:4" x14ac:dyDescent="0.45">
      <c r="A17" s="2">
        <v>46219</v>
      </c>
      <c r="B17">
        <v>2026</v>
      </c>
      <c r="C17">
        <v>7</v>
      </c>
      <c r="D17">
        <v>3</v>
      </c>
    </row>
    <row r="18" spans="1:4" x14ac:dyDescent="0.45">
      <c r="A18" s="2">
        <v>46220</v>
      </c>
      <c r="B18">
        <v>2026</v>
      </c>
      <c r="C18">
        <v>7</v>
      </c>
      <c r="D18">
        <v>3</v>
      </c>
    </row>
    <row r="19" spans="1:4" x14ac:dyDescent="0.45">
      <c r="A19" s="2">
        <v>46221</v>
      </c>
      <c r="B19">
        <v>2026</v>
      </c>
      <c r="C19">
        <v>7</v>
      </c>
      <c r="D19">
        <v>3</v>
      </c>
    </row>
    <row r="20" spans="1:4" x14ac:dyDescent="0.45">
      <c r="A20" s="2">
        <v>46222</v>
      </c>
      <c r="B20">
        <v>2026</v>
      </c>
      <c r="C20">
        <v>7</v>
      </c>
      <c r="D20">
        <v>3</v>
      </c>
    </row>
    <row r="21" spans="1:4" x14ac:dyDescent="0.45">
      <c r="A21" s="2">
        <v>46223</v>
      </c>
      <c r="B21">
        <v>2026</v>
      </c>
      <c r="C21">
        <v>7</v>
      </c>
      <c r="D21">
        <v>3</v>
      </c>
    </row>
    <row r="22" spans="1:4" x14ac:dyDescent="0.45">
      <c r="A22" s="2">
        <v>46224</v>
      </c>
      <c r="B22">
        <v>2026</v>
      </c>
      <c r="C22">
        <v>7</v>
      </c>
      <c r="D22">
        <v>3</v>
      </c>
    </row>
    <row r="23" spans="1:4" x14ac:dyDescent="0.45">
      <c r="A23" s="2">
        <v>46225</v>
      </c>
      <c r="B23">
        <v>2026</v>
      </c>
      <c r="C23">
        <v>7</v>
      </c>
      <c r="D23">
        <v>3</v>
      </c>
    </row>
    <row r="24" spans="1:4" x14ac:dyDescent="0.45">
      <c r="A24" s="2">
        <v>46226</v>
      </c>
      <c r="B24">
        <v>2026</v>
      </c>
      <c r="C24">
        <v>7</v>
      </c>
      <c r="D24">
        <v>3</v>
      </c>
    </row>
    <row r="25" spans="1:4" x14ac:dyDescent="0.45">
      <c r="A25" s="2">
        <v>46227</v>
      </c>
      <c r="B25">
        <v>2026</v>
      </c>
      <c r="C25">
        <v>7</v>
      </c>
      <c r="D25">
        <v>3</v>
      </c>
    </row>
    <row r="26" spans="1:4" x14ac:dyDescent="0.45">
      <c r="A26" s="2">
        <v>46228</v>
      </c>
      <c r="B26">
        <v>2026</v>
      </c>
      <c r="C26">
        <v>7</v>
      </c>
      <c r="D26">
        <v>3</v>
      </c>
    </row>
    <row r="27" spans="1:4" x14ac:dyDescent="0.45">
      <c r="A27" s="2">
        <v>46229</v>
      </c>
      <c r="B27">
        <v>2026</v>
      </c>
      <c r="C27">
        <v>7</v>
      </c>
      <c r="D27">
        <v>3</v>
      </c>
    </row>
    <row r="28" spans="1:4" x14ac:dyDescent="0.45">
      <c r="A28" s="2">
        <v>46230</v>
      </c>
      <c r="B28">
        <v>2026</v>
      </c>
      <c r="C28">
        <v>7</v>
      </c>
      <c r="D28">
        <v>3</v>
      </c>
    </row>
    <row r="29" spans="1:4" x14ac:dyDescent="0.45">
      <c r="A29" s="2">
        <v>46231</v>
      </c>
      <c r="B29">
        <v>2026</v>
      </c>
      <c r="C29">
        <v>7</v>
      </c>
      <c r="D29">
        <v>3</v>
      </c>
    </row>
    <row r="30" spans="1:4" x14ac:dyDescent="0.45">
      <c r="A30" s="2">
        <v>46232</v>
      </c>
      <c r="B30">
        <v>2026</v>
      </c>
      <c r="C30">
        <v>7</v>
      </c>
      <c r="D30">
        <v>3</v>
      </c>
    </row>
    <row r="31" spans="1:4" x14ac:dyDescent="0.45">
      <c r="A31" s="2">
        <v>46233</v>
      </c>
      <c r="B31">
        <v>2026</v>
      </c>
      <c r="C31">
        <v>7</v>
      </c>
      <c r="D31">
        <v>3</v>
      </c>
    </row>
    <row r="32" spans="1:4" x14ac:dyDescent="0.45">
      <c r="A32" s="2">
        <v>46234</v>
      </c>
      <c r="B32">
        <v>2026</v>
      </c>
      <c r="C32">
        <v>7</v>
      </c>
      <c r="D32">
        <v>3</v>
      </c>
    </row>
    <row r="33" spans="1:4" x14ac:dyDescent="0.45">
      <c r="A33" s="2">
        <v>46235</v>
      </c>
      <c r="B33">
        <v>2026</v>
      </c>
      <c r="C33">
        <v>8</v>
      </c>
      <c r="D33">
        <v>3</v>
      </c>
    </row>
    <row r="34" spans="1:4" x14ac:dyDescent="0.45">
      <c r="A34" s="2">
        <v>46236</v>
      </c>
      <c r="B34">
        <v>2026</v>
      </c>
      <c r="C34">
        <v>8</v>
      </c>
      <c r="D34">
        <v>3</v>
      </c>
    </row>
    <row r="35" spans="1:4" x14ac:dyDescent="0.45">
      <c r="A35" s="2">
        <v>46237</v>
      </c>
      <c r="B35">
        <v>2026</v>
      </c>
      <c r="C35">
        <v>8</v>
      </c>
      <c r="D35">
        <v>3</v>
      </c>
    </row>
    <row r="36" spans="1:4" x14ac:dyDescent="0.45">
      <c r="A36" s="2">
        <v>46238</v>
      </c>
      <c r="B36">
        <v>2026</v>
      </c>
      <c r="C36">
        <v>8</v>
      </c>
      <c r="D36">
        <v>3</v>
      </c>
    </row>
    <row r="37" spans="1:4" x14ac:dyDescent="0.45">
      <c r="A37" s="2">
        <v>46239</v>
      </c>
      <c r="B37">
        <v>2026</v>
      </c>
      <c r="C37">
        <v>8</v>
      </c>
      <c r="D37">
        <v>3</v>
      </c>
    </row>
    <row r="38" spans="1:4" x14ac:dyDescent="0.45">
      <c r="A38" s="2">
        <v>46240</v>
      </c>
      <c r="B38">
        <v>2026</v>
      </c>
      <c r="C38">
        <v>8</v>
      </c>
      <c r="D38">
        <v>3</v>
      </c>
    </row>
    <row r="39" spans="1:4" x14ac:dyDescent="0.45">
      <c r="A39" s="2">
        <v>46241</v>
      </c>
      <c r="B39">
        <v>2026</v>
      </c>
      <c r="C39">
        <v>8</v>
      </c>
      <c r="D39">
        <v>3</v>
      </c>
    </row>
    <row r="40" spans="1:4" x14ac:dyDescent="0.45">
      <c r="A40" s="2">
        <v>46242</v>
      </c>
      <c r="B40">
        <v>2026</v>
      </c>
      <c r="C40">
        <v>8</v>
      </c>
      <c r="D40">
        <v>3</v>
      </c>
    </row>
    <row r="41" spans="1:4" x14ac:dyDescent="0.45">
      <c r="A41" s="2">
        <v>46243</v>
      </c>
      <c r="B41">
        <v>2026</v>
      </c>
      <c r="C41">
        <v>8</v>
      </c>
      <c r="D41">
        <v>3</v>
      </c>
    </row>
    <row r="42" spans="1:4" x14ac:dyDescent="0.45">
      <c r="A42" s="2">
        <v>46244</v>
      </c>
      <c r="B42">
        <v>2026</v>
      </c>
      <c r="C42">
        <v>8</v>
      </c>
      <c r="D42">
        <v>3</v>
      </c>
    </row>
    <row r="43" spans="1:4" x14ac:dyDescent="0.45">
      <c r="A43" s="2">
        <v>46245</v>
      </c>
      <c r="B43">
        <v>2026</v>
      </c>
      <c r="C43">
        <v>8</v>
      </c>
      <c r="D43">
        <v>3</v>
      </c>
    </row>
    <row r="44" spans="1:4" x14ac:dyDescent="0.45">
      <c r="A44" s="2">
        <v>46246</v>
      </c>
      <c r="B44">
        <v>2026</v>
      </c>
      <c r="C44">
        <v>8</v>
      </c>
      <c r="D44">
        <v>3</v>
      </c>
    </row>
    <row r="45" spans="1:4" x14ac:dyDescent="0.45">
      <c r="A45" s="2">
        <v>46247</v>
      </c>
      <c r="B45">
        <v>2026</v>
      </c>
      <c r="C45">
        <v>8</v>
      </c>
      <c r="D45">
        <v>3</v>
      </c>
    </row>
    <row r="46" spans="1:4" x14ac:dyDescent="0.45">
      <c r="A46" s="2">
        <v>46248</v>
      </c>
      <c r="B46">
        <v>2026</v>
      </c>
      <c r="C46">
        <v>8</v>
      </c>
      <c r="D46">
        <v>3</v>
      </c>
    </row>
    <row r="47" spans="1:4" x14ac:dyDescent="0.45">
      <c r="A47" s="2">
        <v>46249</v>
      </c>
      <c r="B47">
        <v>2026</v>
      </c>
      <c r="C47">
        <v>8</v>
      </c>
      <c r="D47">
        <v>3</v>
      </c>
    </row>
    <row r="48" spans="1:4" x14ac:dyDescent="0.45">
      <c r="A48" s="2">
        <v>46250</v>
      </c>
      <c r="B48">
        <v>2026</v>
      </c>
      <c r="C48">
        <v>8</v>
      </c>
      <c r="D48">
        <v>3</v>
      </c>
    </row>
    <row r="49" spans="1:4" x14ac:dyDescent="0.45">
      <c r="A49" s="2">
        <v>46251</v>
      </c>
      <c r="B49">
        <v>2026</v>
      </c>
      <c r="C49">
        <v>8</v>
      </c>
      <c r="D49">
        <v>3</v>
      </c>
    </row>
    <row r="50" spans="1:4" x14ac:dyDescent="0.45">
      <c r="A50" s="2">
        <v>46252</v>
      </c>
      <c r="B50">
        <v>2026</v>
      </c>
      <c r="C50">
        <v>8</v>
      </c>
      <c r="D50">
        <v>3</v>
      </c>
    </row>
    <row r="51" spans="1:4" x14ac:dyDescent="0.45">
      <c r="A51" s="2">
        <v>46253</v>
      </c>
      <c r="B51">
        <v>2026</v>
      </c>
      <c r="C51">
        <v>8</v>
      </c>
      <c r="D51">
        <v>3</v>
      </c>
    </row>
    <row r="52" spans="1:4" x14ac:dyDescent="0.45">
      <c r="A52" s="2">
        <v>46254</v>
      </c>
      <c r="B52">
        <v>2026</v>
      </c>
      <c r="C52">
        <v>8</v>
      </c>
      <c r="D52">
        <v>3</v>
      </c>
    </row>
    <row r="53" spans="1:4" x14ac:dyDescent="0.45">
      <c r="A53" s="2">
        <v>46255</v>
      </c>
      <c r="B53">
        <v>2026</v>
      </c>
      <c r="C53">
        <v>8</v>
      </c>
      <c r="D53">
        <v>3</v>
      </c>
    </row>
    <row r="54" spans="1:4" x14ac:dyDescent="0.45">
      <c r="A54" s="2">
        <v>46256</v>
      </c>
      <c r="B54">
        <v>2026</v>
      </c>
      <c r="C54">
        <v>8</v>
      </c>
      <c r="D54">
        <v>3</v>
      </c>
    </row>
    <row r="55" spans="1:4" x14ac:dyDescent="0.45">
      <c r="A55" s="2">
        <v>46257</v>
      </c>
      <c r="B55">
        <v>2026</v>
      </c>
      <c r="C55">
        <v>8</v>
      </c>
      <c r="D55">
        <v>3</v>
      </c>
    </row>
    <row r="56" spans="1:4" x14ac:dyDescent="0.45">
      <c r="A56" s="2">
        <v>46258</v>
      </c>
      <c r="B56">
        <v>2026</v>
      </c>
      <c r="C56">
        <v>8</v>
      </c>
      <c r="D56">
        <v>3</v>
      </c>
    </row>
    <row r="57" spans="1:4" x14ac:dyDescent="0.45">
      <c r="A57" s="2">
        <v>46259</v>
      </c>
      <c r="B57">
        <v>2026</v>
      </c>
      <c r="C57">
        <v>8</v>
      </c>
      <c r="D57">
        <v>3</v>
      </c>
    </row>
    <row r="58" spans="1:4" x14ac:dyDescent="0.45">
      <c r="A58" s="2">
        <v>46260</v>
      </c>
      <c r="B58">
        <v>2026</v>
      </c>
      <c r="C58">
        <v>8</v>
      </c>
      <c r="D58">
        <v>3</v>
      </c>
    </row>
    <row r="59" spans="1:4" x14ac:dyDescent="0.45">
      <c r="A59" s="2">
        <v>46261</v>
      </c>
      <c r="B59">
        <v>2026</v>
      </c>
      <c r="C59">
        <v>8</v>
      </c>
      <c r="D59">
        <v>3</v>
      </c>
    </row>
    <row r="60" spans="1:4" x14ac:dyDescent="0.45">
      <c r="A60" s="2">
        <v>46262</v>
      </c>
      <c r="B60">
        <v>2026</v>
      </c>
      <c r="C60">
        <v>8</v>
      </c>
      <c r="D60">
        <v>3</v>
      </c>
    </row>
    <row r="61" spans="1:4" x14ac:dyDescent="0.45">
      <c r="A61" s="2">
        <v>46263</v>
      </c>
      <c r="B61">
        <v>2026</v>
      </c>
      <c r="C61">
        <v>8</v>
      </c>
      <c r="D61">
        <v>3</v>
      </c>
    </row>
    <row r="62" spans="1:4" x14ac:dyDescent="0.45">
      <c r="A62" s="2">
        <v>46264</v>
      </c>
      <c r="B62">
        <v>2026</v>
      </c>
      <c r="C62">
        <v>8</v>
      </c>
      <c r="D62">
        <v>3</v>
      </c>
    </row>
    <row r="63" spans="1:4" x14ac:dyDescent="0.45">
      <c r="A63" s="2">
        <v>46265</v>
      </c>
      <c r="B63">
        <v>2026</v>
      </c>
      <c r="C63">
        <v>8</v>
      </c>
      <c r="D63">
        <v>3</v>
      </c>
    </row>
    <row r="64" spans="1:4" x14ac:dyDescent="0.45">
      <c r="A64" s="2">
        <v>46266</v>
      </c>
      <c r="B64">
        <v>2026</v>
      </c>
      <c r="C64">
        <v>9</v>
      </c>
      <c r="D64">
        <v>3</v>
      </c>
    </row>
    <row r="65" spans="1:4" x14ac:dyDescent="0.45">
      <c r="A65" s="2">
        <v>46267</v>
      </c>
      <c r="B65">
        <v>2026</v>
      </c>
      <c r="C65">
        <v>9</v>
      </c>
      <c r="D65">
        <v>3</v>
      </c>
    </row>
    <row r="66" spans="1:4" x14ac:dyDescent="0.45">
      <c r="A66" s="2">
        <v>46268</v>
      </c>
      <c r="B66">
        <v>2026</v>
      </c>
      <c r="C66">
        <v>9</v>
      </c>
      <c r="D66">
        <v>3</v>
      </c>
    </row>
    <row r="67" spans="1:4" x14ac:dyDescent="0.45">
      <c r="A67" s="2">
        <v>46269</v>
      </c>
      <c r="B67">
        <v>2026</v>
      </c>
      <c r="C67">
        <v>9</v>
      </c>
      <c r="D67">
        <v>3</v>
      </c>
    </row>
    <row r="68" spans="1:4" x14ac:dyDescent="0.45">
      <c r="A68" s="2">
        <v>46270</v>
      </c>
      <c r="B68">
        <v>2026</v>
      </c>
      <c r="C68">
        <v>9</v>
      </c>
      <c r="D68">
        <v>3</v>
      </c>
    </row>
    <row r="69" spans="1:4" x14ac:dyDescent="0.45">
      <c r="A69" s="2">
        <v>46271</v>
      </c>
      <c r="B69">
        <v>2026</v>
      </c>
      <c r="C69">
        <v>9</v>
      </c>
      <c r="D69">
        <v>3</v>
      </c>
    </row>
    <row r="70" spans="1:4" x14ac:dyDescent="0.45">
      <c r="A70" s="2">
        <v>46272</v>
      </c>
      <c r="B70">
        <v>2026</v>
      </c>
      <c r="C70">
        <v>9</v>
      </c>
      <c r="D70">
        <v>3</v>
      </c>
    </row>
    <row r="71" spans="1:4" x14ac:dyDescent="0.45">
      <c r="A71" s="2">
        <v>46273</v>
      </c>
      <c r="B71">
        <v>2026</v>
      </c>
      <c r="C71">
        <v>9</v>
      </c>
      <c r="D71">
        <v>3</v>
      </c>
    </row>
    <row r="72" spans="1:4" x14ac:dyDescent="0.45">
      <c r="A72" s="2">
        <v>46274</v>
      </c>
      <c r="B72">
        <v>2026</v>
      </c>
      <c r="C72">
        <v>9</v>
      </c>
      <c r="D72">
        <v>3</v>
      </c>
    </row>
    <row r="73" spans="1:4" x14ac:dyDescent="0.45">
      <c r="A73" s="2">
        <v>46275</v>
      </c>
      <c r="B73">
        <v>2026</v>
      </c>
      <c r="C73">
        <v>9</v>
      </c>
      <c r="D73">
        <v>3</v>
      </c>
    </row>
    <row r="74" spans="1:4" x14ac:dyDescent="0.45">
      <c r="A74" s="2">
        <v>46276</v>
      </c>
      <c r="B74">
        <v>2026</v>
      </c>
      <c r="C74">
        <v>9</v>
      </c>
      <c r="D74">
        <v>3</v>
      </c>
    </row>
    <row r="75" spans="1:4" x14ac:dyDescent="0.45">
      <c r="A75" s="2">
        <v>46277</v>
      </c>
      <c r="B75">
        <v>2026</v>
      </c>
      <c r="C75">
        <v>9</v>
      </c>
      <c r="D75">
        <v>3</v>
      </c>
    </row>
    <row r="76" spans="1:4" x14ac:dyDescent="0.45">
      <c r="A76" s="2">
        <v>46278</v>
      </c>
      <c r="B76">
        <v>2026</v>
      </c>
      <c r="C76">
        <v>9</v>
      </c>
      <c r="D76">
        <v>3</v>
      </c>
    </row>
    <row r="77" spans="1:4" x14ac:dyDescent="0.45">
      <c r="A77" s="2">
        <v>46279</v>
      </c>
      <c r="B77">
        <v>2026</v>
      </c>
      <c r="C77">
        <v>9</v>
      </c>
      <c r="D77">
        <v>3</v>
      </c>
    </row>
    <row r="78" spans="1:4" x14ac:dyDescent="0.45">
      <c r="A78" s="2">
        <v>46280</v>
      </c>
      <c r="B78">
        <v>2026</v>
      </c>
      <c r="C78">
        <v>9</v>
      </c>
      <c r="D78">
        <v>3</v>
      </c>
    </row>
    <row r="79" spans="1:4" x14ac:dyDescent="0.45">
      <c r="A79" s="2">
        <v>46281</v>
      </c>
      <c r="B79">
        <v>2026</v>
      </c>
      <c r="C79">
        <v>9</v>
      </c>
      <c r="D79">
        <v>3</v>
      </c>
    </row>
    <row r="80" spans="1:4" x14ac:dyDescent="0.45">
      <c r="A80" s="2">
        <v>46282</v>
      </c>
      <c r="B80">
        <v>2026</v>
      </c>
      <c r="C80">
        <v>9</v>
      </c>
      <c r="D80">
        <v>3</v>
      </c>
    </row>
    <row r="81" spans="1:4" x14ac:dyDescent="0.45">
      <c r="A81" s="2">
        <v>46283</v>
      </c>
      <c r="B81">
        <v>2026</v>
      </c>
      <c r="C81">
        <v>9</v>
      </c>
      <c r="D81">
        <v>3</v>
      </c>
    </row>
    <row r="82" spans="1:4" x14ac:dyDescent="0.45">
      <c r="A82" s="2">
        <v>46284</v>
      </c>
      <c r="B82">
        <v>2026</v>
      </c>
      <c r="C82">
        <v>9</v>
      </c>
      <c r="D82">
        <v>3</v>
      </c>
    </row>
    <row r="83" spans="1:4" x14ac:dyDescent="0.45">
      <c r="A83" s="2">
        <v>46285</v>
      </c>
      <c r="B83">
        <v>2026</v>
      </c>
      <c r="C83">
        <v>9</v>
      </c>
      <c r="D83">
        <v>3</v>
      </c>
    </row>
    <row r="84" spans="1:4" x14ac:dyDescent="0.45">
      <c r="A84" s="2">
        <v>46286</v>
      </c>
      <c r="B84">
        <v>2026</v>
      </c>
      <c r="C84">
        <v>9</v>
      </c>
      <c r="D84">
        <v>3</v>
      </c>
    </row>
    <row r="85" spans="1:4" x14ac:dyDescent="0.45">
      <c r="A85" s="2">
        <v>46287</v>
      </c>
      <c r="B85">
        <v>2026</v>
      </c>
      <c r="C85">
        <v>9</v>
      </c>
      <c r="D85">
        <v>3</v>
      </c>
    </row>
    <row r="86" spans="1:4" x14ac:dyDescent="0.45">
      <c r="A86" s="2">
        <v>46288</v>
      </c>
      <c r="B86">
        <v>2026</v>
      </c>
      <c r="C86">
        <v>9</v>
      </c>
      <c r="D86">
        <v>3</v>
      </c>
    </row>
    <row r="87" spans="1:4" x14ac:dyDescent="0.45">
      <c r="A87" s="2">
        <v>46289</v>
      </c>
      <c r="B87">
        <v>2026</v>
      </c>
      <c r="C87">
        <v>9</v>
      </c>
      <c r="D87">
        <v>3</v>
      </c>
    </row>
    <row r="88" spans="1:4" x14ac:dyDescent="0.45">
      <c r="A88" s="2">
        <v>46290</v>
      </c>
      <c r="B88">
        <v>2026</v>
      </c>
      <c r="C88">
        <v>9</v>
      </c>
      <c r="D88">
        <v>3</v>
      </c>
    </row>
    <row r="89" spans="1:4" x14ac:dyDescent="0.45">
      <c r="A89" s="2">
        <v>46291</v>
      </c>
      <c r="B89">
        <v>2026</v>
      </c>
      <c r="C89">
        <v>9</v>
      </c>
      <c r="D89">
        <v>3</v>
      </c>
    </row>
    <row r="90" spans="1:4" x14ac:dyDescent="0.45">
      <c r="A90" s="2">
        <v>46292</v>
      </c>
      <c r="B90">
        <v>2026</v>
      </c>
      <c r="C90">
        <v>9</v>
      </c>
      <c r="D90">
        <v>3</v>
      </c>
    </row>
    <row r="91" spans="1:4" x14ac:dyDescent="0.45">
      <c r="A91" s="2">
        <v>46293</v>
      </c>
      <c r="B91">
        <v>2026</v>
      </c>
      <c r="C91">
        <v>9</v>
      </c>
      <c r="D91">
        <v>3</v>
      </c>
    </row>
    <row r="92" spans="1:4" x14ac:dyDescent="0.45">
      <c r="A92" s="2">
        <v>46294</v>
      </c>
      <c r="B92">
        <v>2026</v>
      </c>
      <c r="C92">
        <v>9</v>
      </c>
      <c r="D92">
        <v>3</v>
      </c>
    </row>
    <row r="93" spans="1:4" x14ac:dyDescent="0.45">
      <c r="A93" s="2">
        <v>46295</v>
      </c>
      <c r="B93">
        <v>2026</v>
      </c>
      <c r="C93">
        <v>9</v>
      </c>
      <c r="D93">
        <v>3</v>
      </c>
    </row>
    <row r="94" spans="1:4" x14ac:dyDescent="0.45">
      <c r="A94" s="2">
        <v>46113</v>
      </c>
      <c r="B94">
        <v>2026</v>
      </c>
      <c r="C94">
        <v>4</v>
      </c>
      <c r="D94">
        <v>2</v>
      </c>
    </row>
    <row r="95" spans="1:4" x14ac:dyDescent="0.45">
      <c r="A95" s="2">
        <v>46114</v>
      </c>
      <c r="B95">
        <v>2026</v>
      </c>
      <c r="C95">
        <v>4</v>
      </c>
      <c r="D95">
        <v>2</v>
      </c>
    </row>
    <row r="96" spans="1:4" x14ac:dyDescent="0.45">
      <c r="A96" s="2">
        <v>46115</v>
      </c>
      <c r="B96">
        <v>2026</v>
      </c>
      <c r="C96">
        <v>4</v>
      </c>
      <c r="D96">
        <v>2</v>
      </c>
    </row>
    <row r="97" spans="1:4" x14ac:dyDescent="0.45">
      <c r="A97" s="2">
        <v>46116</v>
      </c>
      <c r="B97">
        <v>2026</v>
      </c>
      <c r="C97">
        <v>4</v>
      </c>
      <c r="D97">
        <v>2</v>
      </c>
    </row>
    <row r="98" spans="1:4" x14ac:dyDescent="0.45">
      <c r="A98" s="2">
        <v>46117</v>
      </c>
      <c r="B98">
        <v>2026</v>
      </c>
      <c r="C98">
        <v>4</v>
      </c>
      <c r="D98">
        <v>2</v>
      </c>
    </row>
    <row r="99" spans="1:4" x14ac:dyDescent="0.45">
      <c r="A99" s="2">
        <v>46118</v>
      </c>
      <c r="B99">
        <v>2026</v>
      </c>
      <c r="C99">
        <v>4</v>
      </c>
      <c r="D99">
        <v>2</v>
      </c>
    </row>
    <row r="100" spans="1:4" x14ac:dyDescent="0.45">
      <c r="A100" s="2">
        <v>46119</v>
      </c>
      <c r="B100">
        <v>2026</v>
      </c>
      <c r="C100">
        <v>4</v>
      </c>
      <c r="D100">
        <v>2</v>
      </c>
    </row>
    <row r="101" spans="1:4" x14ac:dyDescent="0.45">
      <c r="A101" s="2">
        <v>46120</v>
      </c>
      <c r="B101">
        <v>2026</v>
      </c>
      <c r="C101">
        <v>4</v>
      </c>
      <c r="D101">
        <v>2</v>
      </c>
    </row>
    <row r="102" spans="1:4" x14ac:dyDescent="0.45">
      <c r="A102" s="2">
        <v>46121</v>
      </c>
      <c r="B102">
        <v>2026</v>
      </c>
      <c r="C102">
        <v>4</v>
      </c>
      <c r="D102">
        <v>2</v>
      </c>
    </row>
    <row r="103" spans="1:4" x14ac:dyDescent="0.45">
      <c r="A103" s="2">
        <v>46122</v>
      </c>
      <c r="B103">
        <v>2026</v>
      </c>
      <c r="C103">
        <v>4</v>
      </c>
      <c r="D103">
        <v>2</v>
      </c>
    </row>
    <row r="104" spans="1:4" x14ac:dyDescent="0.45">
      <c r="A104" s="2">
        <v>46123</v>
      </c>
      <c r="B104">
        <v>2026</v>
      </c>
      <c r="C104">
        <v>4</v>
      </c>
      <c r="D104">
        <v>2</v>
      </c>
    </row>
    <row r="105" spans="1:4" x14ac:dyDescent="0.45">
      <c r="A105" s="2">
        <v>46124</v>
      </c>
      <c r="B105">
        <v>2026</v>
      </c>
      <c r="C105">
        <v>4</v>
      </c>
      <c r="D105">
        <v>2</v>
      </c>
    </row>
    <row r="106" spans="1:4" x14ac:dyDescent="0.45">
      <c r="A106" s="2">
        <v>46125</v>
      </c>
      <c r="B106">
        <v>2026</v>
      </c>
      <c r="C106">
        <v>4</v>
      </c>
      <c r="D106">
        <v>2</v>
      </c>
    </row>
    <row r="107" spans="1:4" x14ac:dyDescent="0.45">
      <c r="A107" s="2">
        <v>46126</v>
      </c>
      <c r="B107">
        <v>2026</v>
      </c>
      <c r="C107">
        <v>4</v>
      </c>
      <c r="D107">
        <v>2</v>
      </c>
    </row>
    <row r="108" spans="1:4" x14ac:dyDescent="0.45">
      <c r="A108" s="2">
        <v>46127</v>
      </c>
      <c r="B108">
        <v>2026</v>
      </c>
      <c r="C108">
        <v>4</v>
      </c>
      <c r="D108">
        <v>2</v>
      </c>
    </row>
    <row r="109" spans="1:4" x14ac:dyDescent="0.45">
      <c r="A109" s="2">
        <v>46128</v>
      </c>
      <c r="B109">
        <v>2026</v>
      </c>
      <c r="C109">
        <v>4</v>
      </c>
      <c r="D109">
        <v>2</v>
      </c>
    </row>
    <row r="110" spans="1:4" x14ac:dyDescent="0.45">
      <c r="A110" s="2">
        <v>46129</v>
      </c>
      <c r="B110">
        <v>2026</v>
      </c>
      <c r="C110">
        <v>4</v>
      </c>
      <c r="D110">
        <v>2</v>
      </c>
    </row>
    <row r="111" spans="1:4" x14ac:dyDescent="0.45">
      <c r="A111" s="2">
        <v>46130</v>
      </c>
      <c r="B111">
        <v>2026</v>
      </c>
      <c r="C111">
        <v>4</v>
      </c>
      <c r="D111">
        <v>2</v>
      </c>
    </row>
    <row r="112" spans="1:4" x14ac:dyDescent="0.45">
      <c r="A112" s="2">
        <v>46131</v>
      </c>
      <c r="B112">
        <v>2026</v>
      </c>
      <c r="C112">
        <v>4</v>
      </c>
      <c r="D112">
        <v>2</v>
      </c>
    </row>
    <row r="113" spans="1:4" x14ac:dyDescent="0.45">
      <c r="A113" s="2">
        <v>46132</v>
      </c>
      <c r="B113">
        <v>2026</v>
      </c>
      <c r="C113">
        <v>4</v>
      </c>
      <c r="D113">
        <v>2</v>
      </c>
    </row>
    <row r="114" spans="1:4" x14ac:dyDescent="0.45">
      <c r="A114" s="2">
        <v>46133</v>
      </c>
      <c r="B114">
        <v>2026</v>
      </c>
      <c r="C114">
        <v>4</v>
      </c>
      <c r="D114">
        <v>2</v>
      </c>
    </row>
    <row r="115" spans="1:4" x14ac:dyDescent="0.45">
      <c r="A115" s="2">
        <v>46134</v>
      </c>
      <c r="B115">
        <v>2026</v>
      </c>
      <c r="C115">
        <v>4</v>
      </c>
      <c r="D115">
        <v>2</v>
      </c>
    </row>
    <row r="116" spans="1:4" x14ac:dyDescent="0.45">
      <c r="A116" s="2">
        <v>46135</v>
      </c>
      <c r="B116">
        <v>2026</v>
      </c>
      <c r="C116">
        <v>4</v>
      </c>
      <c r="D116">
        <v>2</v>
      </c>
    </row>
    <row r="117" spans="1:4" x14ac:dyDescent="0.45">
      <c r="A117" s="2">
        <v>46136</v>
      </c>
      <c r="B117">
        <v>2026</v>
      </c>
      <c r="C117">
        <v>4</v>
      </c>
      <c r="D117">
        <v>2</v>
      </c>
    </row>
    <row r="118" spans="1:4" x14ac:dyDescent="0.45">
      <c r="A118" s="2">
        <v>46137</v>
      </c>
      <c r="B118">
        <v>2026</v>
      </c>
      <c r="C118">
        <v>4</v>
      </c>
      <c r="D118">
        <v>2</v>
      </c>
    </row>
    <row r="119" spans="1:4" x14ac:dyDescent="0.45">
      <c r="A119" s="2">
        <v>46138</v>
      </c>
      <c r="B119">
        <v>2026</v>
      </c>
      <c r="C119">
        <v>4</v>
      </c>
      <c r="D119">
        <v>2</v>
      </c>
    </row>
    <row r="120" spans="1:4" x14ac:dyDescent="0.45">
      <c r="A120" s="2">
        <v>46139</v>
      </c>
      <c r="B120">
        <v>2026</v>
      </c>
      <c r="C120">
        <v>4</v>
      </c>
      <c r="D120">
        <v>2</v>
      </c>
    </row>
    <row r="121" spans="1:4" x14ac:dyDescent="0.45">
      <c r="A121" s="2">
        <v>46140</v>
      </c>
      <c r="B121">
        <v>2026</v>
      </c>
      <c r="C121">
        <v>4</v>
      </c>
      <c r="D121">
        <v>2</v>
      </c>
    </row>
    <row r="122" spans="1:4" x14ac:dyDescent="0.45">
      <c r="A122" s="2">
        <v>46141</v>
      </c>
      <c r="B122">
        <v>2026</v>
      </c>
      <c r="C122">
        <v>4</v>
      </c>
      <c r="D122">
        <v>2</v>
      </c>
    </row>
    <row r="123" spans="1:4" x14ac:dyDescent="0.45">
      <c r="A123" s="2">
        <v>46142</v>
      </c>
      <c r="B123">
        <v>2026</v>
      </c>
      <c r="C123">
        <v>4</v>
      </c>
      <c r="D123">
        <v>2</v>
      </c>
    </row>
    <row r="124" spans="1:4" x14ac:dyDescent="0.45">
      <c r="A124" s="2">
        <v>46143</v>
      </c>
      <c r="B124">
        <v>2026</v>
      </c>
      <c r="C124">
        <v>5</v>
      </c>
      <c r="D124">
        <v>2</v>
      </c>
    </row>
    <row r="125" spans="1:4" x14ac:dyDescent="0.45">
      <c r="A125" s="2">
        <v>46144</v>
      </c>
      <c r="B125">
        <v>2026</v>
      </c>
      <c r="C125">
        <v>5</v>
      </c>
      <c r="D125">
        <v>2</v>
      </c>
    </row>
    <row r="126" spans="1:4" x14ac:dyDescent="0.45">
      <c r="A126" s="2">
        <v>46145</v>
      </c>
      <c r="B126">
        <v>2026</v>
      </c>
      <c r="C126">
        <v>5</v>
      </c>
      <c r="D126">
        <v>2</v>
      </c>
    </row>
    <row r="127" spans="1:4" x14ac:dyDescent="0.45">
      <c r="A127" s="2">
        <v>46146</v>
      </c>
      <c r="B127">
        <v>2026</v>
      </c>
      <c r="C127">
        <v>5</v>
      </c>
      <c r="D127">
        <v>2</v>
      </c>
    </row>
    <row r="128" spans="1:4" x14ac:dyDescent="0.45">
      <c r="A128" s="2">
        <v>46147</v>
      </c>
      <c r="B128">
        <v>2026</v>
      </c>
      <c r="C128">
        <v>5</v>
      </c>
      <c r="D128">
        <v>2</v>
      </c>
    </row>
    <row r="129" spans="1:4" x14ac:dyDescent="0.45">
      <c r="A129" s="2">
        <v>46148</v>
      </c>
      <c r="B129">
        <v>2026</v>
      </c>
      <c r="C129">
        <v>5</v>
      </c>
      <c r="D129">
        <v>2</v>
      </c>
    </row>
    <row r="130" spans="1:4" x14ac:dyDescent="0.45">
      <c r="A130" s="2">
        <v>46149</v>
      </c>
      <c r="B130">
        <v>2026</v>
      </c>
      <c r="C130">
        <v>5</v>
      </c>
      <c r="D130">
        <v>2</v>
      </c>
    </row>
    <row r="131" spans="1:4" x14ac:dyDescent="0.45">
      <c r="A131" s="2">
        <v>46150</v>
      </c>
      <c r="B131">
        <v>2026</v>
      </c>
      <c r="C131">
        <v>5</v>
      </c>
      <c r="D131">
        <v>2</v>
      </c>
    </row>
    <row r="132" spans="1:4" x14ac:dyDescent="0.45">
      <c r="A132" s="2">
        <v>46151</v>
      </c>
      <c r="B132">
        <v>2026</v>
      </c>
      <c r="C132">
        <v>5</v>
      </c>
      <c r="D132">
        <v>2</v>
      </c>
    </row>
    <row r="133" spans="1:4" x14ac:dyDescent="0.45">
      <c r="A133" s="2">
        <v>46152</v>
      </c>
      <c r="B133">
        <v>2026</v>
      </c>
      <c r="C133">
        <v>5</v>
      </c>
      <c r="D133">
        <v>2</v>
      </c>
    </row>
    <row r="134" spans="1:4" x14ac:dyDescent="0.45">
      <c r="A134" s="2">
        <v>46153</v>
      </c>
      <c r="B134">
        <v>2026</v>
      </c>
      <c r="C134">
        <v>5</v>
      </c>
      <c r="D134">
        <v>2</v>
      </c>
    </row>
    <row r="135" spans="1:4" x14ac:dyDescent="0.45">
      <c r="A135" s="2">
        <v>46154</v>
      </c>
      <c r="B135">
        <v>2026</v>
      </c>
      <c r="C135">
        <v>5</v>
      </c>
      <c r="D135">
        <v>2</v>
      </c>
    </row>
    <row r="136" spans="1:4" x14ac:dyDescent="0.45">
      <c r="A136" s="2">
        <v>46155</v>
      </c>
      <c r="B136">
        <v>2026</v>
      </c>
      <c r="C136">
        <v>5</v>
      </c>
      <c r="D136">
        <v>2</v>
      </c>
    </row>
    <row r="137" spans="1:4" x14ac:dyDescent="0.45">
      <c r="A137" s="2">
        <v>46156</v>
      </c>
      <c r="B137">
        <v>2026</v>
      </c>
      <c r="C137">
        <v>5</v>
      </c>
      <c r="D137">
        <v>2</v>
      </c>
    </row>
    <row r="138" spans="1:4" x14ac:dyDescent="0.45">
      <c r="A138" s="2">
        <v>46157</v>
      </c>
      <c r="B138">
        <v>2026</v>
      </c>
      <c r="C138">
        <v>5</v>
      </c>
      <c r="D138">
        <v>2</v>
      </c>
    </row>
    <row r="139" spans="1:4" x14ac:dyDescent="0.45">
      <c r="A139" s="2">
        <v>46158</v>
      </c>
      <c r="B139">
        <v>2026</v>
      </c>
      <c r="C139">
        <v>5</v>
      </c>
      <c r="D139">
        <v>2</v>
      </c>
    </row>
    <row r="140" spans="1:4" x14ac:dyDescent="0.45">
      <c r="A140" s="2">
        <v>46159</v>
      </c>
      <c r="B140">
        <v>2026</v>
      </c>
      <c r="C140">
        <v>5</v>
      </c>
      <c r="D140">
        <v>2</v>
      </c>
    </row>
    <row r="141" spans="1:4" x14ac:dyDescent="0.45">
      <c r="A141" s="2">
        <v>46160</v>
      </c>
      <c r="B141">
        <v>2026</v>
      </c>
      <c r="C141">
        <v>5</v>
      </c>
      <c r="D141">
        <v>2</v>
      </c>
    </row>
    <row r="142" spans="1:4" x14ac:dyDescent="0.45">
      <c r="A142" s="2">
        <v>46161</v>
      </c>
      <c r="B142">
        <v>2026</v>
      </c>
      <c r="C142">
        <v>5</v>
      </c>
      <c r="D142">
        <v>2</v>
      </c>
    </row>
    <row r="143" spans="1:4" x14ac:dyDescent="0.45">
      <c r="A143" s="2">
        <v>46162</v>
      </c>
      <c r="B143">
        <v>2026</v>
      </c>
      <c r="C143">
        <v>5</v>
      </c>
      <c r="D143">
        <v>2</v>
      </c>
    </row>
    <row r="144" spans="1:4" x14ac:dyDescent="0.45">
      <c r="A144" s="2">
        <v>46163</v>
      </c>
      <c r="B144">
        <v>2026</v>
      </c>
      <c r="C144">
        <v>5</v>
      </c>
      <c r="D144">
        <v>2</v>
      </c>
    </row>
    <row r="145" spans="1:4" x14ac:dyDescent="0.45">
      <c r="A145" s="2">
        <v>46164</v>
      </c>
      <c r="B145">
        <v>2026</v>
      </c>
      <c r="C145">
        <v>5</v>
      </c>
      <c r="D145">
        <v>2</v>
      </c>
    </row>
    <row r="146" spans="1:4" x14ac:dyDescent="0.45">
      <c r="A146" s="2">
        <v>46165</v>
      </c>
      <c r="B146">
        <v>2026</v>
      </c>
      <c r="C146">
        <v>5</v>
      </c>
      <c r="D146">
        <v>2</v>
      </c>
    </row>
    <row r="147" spans="1:4" x14ac:dyDescent="0.45">
      <c r="A147" s="2">
        <v>46166</v>
      </c>
      <c r="B147">
        <v>2026</v>
      </c>
      <c r="C147">
        <v>5</v>
      </c>
      <c r="D147">
        <v>2</v>
      </c>
    </row>
    <row r="148" spans="1:4" x14ac:dyDescent="0.45">
      <c r="A148" s="2">
        <v>46167</v>
      </c>
      <c r="B148">
        <v>2026</v>
      </c>
      <c r="C148">
        <v>5</v>
      </c>
      <c r="D148">
        <v>2</v>
      </c>
    </row>
    <row r="149" spans="1:4" x14ac:dyDescent="0.45">
      <c r="A149" s="2">
        <v>46168</v>
      </c>
      <c r="B149">
        <v>2026</v>
      </c>
      <c r="C149">
        <v>5</v>
      </c>
      <c r="D149">
        <v>2</v>
      </c>
    </row>
    <row r="150" spans="1:4" x14ac:dyDescent="0.45">
      <c r="A150" s="2">
        <v>46169</v>
      </c>
      <c r="B150">
        <v>2026</v>
      </c>
      <c r="C150">
        <v>5</v>
      </c>
      <c r="D150">
        <v>2</v>
      </c>
    </row>
    <row r="151" spans="1:4" x14ac:dyDescent="0.45">
      <c r="A151" s="2">
        <v>46170</v>
      </c>
      <c r="B151">
        <v>2026</v>
      </c>
      <c r="C151">
        <v>5</v>
      </c>
      <c r="D151">
        <v>2</v>
      </c>
    </row>
    <row r="152" spans="1:4" x14ac:dyDescent="0.45">
      <c r="A152" s="2">
        <v>46171</v>
      </c>
      <c r="B152">
        <v>2026</v>
      </c>
      <c r="C152">
        <v>5</v>
      </c>
      <c r="D152">
        <v>2</v>
      </c>
    </row>
    <row r="153" spans="1:4" x14ac:dyDescent="0.45">
      <c r="A153" s="2">
        <v>46172</v>
      </c>
      <c r="B153">
        <v>2026</v>
      </c>
      <c r="C153">
        <v>5</v>
      </c>
      <c r="D153">
        <v>2</v>
      </c>
    </row>
    <row r="154" spans="1:4" x14ac:dyDescent="0.45">
      <c r="A154" s="2">
        <v>46173</v>
      </c>
      <c r="B154">
        <v>2026</v>
      </c>
      <c r="C154">
        <v>5</v>
      </c>
      <c r="D154">
        <v>2</v>
      </c>
    </row>
    <row r="155" spans="1:4" x14ac:dyDescent="0.45">
      <c r="A155" s="2">
        <v>46174</v>
      </c>
      <c r="B155">
        <v>2026</v>
      </c>
      <c r="C155">
        <v>6</v>
      </c>
      <c r="D155">
        <v>2</v>
      </c>
    </row>
    <row r="156" spans="1:4" x14ac:dyDescent="0.45">
      <c r="A156" s="2">
        <v>46175</v>
      </c>
      <c r="B156">
        <v>2026</v>
      </c>
      <c r="C156">
        <v>6</v>
      </c>
      <c r="D156">
        <v>2</v>
      </c>
    </row>
    <row r="157" spans="1:4" x14ac:dyDescent="0.45">
      <c r="A157" s="2">
        <v>46176</v>
      </c>
      <c r="B157">
        <v>2026</v>
      </c>
      <c r="C157">
        <v>6</v>
      </c>
      <c r="D157">
        <v>2</v>
      </c>
    </row>
    <row r="158" spans="1:4" x14ac:dyDescent="0.45">
      <c r="A158" s="2">
        <v>46177</v>
      </c>
      <c r="B158">
        <v>2026</v>
      </c>
      <c r="C158">
        <v>6</v>
      </c>
      <c r="D158">
        <v>2</v>
      </c>
    </row>
    <row r="159" spans="1:4" x14ac:dyDescent="0.45">
      <c r="A159" s="2">
        <v>46178</v>
      </c>
      <c r="B159">
        <v>2026</v>
      </c>
      <c r="C159">
        <v>6</v>
      </c>
      <c r="D159">
        <v>2</v>
      </c>
    </row>
    <row r="160" spans="1:4" x14ac:dyDescent="0.45">
      <c r="A160" s="2">
        <v>46179</v>
      </c>
      <c r="B160">
        <v>2026</v>
      </c>
      <c r="C160">
        <v>6</v>
      </c>
      <c r="D160">
        <v>2</v>
      </c>
    </row>
    <row r="161" spans="1:4" x14ac:dyDescent="0.45">
      <c r="A161" s="2">
        <v>46180</v>
      </c>
      <c r="B161">
        <v>2026</v>
      </c>
      <c r="C161">
        <v>6</v>
      </c>
      <c r="D161">
        <v>2</v>
      </c>
    </row>
    <row r="162" spans="1:4" x14ac:dyDescent="0.45">
      <c r="A162" s="2">
        <v>46181</v>
      </c>
      <c r="B162">
        <v>2026</v>
      </c>
      <c r="C162">
        <v>6</v>
      </c>
      <c r="D162">
        <v>2</v>
      </c>
    </row>
    <row r="163" spans="1:4" x14ac:dyDescent="0.45">
      <c r="A163" s="2">
        <v>46182</v>
      </c>
      <c r="B163">
        <v>2026</v>
      </c>
      <c r="C163">
        <v>6</v>
      </c>
      <c r="D163">
        <v>2</v>
      </c>
    </row>
    <row r="164" spans="1:4" x14ac:dyDescent="0.45">
      <c r="A164" s="2">
        <v>46183</v>
      </c>
      <c r="B164">
        <v>2026</v>
      </c>
      <c r="C164">
        <v>6</v>
      </c>
      <c r="D164">
        <v>2</v>
      </c>
    </row>
    <row r="165" spans="1:4" x14ac:dyDescent="0.45">
      <c r="A165" s="2">
        <v>46184</v>
      </c>
      <c r="B165">
        <v>2026</v>
      </c>
      <c r="C165">
        <v>6</v>
      </c>
      <c r="D165">
        <v>2</v>
      </c>
    </row>
    <row r="166" spans="1:4" x14ac:dyDescent="0.45">
      <c r="A166" s="2">
        <v>46185</v>
      </c>
      <c r="B166">
        <v>2026</v>
      </c>
      <c r="C166">
        <v>6</v>
      </c>
      <c r="D166">
        <v>2</v>
      </c>
    </row>
    <row r="167" spans="1:4" x14ac:dyDescent="0.45">
      <c r="A167" s="2">
        <v>46186</v>
      </c>
      <c r="B167">
        <v>2026</v>
      </c>
      <c r="C167">
        <v>6</v>
      </c>
      <c r="D167">
        <v>2</v>
      </c>
    </row>
    <row r="168" spans="1:4" x14ac:dyDescent="0.45">
      <c r="A168" s="2">
        <v>46187</v>
      </c>
      <c r="B168">
        <v>2026</v>
      </c>
      <c r="C168">
        <v>6</v>
      </c>
      <c r="D168">
        <v>2</v>
      </c>
    </row>
    <row r="169" spans="1:4" x14ac:dyDescent="0.45">
      <c r="A169" s="2">
        <v>46188</v>
      </c>
      <c r="B169">
        <v>2026</v>
      </c>
      <c r="C169">
        <v>6</v>
      </c>
      <c r="D169">
        <v>2</v>
      </c>
    </row>
    <row r="170" spans="1:4" x14ac:dyDescent="0.45">
      <c r="A170" s="2">
        <v>46189</v>
      </c>
      <c r="B170">
        <v>2026</v>
      </c>
      <c r="C170">
        <v>6</v>
      </c>
      <c r="D170">
        <v>2</v>
      </c>
    </row>
    <row r="171" spans="1:4" x14ac:dyDescent="0.45">
      <c r="A171" s="2">
        <v>46190</v>
      </c>
      <c r="B171">
        <v>2026</v>
      </c>
      <c r="C171">
        <v>6</v>
      </c>
      <c r="D171">
        <v>2</v>
      </c>
    </row>
    <row r="172" spans="1:4" x14ac:dyDescent="0.45">
      <c r="A172" s="2">
        <v>46191</v>
      </c>
      <c r="B172">
        <v>2026</v>
      </c>
      <c r="C172">
        <v>6</v>
      </c>
      <c r="D172">
        <v>2</v>
      </c>
    </row>
    <row r="173" spans="1:4" x14ac:dyDescent="0.45">
      <c r="A173" s="2">
        <v>46192</v>
      </c>
      <c r="B173">
        <v>2026</v>
      </c>
      <c r="C173">
        <v>6</v>
      </c>
      <c r="D173">
        <v>2</v>
      </c>
    </row>
    <row r="174" spans="1:4" x14ac:dyDescent="0.45">
      <c r="A174" s="2">
        <v>46193</v>
      </c>
      <c r="B174">
        <v>2026</v>
      </c>
      <c r="C174">
        <v>6</v>
      </c>
      <c r="D174">
        <v>2</v>
      </c>
    </row>
    <row r="175" spans="1:4" x14ac:dyDescent="0.45">
      <c r="A175" s="2">
        <v>46194</v>
      </c>
      <c r="B175">
        <v>2026</v>
      </c>
      <c r="C175">
        <v>6</v>
      </c>
      <c r="D175">
        <v>2</v>
      </c>
    </row>
    <row r="176" spans="1:4" x14ac:dyDescent="0.45">
      <c r="A176" s="2">
        <v>46195</v>
      </c>
      <c r="B176">
        <v>2026</v>
      </c>
      <c r="C176">
        <v>6</v>
      </c>
      <c r="D176">
        <v>2</v>
      </c>
    </row>
    <row r="177" spans="1:4" x14ac:dyDescent="0.45">
      <c r="A177" s="2">
        <v>46196</v>
      </c>
      <c r="B177">
        <v>2026</v>
      </c>
      <c r="C177">
        <v>6</v>
      </c>
      <c r="D177">
        <v>2</v>
      </c>
    </row>
    <row r="178" spans="1:4" x14ac:dyDescent="0.45">
      <c r="A178" s="2">
        <v>46197</v>
      </c>
      <c r="B178">
        <v>2026</v>
      </c>
      <c r="C178">
        <v>6</v>
      </c>
      <c r="D178">
        <v>2</v>
      </c>
    </row>
    <row r="179" spans="1:4" x14ac:dyDescent="0.45">
      <c r="A179" s="2">
        <v>46198</v>
      </c>
      <c r="B179">
        <v>2026</v>
      </c>
      <c r="C179">
        <v>6</v>
      </c>
      <c r="D179">
        <v>2</v>
      </c>
    </row>
    <row r="180" spans="1:4" x14ac:dyDescent="0.45">
      <c r="A180" s="2">
        <v>46199</v>
      </c>
      <c r="B180">
        <v>2026</v>
      </c>
      <c r="C180">
        <v>6</v>
      </c>
      <c r="D180">
        <v>2</v>
      </c>
    </row>
    <row r="181" spans="1:4" x14ac:dyDescent="0.45">
      <c r="A181" s="2">
        <v>46200</v>
      </c>
      <c r="B181">
        <v>2026</v>
      </c>
      <c r="C181">
        <v>6</v>
      </c>
      <c r="D181">
        <v>2</v>
      </c>
    </row>
    <row r="182" spans="1:4" x14ac:dyDescent="0.45">
      <c r="A182" s="2">
        <v>46201</v>
      </c>
      <c r="B182">
        <v>2026</v>
      </c>
      <c r="C182">
        <v>6</v>
      </c>
      <c r="D182">
        <v>2</v>
      </c>
    </row>
    <row r="183" spans="1:4" x14ac:dyDescent="0.45">
      <c r="A183" s="2">
        <v>46202</v>
      </c>
      <c r="B183">
        <v>2026</v>
      </c>
      <c r="C183">
        <v>6</v>
      </c>
      <c r="D183">
        <v>2</v>
      </c>
    </row>
    <row r="184" spans="1:4" x14ac:dyDescent="0.45">
      <c r="A184" s="2">
        <v>46203</v>
      </c>
      <c r="B184">
        <v>2026</v>
      </c>
      <c r="C184">
        <v>6</v>
      </c>
      <c r="D184">
        <v>2</v>
      </c>
    </row>
    <row r="185" spans="1:4" x14ac:dyDescent="0.45">
      <c r="A185" s="2">
        <v>46296</v>
      </c>
      <c r="B185">
        <v>2026</v>
      </c>
      <c r="C185">
        <v>10</v>
      </c>
      <c r="D185">
        <v>4</v>
      </c>
    </row>
    <row r="186" spans="1:4" x14ac:dyDescent="0.45">
      <c r="A186" s="2">
        <v>46297</v>
      </c>
      <c r="B186">
        <v>2026</v>
      </c>
      <c r="C186">
        <v>10</v>
      </c>
      <c r="D186">
        <v>4</v>
      </c>
    </row>
    <row r="187" spans="1:4" x14ac:dyDescent="0.45">
      <c r="A187" s="2">
        <v>46298</v>
      </c>
      <c r="B187">
        <v>2026</v>
      </c>
      <c r="C187">
        <v>10</v>
      </c>
      <c r="D187">
        <v>4</v>
      </c>
    </row>
    <row r="188" spans="1:4" x14ac:dyDescent="0.45">
      <c r="A188" s="2">
        <v>46299</v>
      </c>
      <c r="B188">
        <v>2026</v>
      </c>
      <c r="C188">
        <v>10</v>
      </c>
      <c r="D188">
        <v>4</v>
      </c>
    </row>
    <row r="189" spans="1:4" x14ac:dyDescent="0.45">
      <c r="A189" s="2">
        <v>46300</v>
      </c>
      <c r="B189">
        <v>2026</v>
      </c>
      <c r="C189">
        <v>10</v>
      </c>
      <c r="D189">
        <v>4</v>
      </c>
    </row>
    <row r="190" spans="1:4" x14ac:dyDescent="0.45">
      <c r="A190" s="2">
        <v>46301</v>
      </c>
      <c r="B190">
        <v>2026</v>
      </c>
      <c r="C190">
        <v>10</v>
      </c>
      <c r="D190">
        <v>4</v>
      </c>
    </row>
    <row r="191" spans="1:4" x14ac:dyDescent="0.45">
      <c r="A191" s="2">
        <v>46302</v>
      </c>
      <c r="B191">
        <v>2026</v>
      </c>
      <c r="C191">
        <v>10</v>
      </c>
      <c r="D191">
        <v>4</v>
      </c>
    </row>
    <row r="192" spans="1:4" x14ac:dyDescent="0.45">
      <c r="A192" s="2">
        <v>46303</v>
      </c>
      <c r="B192">
        <v>2026</v>
      </c>
      <c r="C192">
        <v>10</v>
      </c>
      <c r="D192">
        <v>4</v>
      </c>
    </row>
    <row r="193" spans="1:4" x14ac:dyDescent="0.45">
      <c r="A193" s="2">
        <v>46304</v>
      </c>
      <c r="B193">
        <v>2026</v>
      </c>
      <c r="C193">
        <v>10</v>
      </c>
      <c r="D193">
        <v>4</v>
      </c>
    </row>
    <row r="194" spans="1:4" x14ac:dyDescent="0.45">
      <c r="A194" s="2">
        <v>46305</v>
      </c>
      <c r="B194">
        <v>2026</v>
      </c>
      <c r="C194">
        <v>10</v>
      </c>
      <c r="D194">
        <v>4</v>
      </c>
    </row>
    <row r="195" spans="1:4" x14ac:dyDescent="0.45">
      <c r="A195" s="2">
        <v>46306</v>
      </c>
      <c r="B195">
        <v>2026</v>
      </c>
      <c r="C195">
        <v>10</v>
      </c>
      <c r="D195">
        <v>4</v>
      </c>
    </row>
    <row r="196" spans="1:4" x14ac:dyDescent="0.45">
      <c r="A196" s="2">
        <v>46307</v>
      </c>
      <c r="B196">
        <v>2026</v>
      </c>
      <c r="C196">
        <v>10</v>
      </c>
      <c r="D196">
        <v>4</v>
      </c>
    </row>
    <row r="197" spans="1:4" x14ac:dyDescent="0.45">
      <c r="A197" s="2">
        <v>46308</v>
      </c>
      <c r="B197">
        <v>2026</v>
      </c>
      <c r="C197">
        <v>10</v>
      </c>
      <c r="D197">
        <v>4</v>
      </c>
    </row>
    <row r="198" spans="1:4" x14ac:dyDescent="0.45">
      <c r="A198" s="2">
        <v>46309</v>
      </c>
      <c r="B198">
        <v>2026</v>
      </c>
      <c r="C198">
        <v>10</v>
      </c>
      <c r="D198">
        <v>4</v>
      </c>
    </row>
    <row r="199" spans="1:4" x14ac:dyDescent="0.45">
      <c r="A199" s="2">
        <v>46310</v>
      </c>
      <c r="B199">
        <v>2026</v>
      </c>
      <c r="C199">
        <v>10</v>
      </c>
      <c r="D199">
        <v>4</v>
      </c>
    </row>
    <row r="200" spans="1:4" x14ac:dyDescent="0.45">
      <c r="A200" s="2">
        <v>46311</v>
      </c>
      <c r="B200">
        <v>2026</v>
      </c>
      <c r="C200">
        <v>10</v>
      </c>
      <c r="D200">
        <v>4</v>
      </c>
    </row>
    <row r="201" spans="1:4" x14ac:dyDescent="0.45">
      <c r="A201" s="2">
        <v>46312</v>
      </c>
      <c r="B201">
        <v>2026</v>
      </c>
      <c r="C201">
        <v>10</v>
      </c>
      <c r="D201">
        <v>4</v>
      </c>
    </row>
    <row r="202" spans="1:4" x14ac:dyDescent="0.45">
      <c r="A202" s="2">
        <v>46313</v>
      </c>
      <c r="B202">
        <v>2026</v>
      </c>
      <c r="C202">
        <v>10</v>
      </c>
      <c r="D202">
        <v>4</v>
      </c>
    </row>
    <row r="203" spans="1:4" x14ac:dyDescent="0.45">
      <c r="A203" s="2">
        <v>46314</v>
      </c>
      <c r="B203">
        <v>2026</v>
      </c>
      <c r="C203">
        <v>10</v>
      </c>
      <c r="D203">
        <v>4</v>
      </c>
    </row>
    <row r="204" spans="1:4" x14ac:dyDescent="0.45">
      <c r="A204" s="2">
        <v>46315</v>
      </c>
      <c r="B204">
        <v>2026</v>
      </c>
      <c r="C204">
        <v>10</v>
      </c>
      <c r="D204">
        <v>4</v>
      </c>
    </row>
    <row r="205" spans="1:4" x14ac:dyDescent="0.45">
      <c r="A205" s="2">
        <v>46316</v>
      </c>
      <c r="B205">
        <v>2026</v>
      </c>
      <c r="C205">
        <v>10</v>
      </c>
      <c r="D205">
        <v>4</v>
      </c>
    </row>
    <row r="206" spans="1:4" x14ac:dyDescent="0.45">
      <c r="A206" s="2">
        <v>46317</v>
      </c>
      <c r="B206">
        <v>2026</v>
      </c>
      <c r="C206">
        <v>10</v>
      </c>
      <c r="D206">
        <v>4</v>
      </c>
    </row>
    <row r="207" spans="1:4" x14ac:dyDescent="0.45">
      <c r="A207" s="2">
        <v>46318</v>
      </c>
      <c r="B207">
        <v>2026</v>
      </c>
      <c r="C207">
        <v>10</v>
      </c>
      <c r="D207">
        <v>4</v>
      </c>
    </row>
    <row r="208" spans="1:4" x14ac:dyDescent="0.45">
      <c r="A208" s="2">
        <v>46319</v>
      </c>
      <c r="B208">
        <v>2026</v>
      </c>
      <c r="C208">
        <v>10</v>
      </c>
      <c r="D208">
        <v>4</v>
      </c>
    </row>
    <row r="209" spans="1:4" x14ac:dyDescent="0.45">
      <c r="A209" s="2">
        <v>46320</v>
      </c>
      <c r="B209">
        <v>2026</v>
      </c>
      <c r="C209">
        <v>10</v>
      </c>
      <c r="D209">
        <v>4</v>
      </c>
    </row>
    <row r="210" spans="1:4" x14ac:dyDescent="0.45">
      <c r="A210" s="2">
        <v>46321</v>
      </c>
      <c r="B210">
        <v>2026</v>
      </c>
      <c r="C210">
        <v>10</v>
      </c>
      <c r="D210">
        <v>4</v>
      </c>
    </row>
    <row r="211" spans="1:4" x14ac:dyDescent="0.45">
      <c r="A211" s="2">
        <v>46322</v>
      </c>
      <c r="B211">
        <v>2026</v>
      </c>
      <c r="C211">
        <v>10</v>
      </c>
      <c r="D211">
        <v>4</v>
      </c>
    </row>
    <row r="212" spans="1:4" x14ac:dyDescent="0.45">
      <c r="A212" s="2">
        <v>46323</v>
      </c>
      <c r="B212">
        <v>2026</v>
      </c>
      <c r="C212">
        <v>10</v>
      </c>
      <c r="D212">
        <v>4</v>
      </c>
    </row>
    <row r="213" spans="1:4" x14ac:dyDescent="0.45">
      <c r="A213" s="2">
        <v>46324</v>
      </c>
      <c r="B213">
        <v>2026</v>
      </c>
      <c r="C213">
        <v>10</v>
      </c>
      <c r="D213">
        <v>4</v>
      </c>
    </row>
    <row r="214" spans="1:4" x14ac:dyDescent="0.45">
      <c r="A214" s="2">
        <v>46325</v>
      </c>
      <c r="B214">
        <v>2026</v>
      </c>
      <c r="C214">
        <v>10</v>
      </c>
      <c r="D214">
        <v>4</v>
      </c>
    </row>
    <row r="215" spans="1:4" x14ac:dyDescent="0.45">
      <c r="A215" s="2">
        <v>46326</v>
      </c>
      <c r="B215">
        <v>2026</v>
      </c>
      <c r="C215">
        <v>10</v>
      </c>
      <c r="D215">
        <v>4</v>
      </c>
    </row>
    <row r="216" spans="1:4" x14ac:dyDescent="0.45">
      <c r="A216" s="2">
        <v>46327</v>
      </c>
      <c r="B216">
        <v>2026</v>
      </c>
      <c r="C216">
        <v>11</v>
      </c>
      <c r="D216">
        <v>4</v>
      </c>
    </row>
    <row r="217" spans="1:4" x14ac:dyDescent="0.45">
      <c r="A217" s="2">
        <v>46328</v>
      </c>
      <c r="B217">
        <v>2026</v>
      </c>
      <c r="C217">
        <v>11</v>
      </c>
      <c r="D217">
        <v>4</v>
      </c>
    </row>
    <row r="218" spans="1:4" x14ac:dyDescent="0.45">
      <c r="A218" s="2">
        <v>46329</v>
      </c>
      <c r="B218">
        <v>2026</v>
      </c>
      <c r="C218">
        <v>11</v>
      </c>
      <c r="D218">
        <v>4</v>
      </c>
    </row>
    <row r="219" spans="1:4" x14ac:dyDescent="0.45">
      <c r="A219" s="2">
        <v>46330</v>
      </c>
      <c r="B219">
        <v>2026</v>
      </c>
      <c r="C219">
        <v>11</v>
      </c>
      <c r="D219">
        <v>4</v>
      </c>
    </row>
    <row r="220" spans="1:4" x14ac:dyDescent="0.45">
      <c r="A220" s="2">
        <v>46331</v>
      </c>
      <c r="B220">
        <v>2026</v>
      </c>
      <c r="C220">
        <v>11</v>
      </c>
      <c r="D220">
        <v>4</v>
      </c>
    </row>
    <row r="221" spans="1:4" x14ac:dyDescent="0.45">
      <c r="A221" s="2">
        <v>46332</v>
      </c>
      <c r="B221">
        <v>2026</v>
      </c>
      <c r="C221">
        <v>11</v>
      </c>
      <c r="D221">
        <v>4</v>
      </c>
    </row>
    <row r="222" spans="1:4" x14ac:dyDescent="0.45">
      <c r="A222" s="2">
        <v>46333</v>
      </c>
      <c r="B222">
        <v>2026</v>
      </c>
      <c r="C222">
        <v>11</v>
      </c>
      <c r="D222">
        <v>4</v>
      </c>
    </row>
    <row r="223" spans="1:4" x14ac:dyDescent="0.45">
      <c r="A223" s="2">
        <v>46334</v>
      </c>
      <c r="B223">
        <v>2026</v>
      </c>
      <c r="C223">
        <v>11</v>
      </c>
      <c r="D223">
        <v>4</v>
      </c>
    </row>
    <row r="224" spans="1:4" x14ac:dyDescent="0.45">
      <c r="A224" s="2">
        <v>46335</v>
      </c>
      <c r="B224">
        <v>2026</v>
      </c>
      <c r="C224">
        <v>11</v>
      </c>
      <c r="D224">
        <v>4</v>
      </c>
    </row>
    <row r="225" spans="1:4" x14ac:dyDescent="0.45">
      <c r="A225" s="2">
        <v>46336</v>
      </c>
      <c r="B225">
        <v>2026</v>
      </c>
      <c r="C225">
        <v>11</v>
      </c>
      <c r="D225">
        <v>4</v>
      </c>
    </row>
    <row r="226" spans="1:4" x14ac:dyDescent="0.45">
      <c r="A226" s="2">
        <v>46337</v>
      </c>
      <c r="B226">
        <v>2026</v>
      </c>
      <c r="C226">
        <v>11</v>
      </c>
      <c r="D226">
        <v>4</v>
      </c>
    </row>
    <row r="227" spans="1:4" x14ac:dyDescent="0.45">
      <c r="A227" s="2">
        <v>46338</v>
      </c>
      <c r="B227">
        <v>2026</v>
      </c>
      <c r="C227">
        <v>11</v>
      </c>
      <c r="D227">
        <v>4</v>
      </c>
    </row>
    <row r="228" spans="1:4" x14ac:dyDescent="0.45">
      <c r="A228" s="2">
        <v>46339</v>
      </c>
      <c r="B228">
        <v>2026</v>
      </c>
      <c r="C228">
        <v>11</v>
      </c>
      <c r="D228">
        <v>4</v>
      </c>
    </row>
    <row r="229" spans="1:4" x14ac:dyDescent="0.45">
      <c r="A229" s="2">
        <v>46340</v>
      </c>
      <c r="B229">
        <v>2026</v>
      </c>
      <c r="C229">
        <v>11</v>
      </c>
      <c r="D229">
        <v>4</v>
      </c>
    </row>
    <row r="230" spans="1:4" x14ac:dyDescent="0.45">
      <c r="A230" s="2">
        <v>46341</v>
      </c>
      <c r="B230">
        <v>2026</v>
      </c>
      <c r="C230">
        <v>11</v>
      </c>
      <c r="D230">
        <v>4</v>
      </c>
    </row>
    <row r="231" spans="1:4" x14ac:dyDescent="0.45">
      <c r="A231" s="2">
        <v>46342</v>
      </c>
      <c r="B231">
        <v>2026</v>
      </c>
      <c r="C231">
        <v>11</v>
      </c>
      <c r="D231">
        <v>4</v>
      </c>
    </row>
    <row r="232" spans="1:4" x14ac:dyDescent="0.45">
      <c r="A232" s="2">
        <v>46343</v>
      </c>
      <c r="B232">
        <v>2026</v>
      </c>
      <c r="C232">
        <v>11</v>
      </c>
      <c r="D232">
        <v>4</v>
      </c>
    </row>
    <row r="233" spans="1:4" x14ac:dyDescent="0.45">
      <c r="A233" s="2">
        <v>46344</v>
      </c>
      <c r="B233">
        <v>2026</v>
      </c>
      <c r="C233">
        <v>11</v>
      </c>
      <c r="D233">
        <v>4</v>
      </c>
    </row>
    <row r="234" spans="1:4" x14ac:dyDescent="0.45">
      <c r="A234" s="2">
        <v>46345</v>
      </c>
      <c r="B234">
        <v>2026</v>
      </c>
      <c r="C234">
        <v>11</v>
      </c>
      <c r="D234">
        <v>4</v>
      </c>
    </row>
    <row r="235" spans="1:4" x14ac:dyDescent="0.45">
      <c r="A235" s="2">
        <v>46346</v>
      </c>
      <c r="B235">
        <v>2026</v>
      </c>
      <c r="C235">
        <v>11</v>
      </c>
      <c r="D235">
        <v>4</v>
      </c>
    </row>
    <row r="236" spans="1:4" x14ac:dyDescent="0.45">
      <c r="A236" s="2">
        <v>46347</v>
      </c>
      <c r="B236">
        <v>2026</v>
      </c>
      <c r="C236">
        <v>11</v>
      </c>
      <c r="D236">
        <v>4</v>
      </c>
    </row>
    <row r="237" spans="1:4" x14ac:dyDescent="0.45">
      <c r="A237" s="2">
        <v>46348</v>
      </c>
      <c r="B237">
        <v>2026</v>
      </c>
      <c r="C237">
        <v>11</v>
      </c>
      <c r="D237">
        <v>4</v>
      </c>
    </row>
    <row r="238" spans="1:4" x14ac:dyDescent="0.45">
      <c r="A238" s="2">
        <v>46349</v>
      </c>
      <c r="B238">
        <v>2026</v>
      </c>
      <c r="C238">
        <v>11</v>
      </c>
      <c r="D238">
        <v>4</v>
      </c>
    </row>
    <row r="239" spans="1:4" x14ac:dyDescent="0.45">
      <c r="A239" s="2">
        <v>46350</v>
      </c>
      <c r="B239">
        <v>2026</v>
      </c>
      <c r="C239">
        <v>11</v>
      </c>
      <c r="D239">
        <v>4</v>
      </c>
    </row>
    <row r="240" spans="1:4" x14ac:dyDescent="0.45">
      <c r="A240" s="2">
        <v>46351</v>
      </c>
      <c r="B240">
        <v>2026</v>
      </c>
      <c r="C240">
        <v>11</v>
      </c>
      <c r="D240">
        <v>4</v>
      </c>
    </row>
    <row r="241" spans="1:4" x14ac:dyDescent="0.45">
      <c r="A241" s="2">
        <v>46352</v>
      </c>
      <c r="B241">
        <v>2026</v>
      </c>
      <c r="C241">
        <v>11</v>
      </c>
      <c r="D241">
        <v>4</v>
      </c>
    </row>
    <row r="242" spans="1:4" x14ac:dyDescent="0.45">
      <c r="A242" s="2">
        <v>46353</v>
      </c>
      <c r="B242">
        <v>2026</v>
      </c>
      <c r="C242">
        <v>11</v>
      </c>
      <c r="D242">
        <v>4</v>
      </c>
    </row>
    <row r="243" spans="1:4" x14ac:dyDescent="0.45">
      <c r="A243" s="2">
        <v>46354</v>
      </c>
      <c r="B243">
        <v>2026</v>
      </c>
      <c r="C243">
        <v>11</v>
      </c>
      <c r="D243">
        <v>4</v>
      </c>
    </row>
    <row r="244" spans="1:4" x14ac:dyDescent="0.45">
      <c r="A244" s="2">
        <v>46355</v>
      </c>
      <c r="B244">
        <v>2026</v>
      </c>
      <c r="C244">
        <v>11</v>
      </c>
      <c r="D244">
        <v>4</v>
      </c>
    </row>
    <row r="245" spans="1:4" x14ac:dyDescent="0.45">
      <c r="A245" s="2">
        <v>46356</v>
      </c>
      <c r="B245">
        <v>2026</v>
      </c>
      <c r="C245">
        <v>11</v>
      </c>
      <c r="D245">
        <v>4</v>
      </c>
    </row>
    <row r="246" spans="1:4" x14ac:dyDescent="0.45">
      <c r="A246" s="2">
        <v>46357</v>
      </c>
      <c r="B246">
        <v>2026</v>
      </c>
      <c r="C246">
        <v>12</v>
      </c>
      <c r="D246">
        <v>4</v>
      </c>
    </row>
    <row r="247" spans="1:4" x14ac:dyDescent="0.45">
      <c r="A247" s="2">
        <v>46358</v>
      </c>
      <c r="B247">
        <v>2026</v>
      </c>
      <c r="C247">
        <v>12</v>
      </c>
      <c r="D247">
        <v>4</v>
      </c>
    </row>
    <row r="248" spans="1:4" x14ac:dyDescent="0.45">
      <c r="A248" s="2">
        <v>46359</v>
      </c>
      <c r="B248">
        <v>2026</v>
      </c>
      <c r="C248">
        <v>12</v>
      </c>
      <c r="D248">
        <v>4</v>
      </c>
    </row>
    <row r="249" spans="1:4" x14ac:dyDescent="0.45">
      <c r="A249" s="2">
        <v>46360</v>
      </c>
      <c r="B249">
        <v>2026</v>
      </c>
      <c r="C249">
        <v>12</v>
      </c>
      <c r="D249">
        <v>4</v>
      </c>
    </row>
    <row r="250" spans="1:4" x14ac:dyDescent="0.45">
      <c r="A250" s="2">
        <v>46361</v>
      </c>
      <c r="B250">
        <v>2026</v>
      </c>
      <c r="C250">
        <v>12</v>
      </c>
      <c r="D250">
        <v>4</v>
      </c>
    </row>
    <row r="251" spans="1:4" x14ac:dyDescent="0.45">
      <c r="A251" s="2">
        <v>46362</v>
      </c>
      <c r="B251">
        <v>2026</v>
      </c>
      <c r="C251">
        <v>12</v>
      </c>
      <c r="D251">
        <v>4</v>
      </c>
    </row>
    <row r="252" spans="1:4" x14ac:dyDescent="0.45">
      <c r="A252" s="2">
        <v>46363</v>
      </c>
      <c r="B252">
        <v>2026</v>
      </c>
      <c r="C252">
        <v>12</v>
      </c>
      <c r="D252">
        <v>4</v>
      </c>
    </row>
    <row r="253" spans="1:4" x14ac:dyDescent="0.45">
      <c r="A253" s="2">
        <v>46364</v>
      </c>
      <c r="B253">
        <v>2026</v>
      </c>
      <c r="C253">
        <v>12</v>
      </c>
      <c r="D253">
        <v>4</v>
      </c>
    </row>
    <row r="254" spans="1:4" x14ac:dyDescent="0.45">
      <c r="A254" s="2">
        <v>46365</v>
      </c>
      <c r="B254">
        <v>2026</v>
      </c>
      <c r="C254">
        <v>12</v>
      </c>
      <c r="D254">
        <v>4</v>
      </c>
    </row>
    <row r="255" spans="1:4" x14ac:dyDescent="0.45">
      <c r="A255" s="2">
        <v>46366</v>
      </c>
      <c r="B255">
        <v>2026</v>
      </c>
      <c r="C255">
        <v>12</v>
      </c>
      <c r="D255">
        <v>4</v>
      </c>
    </row>
    <row r="256" spans="1:4" x14ac:dyDescent="0.45">
      <c r="A256" s="2">
        <v>46367</v>
      </c>
      <c r="B256">
        <v>2026</v>
      </c>
      <c r="C256">
        <v>12</v>
      </c>
      <c r="D256">
        <v>4</v>
      </c>
    </row>
    <row r="257" spans="1:4" x14ac:dyDescent="0.45">
      <c r="A257" s="2">
        <v>46368</v>
      </c>
      <c r="B257">
        <v>2026</v>
      </c>
      <c r="C257">
        <v>12</v>
      </c>
      <c r="D257">
        <v>4</v>
      </c>
    </row>
    <row r="258" spans="1:4" x14ac:dyDescent="0.45">
      <c r="A258" s="2">
        <v>46369</v>
      </c>
      <c r="B258">
        <v>2026</v>
      </c>
      <c r="C258">
        <v>12</v>
      </c>
      <c r="D258">
        <v>4</v>
      </c>
    </row>
    <row r="259" spans="1:4" x14ac:dyDescent="0.45">
      <c r="A259" s="2">
        <v>46370</v>
      </c>
      <c r="B259">
        <v>2026</v>
      </c>
      <c r="C259">
        <v>12</v>
      </c>
      <c r="D259">
        <v>4</v>
      </c>
    </row>
    <row r="260" spans="1:4" x14ac:dyDescent="0.45">
      <c r="A260" s="2">
        <v>46371</v>
      </c>
      <c r="B260">
        <v>2026</v>
      </c>
      <c r="C260">
        <v>12</v>
      </c>
      <c r="D260">
        <v>4</v>
      </c>
    </row>
    <row r="261" spans="1:4" x14ac:dyDescent="0.45">
      <c r="A261" s="2">
        <v>46372</v>
      </c>
      <c r="B261">
        <v>2026</v>
      </c>
      <c r="C261">
        <v>12</v>
      </c>
      <c r="D261">
        <v>4</v>
      </c>
    </row>
    <row r="262" spans="1:4" x14ac:dyDescent="0.45">
      <c r="A262" s="2">
        <v>46373</v>
      </c>
      <c r="B262">
        <v>2026</v>
      </c>
      <c r="C262">
        <v>12</v>
      </c>
      <c r="D262">
        <v>4</v>
      </c>
    </row>
    <row r="263" spans="1:4" x14ac:dyDescent="0.45">
      <c r="A263" s="2">
        <v>46374</v>
      </c>
      <c r="B263">
        <v>2026</v>
      </c>
      <c r="C263">
        <v>12</v>
      </c>
      <c r="D263">
        <v>4</v>
      </c>
    </row>
    <row r="264" spans="1:4" x14ac:dyDescent="0.45">
      <c r="A264" s="2">
        <v>46375</v>
      </c>
      <c r="B264">
        <v>2026</v>
      </c>
      <c r="C264">
        <v>12</v>
      </c>
      <c r="D264">
        <v>4</v>
      </c>
    </row>
    <row r="265" spans="1:4" x14ac:dyDescent="0.45">
      <c r="A265" s="2">
        <v>46376</v>
      </c>
      <c r="B265">
        <v>2026</v>
      </c>
      <c r="C265">
        <v>12</v>
      </c>
      <c r="D265">
        <v>4</v>
      </c>
    </row>
    <row r="266" spans="1:4" x14ac:dyDescent="0.45">
      <c r="A266" s="2">
        <v>46377</v>
      </c>
      <c r="B266">
        <v>2026</v>
      </c>
      <c r="C266">
        <v>12</v>
      </c>
      <c r="D266">
        <v>4</v>
      </c>
    </row>
    <row r="267" spans="1:4" x14ac:dyDescent="0.45">
      <c r="A267" s="2">
        <v>46378</v>
      </c>
      <c r="B267">
        <v>2026</v>
      </c>
      <c r="C267">
        <v>12</v>
      </c>
      <c r="D267">
        <v>4</v>
      </c>
    </row>
    <row r="268" spans="1:4" x14ac:dyDescent="0.45">
      <c r="A268" s="2">
        <v>46379</v>
      </c>
      <c r="B268">
        <v>2026</v>
      </c>
      <c r="C268">
        <v>12</v>
      </c>
      <c r="D268">
        <v>4</v>
      </c>
    </row>
    <row r="269" spans="1:4" x14ac:dyDescent="0.45">
      <c r="A269" s="2">
        <v>46380</v>
      </c>
      <c r="B269">
        <v>2026</v>
      </c>
      <c r="C269">
        <v>12</v>
      </c>
      <c r="D269">
        <v>4</v>
      </c>
    </row>
    <row r="270" spans="1:4" x14ac:dyDescent="0.45">
      <c r="A270" s="2">
        <v>46381</v>
      </c>
      <c r="B270">
        <v>2026</v>
      </c>
      <c r="C270">
        <v>12</v>
      </c>
      <c r="D270">
        <v>4</v>
      </c>
    </row>
    <row r="271" spans="1:4" x14ac:dyDescent="0.45">
      <c r="A271" s="2">
        <v>46382</v>
      </c>
      <c r="B271">
        <v>2026</v>
      </c>
      <c r="C271">
        <v>12</v>
      </c>
      <c r="D271">
        <v>4</v>
      </c>
    </row>
    <row r="272" spans="1:4" x14ac:dyDescent="0.45">
      <c r="A272" s="2">
        <v>46383</v>
      </c>
      <c r="B272">
        <v>2026</v>
      </c>
      <c r="C272">
        <v>12</v>
      </c>
      <c r="D272">
        <v>4</v>
      </c>
    </row>
    <row r="273" spans="1:4" x14ac:dyDescent="0.45">
      <c r="A273" s="2">
        <v>46384</v>
      </c>
      <c r="B273">
        <v>2026</v>
      </c>
      <c r="C273">
        <v>12</v>
      </c>
      <c r="D273">
        <v>4</v>
      </c>
    </row>
    <row r="274" spans="1:4" x14ac:dyDescent="0.45">
      <c r="A274" s="2">
        <v>46385</v>
      </c>
      <c r="B274">
        <v>2026</v>
      </c>
      <c r="C274">
        <v>12</v>
      </c>
      <c r="D274">
        <v>4</v>
      </c>
    </row>
    <row r="275" spans="1:4" x14ac:dyDescent="0.45">
      <c r="A275" s="2">
        <v>46386</v>
      </c>
      <c r="B275">
        <v>2026</v>
      </c>
      <c r="C275">
        <v>12</v>
      </c>
      <c r="D275">
        <v>4</v>
      </c>
    </row>
    <row r="276" spans="1:4" x14ac:dyDescent="0.45">
      <c r="A276" s="2">
        <v>46387</v>
      </c>
      <c r="B276">
        <v>2026</v>
      </c>
      <c r="C276">
        <v>12</v>
      </c>
      <c r="D276">
        <v>4</v>
      </c>
    </row>
    <row r="277" spans="1:4" x14ac:dyDescent="0.45">
      <c r="A277" s="2">
        <v>46023</v>
      </c>
      <c r="B277">
        <v>2026</v>
      </c>
      <c r="C277">
        <v>1</v>
      </c>
      <c r="D277">
        <v>1</v>
      </c>
    </row>
    <row r="278" spans="1:4" x14ac:dyDescent="0.45">
      <c r="A278" s="2">
        <v>46024</v>
      </c>
      <c r="B278">
        <v>2026</v>
      </c>
      <c r="C278">
        <v>1</v>
      </c>
      <c r="D278">
        <v>1</v>
      </c>
    </row>
    <row r="279" spans="1:4" x14ac:dyDescent="0.45">
      <c r="A279" s="2">
        <v>46025</v>
      </c>
      <c r="B279">
        <v>2026</v>
      </c>
      <c r="C279">
        <v>1</v>
      </c>
      <c r="D279">
        <v>1</v>
      </c>
    </row>
    <row r="280" spans="1:4" x14ac:dyDescent="0.45">
      <c r="A280" s="2">
        <v>46026</v>
      </c>
      <c r="B280">
        <v>2026</v>
      </c>
      <c r="C280">
        <v>1</v>
      </c>
      <c r="D280">
        <v>1</v>
      </c>
    </row>
    <row r="281" spans="1:4" x14ac:dyDescent="0.45">
      <c r="A281" s="2">
        <v>46027</v>
      </c>
      <c r="B281">
        <v>2026</v>
      </c>
      <c r="C281">
        <v>1</v>
      </c>
      <c r="D281">
        <v>1</v>
      </c>
    </row>
    <row r="282" spans="1:4" x14ac:dyDescent="0.45">
      <c r="A282" s="2">
        <v>46028</v>
      </c>
      <c r="B282">
        <v>2026</v>
      </c>
      <c r="C282">
        <v>1</v>
      </c>
      <c r="D282">
        <v>1</v>
      </c>
    </row>
    <row r="283" spans="1:4" x14ac:dyDescent="0.45">
      <c r="A283" s="2">
        <v>46029</v>
      </c>
      <c r="B283">
        <v>2026</v>
      </c>
      <c r="C283">
        <v>1</v>
      </c>
      <c r="D283">
        <v>1</v>
      </c>
    </row>
    <row r="284" spans="1:4" x14ac:dyDescent="0.45">
      <c r="A284" s="2">
        <v>46030</v>
      </c>
      <c r="B284">
        <v>2026</v>
      </c>
      <c r="C284">
        <v>1</v>
      </c>
      <c r="D284">
        <v>1</v>
      </c>
    </row>
    <row r="285" spans="1:4" x14ac:dyDescent="0.45">
      <c r="A285" s="2">
        <v>46031</v>
      </c>
      <c r="B285">
        <v>2026</v>
      </c>
      <c r="C285">
        <v>1</v>
      </c>
      <c r="D285">
        <v>1</v>
      </c>
    </row>
    <row r="286" spans="1:4" x14ac:dyDescent="0.45">
      <c r="A286" s="2">
        <v>46032</v>
      </c>
      <c r="B286">
        <v>2026</v>
      </c>
      <c r="C286">
        <v>1</v>
      </c>
      <c r="D286">
        <v>1</v>
      </c>
    </row>
    <row r="287" spans="1:4" x14ac:dyDescent="0.45">
      <c r="A287" s="2">
        <v>46033</v>
      </c>
      <c r="B287">
        <v>2026</v>
      </c>
      <c r="C287">
        <v>1</v>
      </c>
      <c r="D287">
        <v>1</v>
      </c>
    </row>
    <row r="288" spans="1:4" x14ac:dyDescent="0.45">
      <c r="A288" s="2">
        <v>46034</v>
      </c>
      <c r="B288">
        <v>2026</v>
      </c>
      <c r="C288">
        <v>1</v>
      </c>
      <c r="D288">
        <v>1</v>
      </c>
    </row>
    <row r="289" spans="1:4" x14ac:dyDescent="0.45">
      <c r="A289" s="2">
        <v>46035</v>
      </c>
      <c r="B289">
        <v>2026</v>
      </c>
      <c r="C289">
        <v>1</v>
      </c>
      <c r="D289">
        <v>1</v>
      </c>
    </row>
    <row r="290" spans="1:4" x14ac:dyDescent="0.45">
      <c r="A290" s="2">
        <v>46036</v>
      </c>
      <c r="B290">
        <v>2026</v>
      </c>
      <c r="C290">
        <v>1</v>
      </c>
      <c r="D290">
        <v>1</v>
      </c>
    </row>
    <row r="291" spans="1:4" x14ac:dyDescent="0.45">
      <c r="A291" s="2">
        <v>46037</v>
      </c>
      <c r="B291">
        <v>2026</v>
      </c>
      <c r="C291">
        <v>1</v>
      </c>
      <c r="D291">
        <v>1</v>
      </c>
    </row>
    <row r="292" spans="1:4" x14ac:dyDescent="0.45">
      <c r="A292" s="2">
        <v>46038</v>
      </c>
      <c r="B292">
        <v>2026</v>
      </c>
      <c r="C292">
        <v>1</v>
      </c>
      <c r="D292">
        <v>1</v>
      </c>
    </row>
    <row r="293" spans="1:4" x14ac:dyDescent="0.45">
      <c r="A293" s="2">
        <v>46039</v>
      </c>
      <c r="B293">
        <v>2026</v>
      </c>
      <c r="C293">
        <v>1</v>
      </c>
      <c r="D293">
        <v>1</v>
      </c>
    </row>
    <row r="294" spans="1:4" x14ac:dyDescent="0.45">
      <c r="A294" s="2">
        <v>46040</v>
      </c>
      <c r="B294">
        <v>2026</v>
      </c>
      <c r="C294">
        <v>1</v>
      </c>
      <c r="D294">
        <v>1</v>
      </c>
    </row>
    <row r="295" spans="1:4" x14ac:dyDescent="0.45">
      <c r="A295" s="2">
        <v>46041</v>
      </c>
      <c r="B295">
        <v>2026</v>
      </c>
      <c r="C295">
        <v>1</v>
      </c>
      <c r="D295">
        <v>1</v>
      </c>
    </row>
    <row r="296" spans="1:4" x14ac:dyDescent="0.45">
      <c r="A296" s="2">
        <v>46042</v>
      </c>
      <c r="B296">
        <v>2026</v>
      </c>
      <c r="C296">
        <v>1</v>
      </c>
      <c r="D296">
        <v>1</v>
      </c>
    </row>
    <row r="297" spans="1:4" x14ac:dyDescent="0.45">
      <c r="A297" s="2">
        <v>46043</v>
      </c>
      <c r="B297">
        <v>2026</v>
      </c>
      <c r="C297">
        <v>1</v>
      </c>
      <c r="D297">
        <v>1</v>
      </c>
    </row>
    <row r="298" spans="1:4" x14ac:dyDescent="0.45">
      <c r="A298" s="2">
        <v>46044</v>
      </c>
      <c r="B298">
        <v>2026</v>
      </c>
      <c r="C298">
        <v>1</v>
      </c>
      <c r="D298">
        <v>1</v>
      </c>
    </row>
    <row r="299" spans="1:4" x14ac:dyDescent="0.45">
      <c r="A299" s="2">
        <v>46045</v>
      </c>
      <c r="B299">
        <v>2026</v>
      </c>
      <c r="C299">
        <v>1</v>
      </c>
      <c r="D299">
        <v>1</v>
      </c>
    </row>
    <row r="300" spans="1:4" x14ac:dyDescent="0.45">
      <c r="A300" s="2">
        <v>46046</v>
      </c>
      <c r="B300">
        <v>2026</v>
      </c>
      <c r="C300">
        <v>1</v>
      </c>
      <c r="D300">
        <v>1</v>
      </c>
    </row>
    <row r="301" spans="1:4" x14ac:dyDescent="0.45">
      <c r="A301" s="2">
        <v>46047</v>
      </c>
      <c r="B301">
        <v>2026</v>
      </c>
      <c r="C301">
        <v>1</v>
      </c>
      <c r="D301">
        <v>1</v>
      </c>
    </row>
    <row r="302" spans="1:4" x14ac:dyDescent="0.45">
      <c r="A302" s="2">
        <v>46048</v>
      </c>
      <c r="B302">
        <v>2026</v>
      </c>
      <c r="C302">
        <v>1</v>
      </c>
      <c r="D302">
        <v>1</v>
      </c>
    </row>
    <row r="303" spans="1:4" x14ac:dyDescent="0.45">
      <c r="A303" s="2">
        <v>46049</v>
      </c>
      <c r="B303">
        <v>2026</v>
      </c>
      <c r="C303">
        <v>1</v>
      </c>
      <c r="D303">
        <v>1</v>
      </c>
    </row>
    <row r="304" spans="1:4" x14ac:dyDescent="0.45">
      <c r="A304" s="2">
        <v>46050</v>
      </c>
      <c r="B304">
        <v>2026</v>
      </c>
      <c r="C304">
        <v>1</v>
      </c>
      <c r="D304">
        <v>1</v>
      </c>
    </row>
    <row r="305" spans="1:4" x14ac:dyDescent="0.45">
      <c r="A305" s="2">
        <v>46051</v>
      </c>
      <c r="B305">
        <v>2026</v>
      </c>
      <c r="C305">
        <v>1</v>
      </c>
      <c r="D305">
        <v>1</v>
      </c>
    </row>
    <row r="306" spans="1:4" x14ac:dyDescent="0.45">
      <c r="A306" s="2">
        <v>46052</v>
      </c>
      <c r="B306">
        <v>2026</v>
      </c>
      <c r="C306">
        <v>1</v>
      </c>
      <c r="D306">
        <v>1</v>
      </c>
    </row>
    <row r="307" spans="1:4" x14ac:dyDescent="0.45">
      <c r="A307" s="2">
        <v>46053</v>
      </c>
      <c r="B307">
        <v>2026</v>
      </c>
      <c r="C307">
        <v>1</v>
      </c>
      <c r="D307">
        <v>1</v>
      </c>
    </row>
    <row r="308" spans="1:4" x14ac:dyDescent="0.45">
      <c r="A308" s="2">
        <v>46054</v>
      </c>
      <c r="B308">
        <v>2026</v>
      </c>
      <c r="C308">
        <v>2</v>
      </c>
      <c r="D308">
        <v>1</v>
      </c>
    </row>
    <row r="309" spans="1:4" x14ac:dyDescent="0.45">
      <c r="A309" s="2">
        <v>46055</v>
      </c>
      <c r="B309">
        <v>2026</v>
      </c>
      <c r="C309">
        <v>2</v>
      </c>
      <c r="D309">
        <v>1</v>
      </c>
    </row>
    <row r="310" spans="1:4" x14ac:dyDescent="0.45">
      <c r="A310" s="2">
        <v>46056</v>
      </c>
      <c r="B310">
        <v>2026</v>
      </c>
      <c r="C310">
        <v>2</v>
      </c>
      <c r="D310">
        <v>1</v>
      </c>
    </row>
    <row r="311" spans="1:4" x14ac:dyDescent="0.45">
      <c r="A311" s="2">
        <v>46057</v>
      </c>
      <c r="B311">
        <v>2026</v>
      </c>
      <c r="C311">
        <v>2</v>
      </c>
      <c r="D311">
        <v>1</v>
      </c>
    </row>
    <row r="312" spans="1:4" x14ac:dyDescent="0.45">
      <c r="A312" s="2">
        <v>46058</v>
      </c>
      <c r="B312">
        <v>2026</v>
      </c>
      <c r="C312">
        <v>2</v>
      </c>
      <c r="D312">
        <v>1</v>
      </c>
    </row>
    <row r="313" spans="1:4" x14ac:dyDescent="0.45">
      <c r="A313" s="2">
        <v>46059</v>
      </c>
      <c r="B313">
        <v>2026</v>
      </c>
      <c r="C313">
        <v>2</v>
      </c>
      <c r="D313">
        <v>1</v>
      </c>
    </row>
    <row r="314" spans="1:4" x14ac:dyDescent="0.45">
      <c r="A314" s="2">
        <v>46060</v>
      </c>
      <c r="B314">
        <v>2026</v>
      </c>
      <c r="C314">
        <v>2</v>
      </c>
      <c r="D314">
        <v>1</v>
      </c>
    </row>
    <row r="315" spans="1:4" x14ac:dyDescent="0.45">
      <c r="A315" s="2">
        <v>46061</v>
      </c>
      <c r="B315">
        <v>2026</v>
      </c>
      <c r="C315">
        <v>2</v>
      </c>
      <c r="D315">
        <v>1</v>
      </c>
    </row>
    <row r="316" spans="1:4" x14ac:dyDescent="0.45">
      <c r="A316" s="2">
        <v>46062</v>
      </c>
      <c r="B316">
        <v>2026</v>
      </c>
      <c r="C316">
        <v>2</v>
      </c>
      <c r="D316">
        <v>1</v>
      </c>
    </row>
    <row r="317" spans="1:4" x14ac:dyDescent="0.45">
      <c r="A317" s="2">
        <v>46063</v>
      </c>
      <c r="B317">
        <v>2026</v>
      </c>
      <c r="C317">
        <v>2</v>
      </c>
      <c r="D317">
        <v>1</v>
      </c>
    </row>
    <row r="318" spans="1:4" x14ac:dyDescent="0.45">
      <c r="A318" s="2">
        <v>46064</v>
      </c>
      <c r="B318">
        <v>2026</v>
      </c>
      <c r="C318">
        <v>2</v>
      </c>
      <c r="D318">
        <v>1</v>
      </c>
    </row>
    <row r="319" spans="1:4" x14ac:dyDescent="0.45">
      <c r="A319" s="2">
        <v>46065</v>
      </c>
      <c r="B319">
        <v>2026</v>
      </c>
      <c r="C319">
        <v>2</v>
      </c>
      <c r="D319">
        <v>1</v>
      </c>
    </row>
    <row r="320" spans="1:4" x14ac:dyDescent="0.45">
      <c r="A320" s="2">
        <v>46066</v>
      </c>
      <c r="B320">
        <v>2026</v>
      </c>
      <c r="C320">
        <v>2</v>
      </c>
      <c r="D320">
        <v>1</v>
      </c>
    </row>
    <row r="321" spans="1:4" x14ac:dyDescent="0.45">
      <c r="A321" s="2">
        <v>46067</v>
      </c>
      <c r="B321">
        <v>2026</v>
      </c>
      <c r="C321">
        <v>2</v>
      </c>
      <c r="D321">
        <v>1</v>
      </c>
    </row>
    <row r="322" spans="1:4" x14ac:dyDescent="0.45">
      <c r="A322" s="2">
        <v>46068</v>
      </c>
      <c r="B322">
        <v>2026</v>
      </c>
      <c r="C322">
        <v>2</v>
      </c>
      <c r="D322">
        <v>1</v>
      </c>
    </row>
    <row r="323" spans="1:4" x14ac:dyDescent="0.45">
      <c r="A323" s="2">
        <v>46069</v>
      </c>
      <c r="B323">
        <v>2026</v>
      </c>
      <c r="C323">
        <v>2</v>
      </c>
      <c r="D323">
        <v>1</v>
      </c>
    </row>
    <row r="324" spans="1:4" x14ac:dyDescent="0.45">
      <c r="A324" s="2">
        <v>46070</v>
      </c>
      <c r="B324">
        <v>2026</v>
      </c>
      <c r="C324">
        <v>2</v>
      </c>
      <c r="D324">
        <v>1</v>
      </c>
    </row>
    <row r="325" spans="1:4" x14ac:dyDescent="0.45">
      <c r="A325" s="2">
        <v>46071</v>
      </c>
      <c r="B325">
        <v>2026</v>
      </c>
      <c r="C325">
        <v>2</v>
      </c>
      <c r="D325">
        <v>1</v>
      </c>
    </row>
    <row r="326" spans="1:4" x14ac:dyDescent="0.45">
      <c r="A326" s="2">
        <v>46072</v>
      </c>
      <c r="B326">
        <v>2026</v>
      </c>
      <c r="C326">
        <v>2</v>
      </c>
      <c r="D326">
        <v>1</v>
      </c>
    </row>
    <row r="327" spans="1:4" x14ac:dyDescent="0.45">
      <c r="A327" s="2">
        <v>46073</v>
      </c>
      <c r="B327">
        <v>2026</v>
      </c>
      <c r="C327">
        <v>2</v>
      </c>
      <c r="D327">
        <v>1</v>
      </c>
    </row>
    <row r="328" spans="1:4" x14ac:dyDescent="0.45">
      <c r="A328" s="2">
        <v>46074</v>
      </c>
      <c r="B328">
        <v>2026</v>
      </c>
      <c r="C328">
        <v>2</v>
      </c>
      <c r="D328">
        <v>1</v>
      </c>
    </row>
    <row r="329" spans="1:4" x14ac:dyDescent="0.45">
      <c r="A329" s="2">
        <v>46075</v>
      </c>
      <c r="B329">
        <v>2026</v>
      </c>
      <c r="C329">
        <v>2</v>
      </c>
      <c r="D329">
        <v>1</v>
      </c>
    </row>
    <row r="330" spans="1:4" x14ac:dyDescent="0.45">
      <c r="A330" s="2">
        <v>46076</v>
      </c>
      <c r="B330">
        <v>2026</v>
      </c>
      <c r="C330">
        <v>2</v>
      </c>
      <c r="D330">
        <v>1</v>
      </c>
    </row>
    <row r="331" spans="1:4" x14ac:dyDescent="0.45">
      <c r="A331" s="2">
        <v>46077</v>
      </c>
      <c r="B331">
        <v>2026</v>
      </c>
      <c r="C331">
        <v>2</v>
      </c>
      <c r="D331">
        <v>1</v>
      </c>
    </row>
    <row r="332" spans="1:4" x14ac:dyDescent="0.45">
      <c r="A332" s="2">
        <v>46078</v>
      </c>
      <c r="B332">
        <v>2026</v>
      </c>
      <c r="C332">
        <v>2</v>
      </c>
      <c r="D332">
        <v>1</v>
      </c>
    </row>
    <row r="333" spans="1:4" x14ac:dyDescent="0.45">
      <c r="A333" s="2">
        <v>46079</v>
      </c>
      <c r="B333">
        <v>2026</v>
      </c>
      <c r="C333">
        <v>2</v>
      </c>
      <c r="D333">
        <v>1</v>
      </c>
    </row>
    <row r="334" spans="1:4" x14ac:dyDescent="0.45">
      <c r="A334" s="2">
        <v>46080</v>
      </c>
      <c r="B334">
        <v>2026</v>
      </c>
      <c r="C334">
        <v>2</v>
      </c>
      <c r="D334">
        <v>1</v>
      </c>
    </row>
    <row r="335" spans="1:4" x14ac:dyDescent="0.45">
      <c r="A335" s="2">
        <v>46081</v>
      </c>
      <c r="B335">
        <v>2026</v>
      </c>
      <c r="C335">
        <v>2</v>
      </c>
      <c r="D335">
        <v>1</v>
      </c>
    </row>
    <row r="336" spans="1:4" x14ac:dyDescent="0.45">
      <c r="A336" s="2">
        <v>46082</v>
      </c>
      <c r="B336">
        <v>2026</v>
      </c>
      <c r="C336">
        <v>3</v>
      </c>
      <c r="D336">
        <v>1</v>
      </c>
    </row>
    <row r="337" spans="1:4" x14ac:dyDescent="0.45">
      <c r="A337" s="2">
        <v>46083</v>
      </c>
      <c r="B337">
        <v>2026</v>
      </c>
      <c r="C337">
        <v>3</v>
      </c>
      <c r="D337">
        <v>1</v>
      </c>
    </row>
    <row r="338" spans="1:4" x14ac:dyDescent="0.45">
      <c r="A338" s="2">
        <v>46084</v>
      </c>
      <c r="B338">
        <v>2026</v>
      </c>
      <c r="C338">
        <v>3</v>
      </c>
      <c r="D338">
        <v>1</v>
      </c>
    </row>
    <row r="339" spans="1:4" x14ac:dyDescent="0.45">
      <c r="A339" s="2">
        <v>46085</v>
      </c>
      <c r="B339">
        <v>2026</v>
      </c>
      <c r="C339">
        <v>3</v>
      </c>
      <c r="D339">
        <v>1</v>
      </c>
    </row>
    <row r="340" spans="1:4" x14ac:dyDescent="0.45">
      <c r="A340" s="2">
        <v>46086</v>
      </c>
      <c r="B340">
        <v>2026</v>
      </c>
      <c r="C340">
        <v>3</v>
      </c>
      <c r="D340">
        <v>1</v>
      </c>
    </row>
    <row r="341" spans="1:4" x14ac:dyDescent="0.45">
      <c r="A341" s="2">
        <v>46087</v>
      </c>
      <c r="B341">
        <v>2026</v>
      </c>
      <c r="C341">
        <v>3</v>
      </c>
      <c r="D341">
        <v>1</v>
      </c>
    </row>
    <row r="342" spans="1:4" x14ac:dyDescent="0.45">
      <c r="A342" s="2">
        <v>46088</v>
      </c>
      <c r="B342">
        <v>2026</v>
      </c>
      <c r="C342">
        <v>3</v>
      </c>
      <c r="D342">
        <v>1</v>
      </c>
    </row>
    <row r="343" spans="1:4" x14ac:dyDescent="0.45">
      <c r="A343" s="2">
        <v>46089</v>
      </c>
      <c r="B343">
        <v>2026</v>
      </c>
      <c r="C343">
        <v>3</v>
      </c>
      <c r="D343">
        <v>1</v>
      </c>
    </row>
    <row r="344" spans="1:4" x14ac:dyDescent="0.45">
      <c r="A344" s="2">
        <v>46090</v>
      </c>
      <c r="B344">
        <v>2026</v>
      </c>
      <c r="C344">
        <v>3</v>
      </c>
      <c r="D344">
        <v>1</v>
      </c>
    </row>
    <row r="345" spans="1:4" x14ac:dyDescent="0.45">
      <c r="A345" s="2">
        <v>46091</v>
      </c>
      <c r="B345">
        <v>2026</v>
      </c>
      <c r="C345">
        <v>3</v>
      </c>
      <c r="D345">
        <v>1</v>
      </c>
    </row>
    <row r="346" spans="1:4" x14ac:dyDescent="0.45">
      <c r="A346" s="2">
        <v>46092</v>
      </c>
      <c r="B346">
        <v>2026</v>
      </c>
      <c r="C346">
        <v>3</v>
      </c>
      <c r="D346">
        <v>1</v>
      </c>
    </row>
    <row r="347" spans="1:4" x14ac:dyDescent="0.45">
      <c r="A347" s="2">
        <v>46093</v>
      </c>
      <c r="B347">
        <v>2026</v>
      </c>
      <c r="C347">
        <v>3</v>
      </c>
      <c r="D347">
        <v>1</v>
      </c>
    </row>
    <row r="348" spans="1:4" x14ac:dyDescent="0.45">
      <c r="A348" s="2">
        <v>46094</v>
      </c>
      <c r="B348">
        <v>2026</v>
      </c>
      <c r="C348">
        <v>3</v>
      </c>
      <c r="D348">
        <v>1</v>
      </c>
    </row>
    <row r="349" spans="1:4" x14ac:dyDescent="0.45">
      <c r="A349" s="2">
        <v>46095</v>
      </c>
      <c r="B349">
        <v>2026</v>
      </c>
      <c r="C349">
        <v>3</v>
      </c>
      <c r="D349">
        <v>1</v>
      </c>
    </row>
    <row r="350" spans="1:4" x14ac:dyDescent="0.45">
      <c r="A350" s="2">
        <v>46096</v>
      </c>
      <c r="B350">
        <v>2026</v>
      </c>
      <c r="C350">
        <v>3</v>
      </c>
      <c r="D350">
        <v>1</v>
      </c>
    </row>
    <row r="351" spans="1:4" x14ac:dyDescent="0.45">
      <c r="A351" s="2">
        <v>46097</v>
      </c>
      <c r="B351">
        <v>2026</v>
      </c>
      <c r="C351">
        <v>3</v>
      </c>
      <c r="D351">
        <v>1</v>
      </c>
    </row>
    <row r="352" spans="1:4" x14ac:dyDescent="0.45">
      <c r="A352" s="2">
        <v>46098</v>
      </c>
      <c r="B352">
        <v>2026</v>
      </c>
      <c r="C352">
        <v>3</v>
      </c>
      <c r="D352">
        <v>1</v>
      </c>
    </row>
    <row r="353" spans="1:4" x14ac:dyDescent="0.45">
      <c r="A353" s="2">
        <v>46099</v>
      </c>
      <c r="B353">
        <v>2026</v>
      </c>
      <c r="C353">
        <v>3</v>
      </c>
      <c r="D353">
        <v>1</v>
      </c>
    </row>
    <row r="354" spans="1:4" x14ac:dyDescent="0.45">
      <c r="A354" s="2">
        <v>46100</v>
      </c>
      <c r="B354">
        <v>2026</v>
      </c>
      <c r="C354">
        <v>3</v>
      </c>
      <c r="D354">
        <v>1</v>
      </c>
    </row>
    <row r="355" spans="1:4" x14ac:dyDescent="0.45">
      <c r="A355" s="2">
        <v>46101</v>
      </c>
      <c r="B355">
        <v>2026</v>
      </c>
      <c r="C355">
        <v>3</v>
      </c>
      <c r="D355">
        <v>1</v>
      </c>
    </row>
    <row r="356" spans="1:4" x14ac:dyDescent="0.45">
      <c r="A356" s="2">
        <v>46102</v>
      </c>
      <c r="B356">
        <v>2026</v>
      </c>
      <c r="C356">
        <v>3</v>
      </c>
      <c r="D356">
        <v>1</v>
      </c>
    </row>
    <row r="357" spans="1:4" x14ac:dyDescent="0.45">
      <c r="A357" s="2">
        <v>46103</v>
      </c>
      <c r="B357">
        <v>2026</v>
      </c>
      <c r="C357">
        <v>3</v>
      </c>
      <c r="D357">
        <v>1</v>
      </c>
    </row>
    <row r="358" spans="1:4" x14ac:dyDescent="0.45">
      <c r="A358" s="2">
        <v>46104</v>
      </c>
      <c r="B358">
        <v>2026</v>
      </c>
      <c r="C358">
        <v>3</v>
      </c>
      <c r="D358">
        <v>1</v>
      </c>
    </row>
    <row r="359" spans="1:4" x14ac:dyDescent="0.45">
      <c r="A359" s="2">
        <v>46105</v>
      </c>
      <c r="B359">
        <v>2026</v>
      </c>
      <c r="C359">
        <v>3</v>
      </c>
      <c r="D359">
        <v>1</v>
      </c>
    </row>
    <row r="360" spans="1:4" x14ac:dyDescent="0.45">
      <c r="A360" s="2">
        <v>46106</v>
      </c>
      <c r="B360">
        <v>2026</v>
      </c>
      <c r="C360">
        <v>3</v>
      </c>
      <c r="D360">
        <v>1</v>
      </c>
    </row>
    <row r="361" spans="1:4" x14ac:dyDescent="0.45">
      <c r="A361" s="2">
        <v>46107</v>
      </c>
      <c r="B361">
        <v>2026</v>
      </c>
      <c r="C361">
        <v>3</v>
      </c>
      <c r="D361">
        <v>1</v>
      </c>
    </row>
    <row r="362" spans="1:4" x14ac:dyDescent="0.45">
      <c r="A362" s="2">
        <v>46108</v>
      </c>
      <c r="B362">
        <v>2026</v>
      </c>
      <c r="C362">
        <v>3</v>
      </c>
      <c r="D362">
        <v>1</v>
      </c>
    </row>
    <row r="363" spans="1:4" x14ac:dyDescent="0.45">
      <c r="A363" s="2">
        <v>46109</v>
      </c>
      <c r="B363">
        <v>2026</v>
      </c>
      <c r="C363">
        <v>3</v>
      </c>
      <c r="D363">
        <v>1</v>
      </c>
    </row>
    <row r="364" spans="1:4" x14ac:dyDescent="0.45">
      <c r="A364" s="2">
        <v>46110</v>
      </c>
      <c r="B364">
        <v>2026</v>
      </c>
      <c r="C364">
        <v>3</v>
      </c>
      <c r="D364">
        <v>1</v>
      </c>
    </row>
    <row r="365" spans="1:4" x14ac:dyDescent="0.45">
      <c r="A365" s="2">
        <v>46111</v>
      </c>
      <c r="B365">
        <v>2026</v>
      </c>
      <c r="C365">
        <v>3</v>
      </c>
      <c r="D365">
        <v>1</v>
      </c>
    </row>
    <row r="366" spans="1:4" x14ac:dyDescent="0.45">
      <c r="A366" s="2">
        <v>46112</v>
      </c>
      <c r="B366">
        <v>2026</v>
      </c>
      <c r="C366">
        <v>3</v>
      </c>
      <c r="D366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4F6F-9B5E-46BB-A37F-67026240A551}">
  <dimension ref="A1:D366"/>
  <sheetViews>
    <sheetView workbookViewId="0">
      <selection activeCell="G16" sqref="G16"/>
    </sheetView>
  </sheetViews>
  <sheetFormatPr baseColWidth="10" defaultRowHeight="14.25" x14ac:dyDescent="0.45"/>
  <sheetData>
    <row r="1" spans="1:4" x14ac:dyDescent="0.45">
      <c r="A1" t="s">
        <v>1</v>
      </c>
      <c r="B1" t="s">
        <v>99</v>
      </c>
      <c r="C1" t="s">
        <v>100</v>
      </c>
      <c r="D1" t="s">
        <v>101</v>
      </c>
    </row>
    <row r="2" spans="1:4" x14ac:dyDescent="0.45">
      <c r="A2" s="1">
        <v>46023</v>
      </c>
      <c r="B2">
        <f>YEAR(A2)</f>
        <v>2026</v>
      </c>
      <c r="C2">
        <f>MONTH(A2)</f>
        <v>1</v>
      </c>
      <c r="D2">
        <f>ROUNDUP(MONTH(A2)/3,0)</f>
        <v>1</v>
      </c>
    </row>
    <row r="3" spans="1:4" x14ac:dyDescent="0.45">
      <c r="A3" s="1">
        <f>A2+1</f>
        <v>46024</v>
      </c>
      <c r="B3">
        <f t="shared" ref="B3:B66" si="0">YEAR(A3)</f>
        <v>2026</v>
      </c>
      <c r="C3">
        <f t="shared" ref="C3:C66" si="1">MONTH(A3)</f>
        <v>1</v>
      </c>
      <c r="D3">
        <f t="shared" ref="D3:D66" si="2">ROUNDUP(MONTH(A3)/3,0)</f>
        <v>1</v>
      </c>
    </row>
    <row r="4" spans="1:4" x14ac:dyDescent="0.45">
      <c r="A4" s="1">
        <f t="shared" ref="A4:A67" si="3">A3+1</f>
        <v>46025</v>
      </c>
      <c r="B4">
        <f t="shared" si="0"/>
        <v>2026</v>
      </c>
      <c r="C4">
        <f t="shared" si="1"/>
        <v>1</v>
      </c>
      <c r="D4">
        <f t="shared" si="2"/>
        <v>1</v>
      </c>
    </row>
    <row r="5" spans="1:4" x14ac:dyDescent="0.45">
      <c r="A5" s="1">
        <f t="shared" si="3"/>
        <v>46026</v>
      </c>
      <c r="B5">
        <f t="shared" si="0"/>
        <v>2026</v>
      </c>
      <c r="C5">
        <f t="shared" si="1"/>
        <v>1</v>
      </c>
      <c r="D5">
        <f t="shared" si="2"/>
        <v>1</v>
      </c>
    </row>
    <row r="6" spans="1:4" x14ac:dyDescent="0.45">
      <c r="A6" s="1">
        <f t="shared" si="3"/>
        <v>46027</v>
      </c>
      <c r="B6">
        <f t="shared" si="0"/>
        <v>2026</v>
      </c>
      <c r="C6">
        <f t="shared" si="1"/>
        <v>1</v>
      </c>
      <c r="D6">
        <f t="shared" si="2"/>
        <v>1</v>
      </c>
    </row>
    <row r="7" spans="1:4" x14ac:dyDescent="0.45">
      <c r="A7" s="1">
        <f t="shared" si="3"/>
        <v>46028</v>
      </c>
      <c r="B7">
        <f t="shared" si="0"/>
        <v>2026</v>
      </c>
      <c r="C7">
        <f t="shared" si="1"/>
        <v>1</v>
      </c>
      <c r="D7">
        <f t="shared" si="2"/>
        <v>1</v>
      </c>
    </row>
    <row r="8" spans="1:4" x14ac:dyDescent="0.45">
      <c r="A8" s="1">
        <f t="shared" si="3"/>
        <v>46029</v>
      </c>
      <c r="B8">
        <f t="shared" si="0"/>
        <v>2026</v>
      </c>
      <c r="C8">
        <f t="shared" si="1"/>
        <v>1</v>
      </c>
      <c r="D8">
        <f t="shared" si="2"/>
        <v>1</v>
      </c>
    </row>
    <row r="9" spans="1:4" x14ac:dyDescent="0.45">
      <c r="A9" s="1">
        <f t="shared" si="3"/>
        <v>46030</v>
      </c>
      <c r="B9">
        <f t="shared" si="0"/>
        <v>2026</v>
      </c>
      <c r="C9">
        <f t="shared" si="1"/>
        <v>1</v>
      </c>
      <c r="D9">
        <f t="shared" si="2"/>
        <v>1</v>
      </c>
    </row>
    <row r="10" spans="1:4" x14ac:dyDescent="0.45">
      <c r="A10" s="1">
        <f t="shared" si="3"/>
        <v>46031</v>
      </c>
      <c r="B10">
        <f t="shared" si="0"/>
        <v>2026</v>
      </c>
      <c r="C10">
        <f t="shared" si="1"/>
        <v>1</v>
      </c>
      <c r="D10">
        <f t="shared" si="2"/>
        <v>1</v>
      </c>
    </row>
    <row r="11" spans="1:4" x14ac:dyDescent="0.45">
      <c r="A11" s="1">
        <f t="shared" si="3"/>
        <v>46032</v>
      </c>
      <c r="B11">
        <f t="shared" si="0"/>
        <v>2026</v>
      </c>
      <c r="C11">
        <f t="shared" si="1"/>
        <v>1</v>
      </c>
      <c r="D11">
        <f t="shared" si="2"/>
        <v>1</v>
      </c>
    </row>
    <row r="12" spans="1:4" x14ac:dyDescent="0.45">
      <c r="A12" s="1">
        <f t="shared" si="3"/>
        <v>46033</v>
      </c>
      <c r="B12">
        <f t="shared" si="0"/>
        <v>2026</v>
      </c>
      <c r="C12">
        <f t="shared" si="1"/>
        <v>1</v>
      </c>
      <c r="D12">
        <f t="shared" si="2"/>
        <v>1</v>
      </c>
    </row>
    <row r="13" spans="1:4" x14ac:dyDescent="0.45">
      <c r="A13" s="1">
        <f t="shared" si="3"/>
        <v>46034</v>
      </c>
      <c r="B13">
        <f t="shared" si="0"/>
        <v>2026</v>
      </c>
      <c r="C13">
        <f t="shared" si="1"/>
        <v>1</v>
      </c>
      <c r="D13">
        <f t="shared" si="2"/>
        <v>1</v>
      </c>
    </row>
    <row r="14" spans="1:4" x14ac:dyDescent="0.45">
      <c r="A14" s="1">
        <f t="shared" si="3"/>
        <v>46035</v>
      </c>
      <c r="B14">
        <f t="shared" si="0"/>
        <v>2026</v>
      </c>
      <c r="C14">
        <f t="shared" si="1"/>
        <v>1</v>
      </c>
      <c r="D14">
        <f t="shared" si="2"/>
        <v>1</v>
      </c>
    </row>
    <row r="15" spans="1:4" x14ac:dyDescent="0.45">
      <c r="A15" s="1">
        <f t="shared" si="3"/>
        <v>46036</v>
      </c>
      <c r="B15">
        <f t="shared" si="0"/>
        <v>2026</v>
      </c>
      <c r="C15">
        <f t="shared" si="1"/>
        <v>1</v>
      </c>
      <c r="D15">
        <f t="shared" si="2"/>
        <v>1</v>
      </c>
    </row>
    <row r="16" spans="1:4" x14ac:dyDescent="0.45">
      <c r="A16" s="1">
        <f t="shared" si="3"/>
        <v>46037</v>
      </c>
      <c r="B16">
        <f t="shared" si="0"/>
        <v>2026</v>
      </c>
      <c r="C16">
        <f t="shared" si="1"/>
        <v>1</v>
      </c>
      <c r="D16">
        <f t="shared" si="2"/>
        <v>1</v>
      </c>
    </row>
    <row r="17" spans="1:4" x14ac:dyDescent="0.45">
      <c r="A17" s="1">
        <f t="shared" si="3"/>
        <v>46038</v>
      </c>
      <c r="B17">
        <f t="shared" si="0"/>
        <v>2026</v>
      </c>
      <c r="C17">
        <f t="shared" si="1"/>
        <v>1</v>
      </c>
      <c r="D17">
        <f t="shared" si="2"/>
        <v>1</v>
      </c>
    </row>
    <row r="18" spans="1:4" x14ac:dyDescent="0.45">
      <c r="A18" s="1">
        <f t="shared" si="3"/>
        <v>46039</v>
      </c>
      <c r="B18">
        <f t="shared" si="0"/>
        <v>2026</v>
      </c>
      <c r="C18">
        <f t="shared" si="1"/>
        <v>1</v>
      </c>
      <c r="D18">
        <f t="shared" si="2"/>
        <v>1</v>
      </c>
    </row>
    <row r="19" spans="1:4" x14ac:dyDescent="0.45">
      <c r="A19" s="1">
        <f t="shared" si="3"/>
        <v>46040</v>
      </c>
      <c r="B19">
        <f t="shared" si="0"/>
        <v>2026</v>
      </c>
      <c r="C19">
        <f t="shared" si="1"/>
        <v>1</v>
      </c>
      <c r="D19">
        <f t="shared" si="2"/>
        <v>1</v>
      </c>
    </row>
    <row r="20" spans="1:4" x14ac:dyDescent="0.45">
      <c r="A20" s="1">
        <f t="shared" si="3"/>
        <v>46041</v>
      </c>
      <c r="B20">
        <f t="shared" si="0"/>
        <v>2026</v>
      </c>
      <c r="C20">
        <f t="shared" si="1"/>
        <v>1</v>
      </c>
      <c r="D20">
        <f t="shared" si="2"/>
        <v>1</v>
      </c>
    </row>
    <row r="21" spans="1:4" x14ac:dyDescent="0.45">
      <c r="A21" s="1">
        <f t="shared" si="3"/>
        <v>46042</v>
      </c>
      <c r="B21">
        <f t="shared" si="0"/>
        <v>2026</v>
      </c>
      <c r="C21">
        <f t="shared" si="1"/>
        <v>1</v>
      </c>
      <c r="D21">
        <f t="shared" si="2"/>
        <v>1</v>
      </c>
    </row>
    <row r="22" spans="1:4" x14ac:dyDescent="0.45">
      <c r="A22" s="1">
        <f t="shared" si="3"/>
        <v>46043</v>
      </c>
      <c r="B22">
        <f t="shared" si="0"/>
        <v>2026</v>
      </c>
      <c r="C22">
        <f t="shared" si="1"/>
        <v>1</v>
      </c>
      <c r="D22">
        <f t="shared" si="2"/>
        <v>1</v>
      </c>
    </row>
    <row r="23" spans="1:4" x14ac:dyDescent="0.45">
      <c r="A23" s="1">
        <f t="shared" si="3"/>
        <v>46044</v>
      </c>
      <c r="B23">
        <f t="shared" si="0"/>
        <v>2026</v>
      </c>
      <c r="C23">
        <f t="shared" si="1"/>
        <v>1</v>
      </c>
      <c r="D23">
        <f t="shared" si="2"/>
        <v>1</v>
      </c>
    </row>
    <row r="24" spans="1:4" x14ac:dyDescent="0.45">
      <c r="A24" s="1">
        <f t="shared" si="3"/>
        <v>46045</v>
      </c>
      <c r="B24">
        <f t="shared" si="0"/>
        <v>2026</v>
      </c>
      <c r="C24">
        <f t="shared" si="1"/>
        <v>1</v>
      </c>
      <c r="D24">
        <f t="shared" si="2"/>
        <v>1</v>
      </c>
    </row>
    <row r="25" spans="1:4" x14ac:dyDescent="0.45">
      <c r="A25" s="1">
        <f t="shared" si="3"/>
        <v>46046</v>
      </c>
      <c r="B25">
        <f t="shared" si="0"/>
        <v>2026</v>
      </c>
      <c r="C25">
        <f t="shared" si="1"/>
        <v>1</v>
      </c>
      <c r="D25">
        <f t="shared" si="2"/>
        <v>1</v>
      </c>
    </row>
    <row r="26" spans="1:4" x14ac:dyDescent="0.45">
      <c r="A26" s="1">
        <f t="shared" si="3"/>
        <v>46047</v>
      </c>
      <c r="B26">
        <f t="shared" si="0"/>
        <v>2026</v>
      </c>
      <c r="C26">
        <f t="shared" si="1"/>
        <v>1</v>
      </c>
      <c r="D26">
        <f t="shared" si="2"/>
        <v>1</v>
      </c>
    </row>
    <row r="27" spans="1:4" x14ac:dyDescent="0.45">
      <c r="A27" s="1">
        <f t="shared" si="3"/>
        <v>46048</v>
      </c>
      <c r="B27">
        <f t="shared" si="0"/>
        <v>2026</v>
      </c>
      <c r="C27">
        <f t="shared" si="1"/>
        <v>1</v>
      </c>
      <c r="D27">
        <f t="shared" si="2"/>
        <v>1</v>
      </c>
    </row>
    <row r="28" spans="1:4" x14ac:dyDescent="0.45">
      <c r="A28" s="1">
        <f t="shared" si="3"/>
        <v>46049</v>
      </c>
      <c r="B28">
        <f t="shared" si="0"/>
        <v>2026</v>
      </c>
      <c r="C28">
        <f t="shared" si="1"/>
        <v>1</v>
      </c>
      <c r="D28">
        <f t="shared" si="2"/>
        <v>1</v>
      </c>
    </row>
    <row r="29" spans="1:4" x14ac:dyDescent="0.45">
      <c r="A29" s="1">
        <f t="shared" si="3"/>
        <v>46050</v>
      </c>
      <c r="B29">
        <f t="shared" si="0"/>
        <v>2026</v>
      </c>
      <c r="C29">
        <f t="shared" si="1"/>
        <v>1</v>
      </c>
      <c r="D29">
        <f t="shared" si="2"/>
        <v>1</v>
      </c>
    </row>
    <row r="30" spans="1:4" x14ac:dyDescent="0.45">
      <c r="A30" s="1">
        <f t="shared" si="3"/>
        <v>46051</v>
      </c>
      <c r="B30">
        <f t="shared" si="0"/>
        <v>2026</v>
      </c>
      <c r="C30">
        <f t="shared" si="1"/>
        <v>1</v>
      </c>
      <c r="D30">
        <f t="shared" si="2"/>
        <v>1</v>
      </c>
    </row>
    <row r="31" spans="1:4" x14ac:dyDescent="0.45">
      <c r="A31" s="1">
        <f t="shared" si="3"/>
        <v>46052</v>
      </c>
      <c r="B31">
        <f t="shared" si="0"/>
        <v>2026</v>
      </c>
      <c r="C31">
        <f t="shared" si="1"/>
        <v>1</v>
      </c>
      <c r="D31">
        <f t="shared" si="2"/>
        <v>1</v>
      </c>
    </row>
    <row r="32" spans="1:4" x14ac:dyDescent="0.45">
      <c r="A32" s="1">
        <f t="shared" si="3"/>
        <v>46053</v>
      </c>
      <c r="B32">
        <f t="shared" si="0"/>
        <v>2026</v>
      </c>
      <c r="C32">
        <f t="shared" si="1"/>
        <v>1</v>
      </c>
      <c r="D32">
        <f t="shared" si="2"/>
        <v>1</v>
      </c>
    </row>
    <row r="33" spans="1:4" x14ac:dyDescent="0.45">
      <c r="A33" s="1">
        <f t="shared" si="3"/>
        <v>46054</v>
      </c>
      <c r="B33">
        <f t="shared" si="0"/>
        <v>2026</v>
      </c>
      <c r="C33">
        <f t="shared" si="1"/>
        <v>2</v>
      </c>
      <c r="D33">
        <f t="shared" si="2"/>
        <v>1</v>
      </c>
    </row>
    <row r="34" spans="1:4" x14ac:dyDescent="0.45">
      <c r="A34" s="1">
        <f t="shared" si="3"/>
        <v>46055</v>
      </c>
      <c r="B34">
        <f t="shared" si="0"/>
        <v>2026</v>
      </c>
      <c r="C34">
        <f t="shared" si="1"/>
        <v>2</v>
      </c>
      <c r="D34">
        <f t="shared" si="2"/>
        <v>1</v>
      </c>
    </row>
    <row r="35" spans="1:4" x14ac:dyDescent="0.45">
      <c r="A35" s="1">
        <f t="shared" si="3"/>
        <v>46056</v>
      </c>
      <c r="B35">
        <f t="shared" si="0"/>
        <v>2026</v>
      </c>
      <c r="C35">
        <f t="shared" si="1"/>
        <v>2</v>
      </c>
      <c r="D35">
        <f t="shared" si="2"/>
        <v>1</v>
      </c>
    </row>
    <row r="36" spans="1:4" x14ac:dyDescent="0.45">
      <c r="A36" s="1">
        <f t="shared" si="3"/>
        <v>46057</v>
      </c>
      <c r="B36">
        <f t="shared" si="0"/>
        <v>2026</v>
      </c>
      <c r="C36">
        <f t="shared" si="1"/>
        <v>2</v>
      </c>
      <c r="D36">
        <f t="shared" si="2"/>
        <v>1</v>
      </c>
    </row>
    <row r="37" spans="1:4" x14ac:dyDescent="0.45">
      <c r="A37" s="1">
        <f t="shared" si="3"/>
        <v>46058</v>
      </c>
      <c r="B37">
        <f t="shared" si="0"/>
        <v>2026</v>
      </c>
      <c r="C37">
        <f t="shared" si="1"/>
        <v>2</v>
      </c>
      <c r="D37">
        <f t="shared" si="2"/>
        <v>1</v>
      </c>
    </row>
    <row r="38" spans="1:4" x14ac:dyDescent="0.45">
      <c r="A38" s="1">
        <f t="shared" si="3"/>
        <v>46059</v>
      </c>
      <c r="B38">
        <f t="shared" si="0"/>
        <v>2026</v>
      </c>
      <c r="C38">
        <f t="shared" si="1"/>
        <v>2</v>
      </c>
      <c r="D38">
        <f t="shared" si="2"/>
        <v>1</v>
      </c>
    </row>
    <row r="39" spans="1:4" x14ac:dyDescent="0.45">
      <c r="A39" s="1">
        <f t="shared" si="3"/>
        <v>46060</v>
      </c>
      <c r="B39">
        <f t="shared" si="0"/>
        <v>2026</v>
      </c>
      <c r="C39">
        <f t="shared" si="1"/>
        <v>2</v>
      </c>
      <c r="D39">
        <f t="shared" si="2"/>
        <v>1</v>
      </c>
    </row>
    <row r="40" spans="1:4" x14ac:dyDescent="0.45">
      <c r="A40" s="1">
        <f t="shared" si="3"/>
        <v>46061</v>
      </c>
      <c r="B40">
        <f t="shared" si="0"/>
        <v>2026</v>
      </c>
      <c r="C40">
        <f t="shared" si="1"/>
        <v>2</v>
      </c>
      <c r="D40">
        <f t="shared" si="2"/>
        <v>1</v>
      </c>
    </row>
    <row r="41" spans="1:4" x14ac:dyDescent="0.45">
      <c r="A41" s="1">
        <f t="shared" si="3"/>
        <v>46062</v>
      </c>
      <c r="B41">
        <f t="shared" si="0"/>
        <v>2026</v>
      </c>
      <c r="C41">
        <f t="shared" si="1"/>
        <v>2</v>
      </c>
      <c r="D41">
        <f t="shared" si="2"/>
        <v>1</v>
      </c>
    </row>
    <row r="42" spans="1:4" x14ac:dyDescent="0.45">
      <c r="A42" s="1">
        <f t="shared" si="3"/>
        <v>46063</v>
      </c>
      <c r="B42">
        <f t="shared" si="0"/>
        <v>2026</v>
      </c>
      <c r="C42">
        <f t="shared" si="1"/>
        <v>2</v>
      </c>
      <c r="D42">
        <f t="shared" si="2"/>
        <v>1</v>
      </c>
    </row>
    <row r="43" spans="1:4" x14ac:dyDescent="0.45">
      <c r="A43" s="1">
        <f t="shared" si="3"/>
        <v>46064</v>
      </c>
      <c r="B43">
        <f t="shared" si="0"/>
        <v>2026</v>
      </c>
      <c r="C43">
        <f t="shared" si="1"/>
        <v>2</v>
      </c>
      <c r="D43">
        <f t="shared" si="2"/>
        <v>1</v>
      </c>
    </row>
    <row r="44" spans="1:4" x14ac:dyDescent="0.45">
      <c r="A44" s="1">
        <f t="shared" si="3"/>
        <v>46065</v>
      </c>
      <c r="B44">
        <f t="shared" si="0"/>
        <v>2026</v>
      </c>
      <c r="C44">
        <f t="shared" si="1"/>
        <v>2</v>
      </c>
      <c r="D44">
        <f t="shared" si="2"/>
        <v>1</v>
      </c>
    </row>
    <row r="45" spans="1:4" x14ac:dyDescent="0.45">
      <c r="A45" s="1">
        <f t="shared" si="3"/>
        <v>46066</v>
      </c>
      <c r="B45">
        <f t="shared" si="0"/>
        <v>2026</v>
      </c>
      <c r="C45">
        <f t="shared" si="1"/>
        <v>2</v>
      </c>
      <c r="D45">
        <f t="shared" si="2"/>
        <v>1</v>
      </c>
    </row>
    <row r="46" spans="1:4" x14ac:dyDescent="0.45">
      <c r="A46" s="1">
        <f t="shared" si="3"/>
        <v>46067</v>
      </c>
      <c r="B46">
        <f t="shared" si="0"/>
        <v>2026</v>
      </c>
      <c r="C46">
        <f t="shared" si="1"/>
        <v>2</v>
      </c>
      <c r="D46">
        <f t="shared" si="2"/>
        <v>1</v>
      </c>
    </row>
    <row r="47" spans="1:4" x14ac:dyDescent="0.45">
      <c r="A47" s="1">
        <f t="shared" si="3"/>
        <v>46068</v>
      </c>
      <c r="B47">
        <f t="shared" si="0"/>
        <v>2026</v>
      </c>
      <c r="C47">
        <f t="shared" si="1"/>
        <v>2</v>
      </c>
      <c r="D47">
        <f t="shared" si="2"/>
        <v>1</v>
      </c>
    </row>
    <row r="48" spans="1:4" x14ac:dyDescent="0.45">
      <c r="A48" s="1">
        <f t="shared" si="3"/>
        <v>46069</v>
      </c>
      <c r="B48">
        <f t="shared" si="0"/>
        <v>2026</v>
      </c>
      <c r="C48">
        <f t="shared" si="1"/>
        <v>2</v>
      </c>
      <c r="D48">
        <f t="shared" si="2"/>
        <v>1</v>
      </c>
    </row>
    <row r="49" spans="1:4" x14ac:dyDescent="0.45">
      <c r="A49" s="1">
        <f t="shared" si="3"/>
        <v>46070</v>
      </c>
      <c r="B49">
        <f t="shared" si="0"/>
        <v>2026</v>
      </c>
      <c r="C49">
        <f t="shared" si="1"/>
        <v>2</v>
      </c>
      <c r="D49">
        <f t="shared" si="2"/>
        <v>1</v>
      </c>
    </row>
    <row r="50" spans="1:4" x14ac:dyDescent="0.45">
      <c r="A50" s="1">
        <f t="shared" si="3"/>
        <v>46071</v>
      </c>
      <c r="B50">
        <f t="shared" si="0"/>
        <v>2026</v>
      </c>
      <c r="C50">
        <f t="shared" si="1"/>
        <v>2</v>
      </c>
      <c r="D50">
        <f t="shared" si="2"/>
        <v>1</v>
      </c>
    </row>
    <row r="51" spans="1:4" x14ac:dyDescent="0.45">
      <c r="A51" s="1">
        <f t="shared" si="3"/>
        <v>46072</v>
      </c>
      <c r="B51">
        <f t="shared" si="0"/>
        <v>2026</v>
      </c>
      <c r="C51">
        <f t="shared" si="1"/>
        <v>2</v>
      </c>
      <c r="D51">
        <f t="shared" si="2"/>
        <v>1</v>
      </c>
    </row>
    <row r="52" spans="1:4" x14ac:dyDescent="0.45">
      <c r="A52" s="1">
        <f t="shared" si="3"/>
        <v>46073</v>
      </c>
      <c r="B52">
        <f t="shared" si="0"/>
        <v>2026</v>
      </c>
      <c r="C52">
        <f t="shared" si="1"/>
        <v>2</v>
      </c>
      <c r="D52">
        <f t="shared" si="2"/>
        <v>1</v>
      </c>
    </row>
    <row r="53" spans="1:4" x14ac:dyDescent="0.45">
      <c r="A53" s="1">
        <f t="shared" si="3"/>
        <v>46074</v>
      </c>
      <c r="B53">
        <f t="shared" si="0"/>
        <v>2026</v>
      </c>
      <c r="C53">
        <f t="shared" si="1"/>
        <v>2</v>
      </c>
      <c r="D53">
        <f t="shared" si="2"/>
        <v>1</v>
      </c>
    </row>
    <row r="54" spans="1:4" x14ac:dyDescent="0.45">
      <c r="A54" s="1">
        <f t="shared" si="3"/>
        <v>46075</v>
      </c>
      <c r="B54">
        <f t="shared" si="0"/>
        <v>2026</v>
      </c>
      <c r="C54">
        <f t="shared" si="1"/>
        <v>2</v>
      </c>
      <c r="D54">
        <f t="shared" si="2"/>
        <v>1</v>
      </c>
    </row>
    <row r="55" spans="1:4" x14ac:dyDescent="0.45">
      <c r="A55" s="1">
        <f t="shared" si="3"/>
        <v>46076</v>
      </c>
      <c r="B55">
        <f t="shared" si="0"/>
        <v>2026</v>
      </c>
      <c r="C55">
        <f t="shared" si="1"/>
        <v>2</v>
      </c>
      <c r="D55">
        <f t="shared" si="2"/>
        <v>1</v>
      </c>
    </row>
    <row r="56" spans="1:4" x14ac:dyDescent="0.45">
      <c r="A56" s="1">
        <f t="shared" si="3"/>
        <v>46077</v>
      </c>
      <c r="B56">
        <f t="shared" si="0"/>
        <v>2026</v>
      </c>
      <c r="C56">
        <f t="shared" si="1"/>
        <v>2</v>
      </c>
      <c r="D56">
        <f t="shared" si="2"/>
        <v>1</v>
      </c>
    </row>
    <row r="57" spans="1:4" x14ac:dyDescent="0.45">
      <c r="A57" s="1">
        <f t="shared" si="3"/>
        <v>46078</v>
      </c>
      <c r="B57">
        <f t="shared" si="0"/>
        <v>2026</v>
      </c>
      <c r="C57">
        <f t="shared" si="1"/>
        <v>2</v>
      </c>
      <c r="D57">
        <f t="shared" si="2"/>
        <v>1</v>
      </c>
    </row>
    <row r="58" spans="1:4" x14ac:dyDescent="0.45">
      <c r="A58" s="1">
        <f t="shared" si="3"/>
        <v>46079</v>
      </c>
      <c r="B58">
        <f t="shared" si="0"/>
        <v>2026</v>
      </c>
      <c r="C58">
        <f t="shared" si="1"/>
        <v>2</v>
      </c>
      <c r="D58">
        <f t="shared" si="2"/>
        <v>1</v>
      </c>
    </row>
    <row r="59" spans="1:4" x14ac:dyDescent="0.45">
      <c r="A59" s="1">
        <f t="shared" si="3"/>
        <v>46080</v>
      </c>
      <c r="B59">
        <f t="shared" si="0"/>
        <v>2026</v>
      </c>
      <c r="C59">
        <f t="shared" si="1"/>
        <v>2</v>
      </c>
      <c r="D59">
        <f t="shared" si="2"/>
        <v>1</v>
      </c>
    </row>
    <row r="60" spans="1:4" x14ac:dyDescent="0.45">
      <c r="A60" s="1">
        <f t="shared" si="3"/>
        <v>46081</v>
      </c>
      <c r="B60">
        <f t="shared" si="0"/>
        <v>2026</v>
      </c>
      <c r="C60">
        <f t="shared" si="1"/>
        <v>2</v>
      </c>
      <c r="D60">
        <f t="shared" si="2"/>
        <v>1</v>
      </c>
    </row>
    <row r="61" spans="1:4" x14ac:dyDescent="0.45">
      <c r="A61" s="1">
        <f t="shared" si="3"/>
        <v>46082</v>
      </c>
      <c r="B61">
        <f t="shared" si="0"/>
        <v>2026</v>
      </c>
      <c r="C61">
        <f t="shared" si="1"/>
        <v>3</v>
      </c>
      <c r="D61">
        <f t="shared" si="2"/>
        <v>1</v>
      </c>
    </row>
    <row r="62" spans="1:4" x14ac:dyDescent="0.45">
      <c r="A62" s="1">
        <f t="shared" si="3"/>
        <v>46083</v>
      </c>
      <c r="B62">
        <f t="shared" si="0"/>
        <v>2026</v>
      </c>
      <c r="C62">
        <f t="shared" si="1"/>
        <v>3</v>
      </c>
      <c r="D62">
        <f t="shared" si="2"/>
        <v>1</v>
      </c>
    </row>
    <row r="63" spans="1:4" x14ac:dyDescent="0.45">
      <c r="A63" s="1">
        <f t="shared" si="3"/>
        <v>46084</v>
      </c>
      <c r="B63">
        <f t="shared" si="0"/>
        <v>2026</v>
      </c>
      <c r="C63">
        <f t="shared" si="1"/>
        <v>3</v>
      </c>
      <c r="D63">
        <f t="shared" si="2"/>
        <v>1</v>
      </c>
    </row>
    <row r="64" spans="1:4" x14ac:dyDescent="0.45">
      <c r="A64" s="1">
        <f t="shared" si="3"/>
        <v>46085</v>
      </c>
      <c r="B64">
        <f t="shared" si="0"/>
        <v>2026</v>
      </c>
      <c r="C64">
        <f t="shared" si="1"/>
        <v>3</v>
      </c>
      <c r="D64">
        <f t="shared" si="2"/>
        <v>1</v>
      </c>
    </row>
    <row r="65" spans="1:4" x14ac:dyDescent="0.45">
      <c r="A65" s="1">
        <f t="shared" si="3"/>
        <v>46086</v>
      </c>
      <c r="B65">
        <f t="shared" si="0"/>
        <v>2026</v>
      </c>
      <c r="C65">
        <f t="shared" si="1"/>
        <v>3</v>
      </c>
      <c r="D65">
        <f t="shared" si="2"/>
        <v>1</v>
      </c>
    </row>
    <row r="66" spans="1:4" x14ac:dyDescent="0.45">
      <c r="A66" s="1">
        <f t="shared" si="3"/>
        <v>46087</v>
      </c>
      <c r="B66">
        <f t="shared" si="0"/>
        <v>2026</v>
      </c>
      <c r="C66">
        <f t="shared" si="1"/>
        <v>3</v>
      </c>
      <c r="D66">
        <f t="shared" si="2"/>
        <v>1</v>
      </c>
    </row>
    <row r="67" spans="1:4" x14ac:dyDescent="0.45">
      <c r="A67" s="1">
        <f t="shared" si="3"/>
        <v>46088</v>
      </c>
      <c r="B67">
        <f t="shared" ref="B67:B130" si="4">YEAR(A67)</f>
        <v>2026</v>
      </c>
      <c r="C67">
        <f t="shared" ref="C67:C130" si="5">MONTH(A67)</f>
        <v>3</v>
      </c>
      <c r="D67">
        <f t="shared" ref="D67:D130" si="6">ROUNDUP(MONTH(A67)/3,0)</f>
        <v>1</v>
      </c>
    </row>
    <row r="68" spans="1:4" x14ac:dyDescent="0.45">
      <c r="A68" s="1">
        <f t="shared" ref="A68:A131" si="7">A67+1</f>
        <v>46089</v>
      </c>
      <c r="B68">
        <f t="shared" si="4"/>
        <v>2026</v>
      </c>
      <c r="C68">
        <f t="shared" si="5"/>
        <v>3</v>
      </c>
      <c r="D68">
        <f t="shared" si="6"/>
        <v>1</v>
      </c>
    </row>
    <row r="69" spans="1:4" x14ac:dyDescent="0.45">
      <c r="A69" s="1">
        <f t="shared" si="7"/>
        <v>46090</v>
      </c>
      <c r="B69">
        <f t="shared" si="4"/>
        <v>2026</v>
      </c>
      <c r="C69">
        <f t="shared" si="5"/>
        <v>3</v>
      </c>
      <c r="D69">
        <f t="shared" si="6"/>
        <v>1</v>
      </c>
    </row>
    <row r="70" spans="1:4" x14ac:dyDescent="0.45">
      <c r="A70" s="1">
        <f t="shared" si="7"/>
        <v>46091</v>
      </c>
      <c r="B70">
        <f t="shared" si="4"/>
        <v>2026</v>
      </c>
      <c r="C70">
        <f t="shared" si="5"/>
        <v>3</v>
      </c>
      <c r="D70">
        <f t="shared" si="6"/>
        <v>1</v>
      </c>
    </row>
    <row r="71" spans="1:4" x14ac:dyDescent="0.45">
      <c r="A71" s="1">
        <f t="shared" si="7"/>
        <v>46092</v>
      </c>
      <c r="B71">
        <f t="shared" si="4"/>
        <v>2026</v>
      </c>
      <c r="C71">
        <f t="shared" si="5"/>
        <v>3</v>
      </c>
      <c r="D71">
        <f t="shared" si="6"/>
        <v>1</v>
      </c>
    </row>
    <row r="72" spans="1:4" x14ac:dyDescent="0.45">
      <c r="A72" s="1">
        <f t="shared" si="7"/>
        <v>46093</v>
      </c>
      <c r="B72">
        <f t="shared" si="4"/>
        <v>2026</v>
      </c>
      <c r="C72">
        <f t="shared" si="5"/>
        <v>3</v>
      </c>
      <c r="D72">
        <f t="shared" si="6"/>
        <v>1</v>
      </c>
    </row>
    <row r="73" spans="1:4" x14ac:dyDescent="0.45">
      <c r="A73" s="1">
        <f t="shared" si="7"/>
        <v>46094</v>
      </c>
      <c r="B73">
        <f t="shared" si="4"/>
        <v>2026</v>
      </c>
      <c r="C73">
        <f t="shared" si="5"/>
        <v>3</v>
      </c>
      <c r="D73">
        <f t="shared" si="6"/>
        <v>1</v>
      </c>
    </row>
    <row r="74" spans="1:4" x14ac:dyDescent="0.45">
      <c r="A74" s="1">
        <f t="shared" si="7"/>
        <v>46095</v>
      </c>
      <c r="B74">
        <f t="shared" si="4"/>
        <v>2026</v>
      </c>
      <c r="C74">
        <f t="shared" si="5"/>
        <v>3</v>
      </c>
      <c r="D74">
        <f t="shared" si="6"/>
        <v>1</v>
      </c>
    </row>
    <row r="75" spans="1:4" x14ac:dyDescent="0.45">
      <c r="A75" s="1">
        <f t="shared" si="7"/>
        <v>46096</v>
      </c>
      <c r="B75">
        <f t="shared" si="4"/>
        <v>2026</v>
      </c>
      <c r="C75">
        <f t="shared" si="5"/>
        <v>3</v>
      </c>
      <c r="D75">
        <f t="shared" si="6"/>
        <v>1</v>
      </c>
    </row>
    <row r="76" spans="1:4" x14ac:dyDescent="0.45">
      <c r="A76" s="1">
        <f t="shared" si="7"/>
        <v>46097</v>
      </c>
      <c r="B76">
        <f t="shared" si="4"/>
        <v>2026</v>
      </c>
      <c r="C76">
        <f t="shared" si="5"/>
        <v>3</v>
      </c>
      <c r="D76">
        <f t="shared" si="6"/>
        <v>1</v>
      </c>
    </row>
    <row r="77" spans="1:4" x14ac:dyDescent="0.45">
      <c r="A77" s="1">
        <f t="shared" si="7"/>
        <v>46098</v>
      </c>
      <c r="B77">
        <f t="shared" si="4"/>
        <v>2026</v>
      </c>
      <c r="C77">
        <f t="shared" si="5"/>
        <v>3</v>
      </c>
      <c r="D77">
        <f t="shared" si="6"/>
        <v>1</v>
      </c>
    </row>
    <row r="78" spans="1:4" x14ac:dyDescent="0.45">
      <c r="A78" s="1">
        <f t="shared" si="7"/>
        <v>46099</v>
      </c>
      <c r="B78">
        <f t="shared" si="4"/>
        <v>2026</v>
      </c>
      <c r="C78">
        <f t="shared" si="5"/>
        <v>3</v>
      </c>
      <c r="D78">
        <f t="shared" si="6"/>
        <v>1</v>
      </c>
    </row>
    <row r="79" spans="1:4" x14ac:dyDescent="0.45">
      <c r="A79" s="1">
        <f t="shared" si="7"/>
        <v>46100</v>
      </c>
      <c r="B79">
        <f t="shared" si="4"/>
        <v>2026</v>
      </c>
      <c r="C79">
        <f t="shared" si="5"/>
        <v>3</v>
      </c>
      <c r="D79">
        <f t="shared" si="6"/>
        <v>1</v>
      </c>
    </row>
    <row r="80" spans="1:4" x14ac:dyDescent="0.45">
      <c r="A80" s="1">
        <f t="shared" si="7"/>
        <v>46101</v>
      </c>
      <c r="B80">
        <f t="shared" si="4"/>
        <v>2026</v>
      </c>
      <c r="C80">
        <f t="shared" si="5"/>
        <v>3</v>
      </c>
      <c r="D80">
        <f t="shared" si="6"/>
        <v>1</v>
      </c>
    </row>
    <row r="81" spans="1:4" x14ac:dyDescent="0.45">
      <c r="A81" s="1">
        <f t="shared" si="7"/>
        <v>46102</v>
      </c>
      <c r="B81">
        <f t="shared" si="4"/>
        <v>2026</v>
      </c>
      <c r="C81">
        <f t="shared" si="5"/>
        <v>3</v>
      </c>
      <c r="D81">
        <f t="shared" si="6"/>
        <v>1</v>
      </c>
    </row>
    <row r="82" spans="1:4" x14ac:dyDescent="0.45">
      <c r="A82" s="1">
        <f t="shared" si="7"/>
        <v>46103</v>
      </c>
      <c r="B82">
        <f t="shared" si="4"/>
        <v>2026</v>
      </c>
      <c r="C82">
        <f t="shared" si="5"/>
        <v>3</v>
      </c>
      <c r="D82">
        <f t="shared" si="6"/>
        <v>1</v>
      </c>
    </row>
    <row r="83" spans="1:4" x14ac:dyDescent="0.45">
      <c r="A83" s="1">
        <f t="shared" si="7"/>
        <v>46104</v>
      </c>
      <c r="B83">
        <f t="shared" si="4"/>
        <v>2026</v>
      </c>
      <c r="C83">
        <f t="shared" si="5"/>
        <v>3</v>
      </c>
      <c r="D83">
        <f t="shared" si="6"/>
        <v>1</v>
      </c>
    </row>
    <row r="84" spans="1:4" x14ac:dyDescent="0.45">
      <c r="A84" s="1">
        <f t="shared" si="7"/>
        <v>46105</v>
      </c>
      <c r="B84">
        <f t="shared" si="4"/>
        <v>2026</v>
      </c>
      <c r="C84">
        <f t="shared" si="5"/>
        <v>3</v>
      </c>
      <c r="D84">
        <f t="shared" si="6"/>
        <v>1</v>
      </c>
    </row>
    <row r="85" spans="1:4" x14ac:dyDescent="0.45">
      <c r="A85" s="1">
        <f t="shared" si="7"/>
        <v>46106</v>
      </c>
      <c r="B85">
        <f t="shared" si="4"/>
        <v>2026</v>
      </c>
      <c r="C85">
        <f t="shared" si="5"/>
        <v>3</v>
      </c>
      <c r="D85">
        <f t="shared" si="6"/>
        <v>1</v>
      </c>
    </row>
    <row r="86" spans="1:4" x14ac:dyDescent="0.45">
      <c r="A86" s="1">
        <f t="shared" si="7"/>
        <v>46107</v>
      </c>
      <c r="B86">
        <f t="shared" si="4"/>
        <v>2026</v>
      </c>
      <c r="C86">
        <f t="shared" si="5"/>
        <v>3</v>
      </c>
      <c r="D86">
        <f t="shared" si="6"/>
        <v>1</v>
      </c>
    </row>
    <row r="87" spans="1:4" x14ac:dyDescent="0.45">
      <c r="A87" s="1">
        <f t="shared" si="7"/>
        <v>46108</v>
      </c>
      <c r="B87">
        <f t="shared" si="4"/>
        <v>2026</v>
      </c>
      <c r="C87">
        <f t="shared" si="5"/>
        <v>3</v>
      </c>
      <c r="D87">
        <f t="shared" si="6"/>
        <v>1</v>
      </c>
    </row>
    <row r="88" spans="1:4" x14ac:dyDescent="0.45">
      <c r="A88" s="1">
        <f t="shared" si="7"/>
        <v>46109</v>
      </c>
      <c r="B88">
        <f t="shared" si="4"/>
        <v>2026</v>
      </c>
      <c r="C88">
        <f t="shared" si="5"/>
        <v>3</v>
      </c>
      <c r="D88">
        <f t="shared" si="6"/>
        <v>1</v>
      </c>
    </row>
    <row r="89" spans="1:4" x14ac:dyDescent="0.45">
      <c r="A89" s="1">
        <f t="shared" si="7"/>
        <v>46110</v>
      </c>
      <c r="B89">
        <f t="shared" si="4"/>
        <v>2026</v>
      </c>
      <c r="C89">
        <f t="shared" si="5"/>
        <v>3</v>
      </c>
      <c r="D89">
        <f t="shared" si="6"/>
        <v>1</v>
      </c>
    </row>
    <row r="90" spans="1:4" x14ac:dyDescent="0.45">
      <c r="A90" s="1">
        <f t="shared" si="7"/>
        <v>46111</v>
      </c>
      <c r="B90">
        <f t="shared" si="4"/>
        <v>2026</v>
      </c>
      <c r="C90">
        <f t="shared" si="5"/>
        <v>3</v>
      </c>
      <c r="D90">
        <f t="shared" si="6"/>
        <v>1</v>
      </c>
    </row>
    <row r="91" spans="1:4" x14ac:dyDescent="0.45">
      <c r="A91" s="1">
        <f t="shared" si="7"/>
        <v>46112</v>
      </c>
      <c r="B91">
        <f t="shared" si="4"/>
        <v>2026</v>
      </c>
      <c r="C91">
        <f t="shared" si="5"/>
        <v>3</v>
      </c>
      <c r="D91">
        <f t="shared" si="6"/>
        <v>1</v>
      </c>
    </row>
    <row r="92" spans="1:4" x14ac:dyDescent="0.45">
      <c r="A92" s="1">
        <f t="shared" si="7"/>
        <v>46113</v>
      </c>
      <c r="B92">
        <f t="shared" si="4"/>
        <v>2026</v>
      </c>
      <c r="C92">
        <f t="shared" si="5"/>
        <v>4</v>
      </c>
      <c r="D92">
        <f t="shared" si="6"/>
        <v>2</v>
      </c>
    </row>
    <row r="93" spans="1:4" x14ac:dyDescent="0.45">
      <c r="A93" s="1">
        <f t="shared" si="7"/>
        <v>46114</v>
      </c>
      <c r="B93">
        <f t="shared" si="4"/>
        <v>2026</v>
      </c>
      <c r="C93">
        <f t="shared" si="5"/>
        <v>4</v>
      </c>
      <c r="D93">
        <f t="shared" si="6"/>
        <v>2</v>
      </c>
    </row>
    <row r="94" spans="1:4" x14ac:dyDescent="0.45">
      <c r="A94" s="1">
        <f t="shared" si="7"/>
        <v>46115</v>
      </c>
      <c r="B94">
        <f t="shared" si="4"/>
        <v>2026</v>
      </c>
      <c r="C94">
        <f t="shared" si="5"/>
        <v>4</v>
      </c>
      <c r="D94">
        <f t="shared" si="6"/>
        <v>2</v>
      </c>
    </row>
    <row r="95" spans="1:4" x14ac:dyDescent="0.45">
      <c r="A95" s="1">
        <f t="shared" si="7"/>
        <v>46116</v>
      </c>
      <c r="B95">
        <f t="shared" si="4"/>
        <v>2026</v>
      </c>
      <c r="C95">
        <f t="shared" si="5"/>
        <v>4</v>
      </c>
      <c r="D95">
        <f t="shared" si="6"/>
        <v>2</v>
      </c>
    </row>
    <row r="96" spans="1:4" x14ac:dyDescent="0.45">
      <c r="A96" s="1">
        <f t="shared" si="7"/>
        <v>46117</v>
      </c>
      <c r="B96">
        <f t="shared" si="4"/>
        <v>2026</v>
      </c>
      <c r="C96">
        <f t="shared" si="5"/>
        <v>4</v>
      </c>
      <c r="D96">
        <f t="shared" si="6"/>
        <v>2</v>
      </c>
    </row>
    <row r="97" spans="1:4" x14ac:dyDescent="0.45">
      <c r="A97" s="1">
        <f t="shared" si="7"/>
        <v>46118</v>
      </c>
      <c r="B97">
        <f t="shared" si="4"/>
        <v>2026</v>
      </c>
      <c r="C97">
        <f t="shared" si="5"/>
        <v>4</v>
      </c>
      <c r="D97">
        <f t="shared" si="6"/>
        <v>2</v>
      </c>
    </row>
    <row r="98" spans="1:4" x14ac:dyDescent="0.45">
      <c r="A98" s="1">
        <f t="shared" si="7"/>
        <v>46119</v>
      </c>
      <c r="B98">
        <f t="shared" si="4"/>
        <v>2026</v>
      </c>
      <c r="C98">
        <f t="shared" si="5"/>
        <v>4</v>
      </c>
      <c r="D98">
        <f t="shared" si="6"/>
        <v>2</v>
      </c>
    </row>
    <row r="99" spans="1:4" x14ac:dyDescent="0.45">
      <c r="A99" s="1">
        <f t="shared" si="7"/>
        <v>46120</v>
      </c>
      <c r="B99">
        <f t="shared" si="4"/>
        <v>2026</v>
      </c>
      <c r="C99">
        <f t="shared" si="5"/>
        <v>4</v>
      </c>
      <c r="D99">
        <f t="shared" si="6"/>
        <v>2</v>
      </c>
    </row>
    <row r="100" spans="1:4" x14ac:dyDescent="0.45">
      <c r="A100" s="1">
        <f t="shared" si="7"/>
        <v>46121</v>
      </c>
      <c r="B100">
        <f t="shared" si="4"/>
        <v>2026</v>
      </c>
      <c r="C100">
        <f t="shared" si="5"/>
        <v>4</v>
      </c>
      <c r="D100">
        <f t="shared" si="6"/>
        <v>2</v>
      </c>
    </row>
    <row r="101" spans="1:4" x14ac:dyDescent="0.45">
      <c r="A101" s="1">
        <f t="shared" si="7"/>
        <v>46122</v>
      </c>
      <c r="B101">
        <f t="shared" si="4"/>
        <v>2026</v>
      </c>
      <c r="C101">
        <f t="shared" si="5"/>
        <v>4</v>
      </c>
      <c r="D101">
        <f t="shared" si="6"/>
        <v>2</v>
      </c>
    </row>
    <row r="102" spans="1:4" x14ac:dyDescent="0.45">
      <c r="A102" s="1">
        <f t="shared" si="7"/>
        <v>46123</v>
      </c>
      <c r="B102">
        <f t="shared" si="4"/>
        <v>2026</v>
      </c>
      <c r="C102">
        <f t="shared" si="5"/>
        <v>4</v>
      </c>
      <c r="D102">
        <f t="shared" si="6"/>
        <v>2</v>
      </c>
    </row>
    <row r="103" spans="1:4" x14ac:dyDescent="0.45">
      <c r="A103" s="1">
        <f t="shared" si="7"/>
        <v>46124</v>
      </c>
      <c r="B103">
        <f t="shared" si="4"/>
        <v>2026</v>
      </c>
      <c r="C103">
        <f t="shared" si="5"/>
        <v>4</v>
      </c>
      <c r="D103">
        <f t="shared" si="6"/>
        <v>2</v>
      </c>
    </row>
    <row r="104" spans="1:4" x14ac:dyDescent="0.45">
      <c r="A104" s="1">
        <f t="shared" si="7"/>
        <v>46125</v>
      </c>
      <c r="B104">
        <f t="shared" si="4"/>
        <v>2026</v>
      </c>
      <c r="C104">
        <f t="shared" si="5"/>
        <v>4</v>
      </c>
      <c r="D104">
        <f t="shared" si="6"/>
        <v>2</v>
      </c>
    </row>
    <row r="105" spans="1:4" x14ac:dyDescent="0.45">
      <c r="A105" s="1">
        <f t="shared" si="7"/>
        <v>46126</v>
      </c>
      <c r="B105">
        <f t="shared" si="4"/>
        <v>2026</v>
      </c>
      <c r="C105">
        <f t="shared" si="5"/>
        <v>4</v>
      </c>
      <c r="D105">
        <f t="shared" si="6"/>
        <v>2</v>
      </c>
    </row>
    <row r="106" spans="1:4" x14ac:dyDescent="0.45">
      <c r="A106" s="1">
        <f t="shared" si="7"/>
        <v>46127</v>
      </c>
      <c r="B106">
        <f t="shared" si="4"/>
        <v>2026</v>
      </c>
      <c r="C106">
        <f t="shared" si="5"/>
        <v>4</v>
      </c>
      <c r="D106">
        <f t="shared" si="6"/>
        <v>2</v>
      </c>
    </row>
    <row r="107" spans="1:4" x14ac:dyDescent="0.45">
      <c r="A107" s="1">
        <f t="shared" si="7"/>
        <v>46128</v>
      </c>
      <c r="B107">
        <f t="shared" si="4"/>
        <v>2026</v>
      </c>
      <c r="C107">
        <f t="shared" si="5"/>
        <v>4</v>
      </c>
      <c r="D107">
        <f t="shared" si="6"/>
        <v>2</v>
      </c>
    </row>
    <row r="108" spans="1:4" x14ac:dyDescent="0.45">
      <c r="A108" s="1">
        <f t="shared" si="7"/>
        <v>46129</v>
      </c>
      <c r="B108">
        <f t="shared" si="4"/>
        <v>2026</v>
      </c>
      <c r="C108">
        <f t="shared" si="5"/>
        <v>4</v>
      </c>
      <c r="D108">
        <f t="shared" si="6"/>
        <v>2</v>
      </c>
    </row>
    <row r="109" spans="1:4" x14ac:dyDescent="0.45">
      <c r="A109" s="1">
        <f t="shared" si="7"/>
        <v>46130</v>
      </c>
      <c r="B109">
        <f t="shared" si="4"/>
        <v>2026</v>
      </c>
      <c r="C109">
        <f t="shared" si="5"/>
        <v>4</v>
      </c>
      <c r="D109">
        <f t="shared" si="6"/>
        <v>2</v>
      </c>
    </row>
    <row r="110" spans="1:4" x14ac:dyDescent="0.45">
      <c r="A110" s="1">
        <f t="shared" si="7"/>
        <v>46131</v>
      </c>
      <c r="B110">
        <f t="shared" si="4"/>
        <v>2026</v>
      </c>
      <c r="C110">
        <f t="shared" si="5"/>
        <v>4</v>
      </c>
      <c r="D110">
        <f t="shared" si="6"/>
        <v>2</v>
      </c>
    </row>
    <row r="111" spans="1:4" x14ac:dyDescent="0.45">
      <c r="A111" s="1">
        <f t="shared" si="7"/>
        <v>46132</v>
      </c>
      <c r="B111">
        <f t="shared" si="4"/>
        <v>2026</v>
      </c>
      <c r="C111">
        <f t="shared" si="5"/>
        <v>4</v>
      </c>
      <c r="D111">
        <f t="shared" si="6"/>
        <v>2</v>
      </c>
    </row>
    <row r="112" spans="1:4" x14ac:dyDescent="0.45">
      <c r="A112" s="1">
        <f t="shared" si="7"/>
        <v>46133</v>
      </c>
      <c r="B112">
        <f t="shared" si="4"/>
        <v>2026</v>
      </c>
      <c r="C112">
        <f t="shared" si="5"/>
        <v>4</v>
      </c>
      <c r="D112">
        <f t="shared" si="6"/>
        <v>2</v>
      </c>
    </row>
    <row r="113" spans="1:4" x14ac:dyDescent="0.45">
      <c r="A113" s="1">
        <f t="shared" si="7"/>
        <v>46134</v>
      </c>
      <c r="B113">
        <f t="shared" si="4"/>
        <v>2026</v>
      </c>
      <c r="C113">
        <f t="shared" si="5"/>
        <v>4</v>
      </c>
      <c r="D113">
        <f t="shared" si="6"/>
        <v>2</v>
      </c>
    </row>
    <row r="114" spans="1:4" x14ac:dyDescent="0.45">
      <c r="A114" s="1">
        <f t="shared" si="7"/>
        <v>46135</v>
      </c>
      <c r="B114">
        <f t="shared" si="4"/>
        <v>2026</v>
      </c>
      <c r="C114">
        <f t="shared" si="5"/>
        <v>4</v>
      </c>
      <c r="D114">
        <f t="shared" si="6"/>
        <v>2</v>
      </c>
    </row>
    <row r="115" spans="1:4" x14ac:dyDescent="0.45">
      <c r="A115" s="1">
        <f t="shared" si="7"/>
        <v>46136</v>
      </c>
      <c r="B115">
        <f t="shared" si="4"/>
        <v>2026</v>
      </c>
      <c r="C115">
        <f t="shared" si="5"/>
        <v>4</v>
      </c>
      <c r="D115">
        <f t="shared" si="6"/>
        <v>2</v>
      </c>
    </row>
    <row r="116" spans="1:4" x14ac:dyDescent="0.45">
      <c r="A116" s="1">
        <f t="shared" si="7"/>
        <v>46137</v>
      </c>
      <c r="B116">
        <f t="shared" si="4"/>
        <v>2026</v>
      </c>
      <c r="C116">
        <f t="shared" si="5"/>
        <v>4</v>
      </c>
      <c r="D116">
        <f t="shared" si="6"/>
        <v>2</v>
      </c>
    </row>
    <row r="117" spans="1:4" x14ac:dyDescent="0.45">
      <c r="A117" s="1">
        <f t="shared" si="7"/>
        <v>46138</v>
      </c>
      <c r="B117">
        <f t="shared" si="4"/>
        <v>2026</v>
      </c>
      <c r="C117">
        <f t="shared" si="5"/>
        <v>4</v>
      </c>
      <c r="D117">
        <f t="shared" si="6"/>
        <v>2</v>
      </c>
    </row>
    <row r="118" spans="1:4" x14ac:dyDescent="0.45">
      <c r="A118" s="1">
        <f t="shared" si="7"/>
        <v>46139</v>
      </c>
      <c r="B118">
        <f t="shared" si="4"/>
        <v>2026</v>
      </c>
      <c r="C118">
        <f t="shared" si="5"/>
        <v>4</v>
      </c>
      <c r="D118">
        <f t="shared" si="6"/>
        <v>2</v>
      </c>
    </row>
    <row r="119" spans="1:4" x14ac:dyDescent="0.45">
      <c r="A119" s="1">
        <f t="shared" si="7"/>
        <v>46140</v>
      </c>
      <c r="B119">
        <f t="shared" si="4"/>
        <v>2026</v>
      </c>
      <c r="C119">
        <f t="shared" si="5"/>
        <v>4</v>
      </c>
      <c r="D119">
        <f t="shared" si="6"/>
        <v>2</v>
      </c>
    </row>
    <row r="120" spans="1:4" x14ac:dyDescent="0.45">
      <c r="A120" s="1">
        <f t="shared" si="7"/>
        <v>46141</v>
      </c>
      <c r="B120">
        <f t="shared" si="4"/>
        <v>2026</v>
      </c>
      <c r="C120">
        <f t="shared" si="5"/>
        <v>4</v>
      </c>
      <c r="D120">
        <f t="shared" si="6"/>
        <v>2</v>
      </c>
    </row>
    <row r="121" spans="1:4" x14ac:dyDescent="0.45">
      <c r="A121" s="1">
        <f t="shared" si="7"/>
        <v>46142</v>
      </c>
      <c r="B121">
        <f t="shared" si="4"/>
        <v>2026</v>
      </c>
      <c r="C121">
        <f t="shared" si="5"/>
        <v>4</v>
      </c>
      <c r="D121">
        <f t="shared" si="6"/>
        <v>2</v>
      </c>
    </row>
    <row r="122" spans="1:4" x14ac:dyDescent="0.45">
      <c r="A122" s="1">
        <f t="shared" si="7"/>
        <v>46143</v>
      </c>
      <c r="B122">
        <f t="shared" si="4"/>
        <v>2026</v>
      </c>
      <c r="C122">
        <f t="shared" si="5"/>
        <v>5</v>
      </c>
      <c r="D122">
        <f t="shared" si="6"/>
        <v>2</v>
      </c>
    </row>
    <row r="123" spans="1:4" x14ac:dyDescent="0.45">
      <c r="A123" s="1">
        <f t="shared" si="7"/>
        <v>46144</v>
      </c>
      <c r="B123">
        <f t="shared" si="4"/>
        <v>2026</v>
      </c>
      <c r="C123">
        <f t="shared" si="5"/>
        <v>5</v>
      </c>
      <c r="D123">
        <f t="shared" si="6"/>
        <v>2</v>
      </c>
    </row>
    <row r="124" spans="1:4" x14ac:dyDescent="0.45">
      <c r="A124" s="1">
        <f t="shared" si="7"/>
        <v>46145</v>
      </c>
      <c r="B124">
        <f t="shared" si="4"/>
        <v>2026</v>
      </c>
      <c r="C124">
        <f t="shared" si="5"/>
        <v>5</v>
      </c>
      <c r="D124">
        <f t="shared" si="6"/>
        <v>2</v>
      </c>
    </row>
    <row r="125" spans="1:4" x14ac:dyDescent="0.45">
      <c r="A125" s="1">
        <f t="shared" si="7"/>
        <v>46146</v>
      </c>
      <c r="B125">
        <f t="shared" si="4"/>
        <v>2026</v>
      </c>
      <c r="C125">
        <f t="shared" si="5"/>
        <v>5</v>
      </c>
      <c r="D125">
        <f t="shared" si="6"/>
        <v>2</v>
      </c>
    </row>
    <row r="126" spans="1:4" x14ac:dyDescent="0.45">
      <c r="A126" s="1">
        <f t="shared" si="7"/>
        <v>46147</v>
      </c>
      <c r="B126">
        <f t="shared" si="4"/>
        <v>2026</v>
      </c>
      <c r="C126">
        <f t="shared" si="5"/>
        <v>5</v>
      </c>
      <c r="D126">
        <f t="shared" si="6"/>
        <v>2</v>
      </c>
    </row>
    <row r="127" spans="1:4" x14ac:dyDescent="0.45">
      <c r="A127" s="1">
        <f t="shared" si="7"/>
        <v>46148</v>
      </c>
      <c r="B127">
        <f t="shared" si="4"/>
        <v>2026</v>
      </c>
      <c r="C127">
        <f t="shared" si="5"/>
        <v>5</v>
      </c>
      <c r="D127">
        <f t="shared" si="6"/>
        <v>2</v>
      </c>
    </row>
    <row r="128" spans="1:4" x14ac:dyDescent="0.45">
      <c r="A128" s="1">
        <f t="shared" si="7"/>
        <v>46149</v>
      </c>
      <c r="B128">
        <f t="shared" si="4"/>
        <v>2026</v>
      </c>
      <c r="C128">
        <f t="shared" si="5"/>
        <v>5</v>
      </c>
      <c r="D128">
        <f t="shared" si="6"/>
        <v>2</v>
      </c>
    </row>
    <row r="129" spans="1:4" x14ac:dyDescent="0.45">
      <c r="A129" s="1">
        <f t="shared" si="7"/>
        <v>46150</v>
      </c>
      <c r="B129">
        <f t="shared" si="4"/>
        <v>2026</v>
      </c>
      <c r="C129">
        <f t="shared" si="5"/>
        <v>5</v>
      </c>
      <c r="D129">
        <f t="shared" si="6"/>
        <v>2</v>
      </c>
    </row>
    <row r="130" spans="1:4" x14ac:dyDescent="0.45">
      <c r="A130" s="1">
        <f t="shared" si="7"/>
        <v>46151</v>
      </c>
      <c r="B130">
        <f t="shared" si="4"/>
        <v>2026</v>
      </c>
      <c r="C130">
        <f t="shared" si="5"/>
        <v>5</v>
      </c>
      <c r="D130">
        <f t="shared" si="6"/>
        <v>2</v>
      </c>
    </row>
    <row r="131" spans="1:4" x14ac:dyDescent="0.45">
      <c r="A131" s="1">
        <f t="shared" si="7"/>
        <v>46152</v>
      </c>
      <c r="B131">
        <f t="shared" ref="B131:B194" si="8">YEAR(A131)</f>
        <v>2026</v>
      </c>
      <c r="C131">
        <f t="shared" ref="C131:C194" si="9">MONTH(A131)</f>
        <v>5</v>
      </c>
      <c r="D131">
        <f t="shared" ref="D131:D194" si="10">ROUNDUP(MONTH(A131)/3,0)</f>
        <v>2</v>
      </c>
    </row>
    <row r="132" spans="1:4" x14ac:dyDescent="0.45">
      <c r="A132" s="1">
        <f t="shared" ref="A132:A195" si="11">A131+1</f>
        <v>46153</v>
      </c>
      <c r="B132">
        <f t="shared" si="8"/>
        <v>2026</v>
      </c>
      <c r="C132">
        <f t="shared" si="9"/>
        <v>5</v>
      </c>
      <c r="D132">
        <f t="shared" si="10"/>
        <v>2</v>
      </c>
    </row>
    <row r="133" spans="1:4" x14ac:dyDescent="0.45">
      <c r="A133" s="1">
        <f t="shared" si="11"/>
        <v>46154</v>
      </c>
      <c r="B133">
        <f t="shared" si="8"/>
        <v>2026</v>
      </c>
      <c r="C133">
        <f t="shared" si="9"/>
        <v>5</v>
      </c>
      <c r="D133">
        <f t="shared" si="10"/>
        <v>2</v>
      </c>
    </row>
    <row r="134" spans="1:4" x14ac:dyDescent="0.45">
      <c r="A134" s="1">
        <f t="shared" si="11"/>
        <v>46155</v>
      </c>
      <c r="B134">
        <f t="shared" si="8"/>
        <v>2026</v>
      </c>
      <c r="C134">
        <f t="shared" si="9"/>
        <v>5</v>
      </c>
      <c r="D134">
        <f t="shared" si="10"/>
        <v>2</v>
      </c>
    </row>
    <row r="135" spans="1:4" x14ac:dyDescent="0.45">
      <c r="A135" s="1">
        <f t="shared" si="11"/>
        <v>46156</v>
      </c>
      <c r="B135">
        <f t="shared" si="8"/>
        <v>2026</v>
      </c>
      <c r="C135">
        <f t="shared" si="9"/>
        <v>5</v>
      </c>
      <c r="D135">
        <f t="shared" si="10"/>
        <v>2</v>
      </c>
    </row>
    <row r="136" spans="1:4" x14ac:dyDescent="0.45">
      <c r="A136" s="1">
        <f t="shared" si="11"/>
        <v>46157</v>
      </c>
      <c r="B136">
        <f t="shared" si="8"/>
        <v>2026</v>
      </c>
      <c r="C136">
        <f t="shared" si="9"/>
        <v>5</v>
      </c>
      <c r="D136">
        <f t="shared" si="10"/>
        <v>2</v>
      </c>
    </row>
    <row r="137" spans="1:4" x14ac:dyDescent="0.45">
      <c r="A137" s="1">
        <f t="shared" si="11"/>
        <v>46158</v>
      </c>
      <c r="B137">
        <f t="shared" si="8"/>
        <v>2026</v>
      </c>
      <c r="C137">
        <f t="shared" si="9"/>
        <v>5</v>
      </c>
      <c r="D137">
        <f t="shared" si="10"/>
        <v>2</v>
      </c>
    </row>
    <row r="138" spans="1:4" x14ac:dyDescent="0.45">
      <c r="A138" s="1">
        <f t="shared" si="11"/>
        <v>46159</v>
      </c>
      <c r="B138">
        <f t="shared" si="8"/>
        <v>2026</v>
      </c>
      <c r="C138">
        <f t="shared" si="9"/>
        <v>5</v>
      </c>
      <c r="D138">
        <f t="shared" si="10"/>
        <v>2</v>
      </c>
    </row>
    <row r="139" spans="1:4" x14ac:dyDescent="0.45">
      <c r="A139" s="1">
        <f t="shared" si="11"/>
        <v>46160</v>
      </c>
      <c r="B139">
        <f t="shared" si="8"/>
        <v>2026</v>
      </c>
      <c r="C139">
        <f t="shared" si="9"/>
        <v>5</v>
      </c>
      <c r="D139">
        <f t="shared" si="10"/>
        <v>2</v>
      </c>
    </row>
    <row r="140" spans="1:4" x14ac:dyDescent="0.45">
      <c r="A140" s="1">
        <f t="shared" si="11"/>
        <v>46161</v>
      </c>
      <c r="B140">
        <f t="shared" si="8"/>
        <v>2026</v>
      </c>
      <c r="C140">
        <f t="shared" si="9"/>
        <v>5</v>
      </c>
      <c r="D140">
        <f t="shared" si="10"/>
        <v>2</v>
      </c>
    </row>
    <row r="141" spans="1:4" x14ac:dyDescent="0.45">
      <c r="A141" s="1">
        <f t="shared" si="11"/>
        <v>46162</v>
      </c>
      <c r="B141">
        <f t="shared" si="8"/>
        <v>2026</v>
      </c>
      <c r="C141">
        <f t="shared" si="9"/>
        <v>5</v>
      </c>
      <c r="D141">
        <f t="shared" si="10"/>
        <v>2</v>
      </c>
    </row>
    <row r="142" spans="1:4" x14ac:dyDescent="0.45">
      <c r="A142" s="1">
        <f t="shared" si="11"/>
        <v>46163</v>
      </c>
      <c r="B142">
        <f t="shared" si="8"/>
        <v>2026</v>
      </c>
      <c r="C142">
        <f t="shared" si="9"/>
        <v>5</v>
      </c>
      <c r="D142">
        <f t="shared" si="10"/>
        <v>2</v>
      </c>
    </row>
    <row r="143" spans="1:4" x14ac:dyDescent="0.45">
      <c r="A143" s="1">
        <f t="shared" si="11"/>
        <v>46164</v>
      </c>
      <c r="B143">
        <f t="shared" si="8"/>
        <v>2026</v>
      </c>
      <c r="C143">
        <f t="shared" si="9"/>
        <v>5</v>
      </c>
      <c r="D143">
        <f t="shared" si="10"/>
        <v>2</v>
      </c>
    </row>
    <row r="144" spans="1:4" x14ac:dyDescent="0.45">
      <c r="A144" s="1">
        <f t="shared" si="11"/>
        <v>46165</v>
      </c>
      <c r="B144">
        <f t="shared" si="8"/>
        <v>2026</v>
      </c>
      <c r="C144">
        <f t="shared" si="9"/>
        <v>5</v>
      </c>
      <c r="D144">
        <f t="shared" si="10"/>
        <v>2</v>
      </c>
    </row>
    <row r="145" spans="1:4" x14ac:dyDescent="0.45">
      <c r="A145" s="1">
        <f t="shared" si="11"/>
        <v>46166</v>
      </c>
      <c r="B145">
        <f t="shared" si="8"/>
        <v>2026</v>
      </c>
      <c r="C145">
        <f t="shared" si="9"/>
        <v>5</v>
      </c>
      <c r="D145">
        <f t="shared" si="10"/>
        <v>2</v>
      </c>
    </row>
    <row r="146" spans="1:4" x14ac:dyDescent="0.45">
      <c r="A146" s="1">
        <f t="shared" si="11"/>
        <v>46167</v>
      </c>
      <c r="B146">
        <f t="shared" si="8"/>
        <v>2026</v>
      </c>
      <c r="C146">
        <f t="shared" si="9"/>
        <v>5</v>
      </c>
      <c r="D146">
        <f t="shared" si="10"/>
        <v>2</v>
      </c>
    </row>
    <row r="147" spans="1:4" x14ac:dyDescent="0.45">
      <c r="A147" s="1">
        <f t="shared" si="11"/>
        <v>46168</v>
      </c>
      <c r="B147">
        <f t="shared" si="8"/>
        <v>2026</v>
      </c>
      <c r="C147">
        <f t="shared" si="9"/>
        <v>5</v>
      </c>
      <c r="D147">
        <f t="shared" si="10"/>
        <v>2</v>
      </c>
    </row>
    <row r="148" spans="1:4" x14ac:dyDescent="0.45">
      <c r="A148" s="1">
        <f t="shared" si="11"/>
        <v>46169</v>
      </c>
      <c r="B148">
        <f t="shared" si="8"/>
        <v>2026</v>
      </c>
      <c r="C148">
        <f t="shared" si="9"/>
        <v>5</v>
      </c>
      <c r="D148">
        <f t="shared" si="10"/>
        <v>2</v>
      </c>
    </row>
    <row r="149" spans="1:4" x14ac:dyDescent="0.45">
      <c r="A149" s="1">
        <f t="shared" si="11"/>
        <v>46170</v>
      </c>
      <c r="B149">
        <f t="shared" si="8"/>
        <v>2026</v>
      </c>
      <c r="C149">
        <f t="shared" si="9"/>
        <v>5</v>
      </c>
      <c r="D149">
        <f t="shared" si="10"/>
        <v>2</v>
      </c>
    </row>
    <row r="150" spans="1:4" x14ac:dyDescent="0.45">
      <c r="A150" s="1">
        <f t="shared" si="11"/>
        <v>46171</v>
      </c>
      <c r="B150">
        <f t="shared" si="8"/>
        <v>2026</v>
      </c>
      <c r="C150">
        <f t="shared" si="9"/>
        <v>5</v>
      </c>
      <c r="D150">
        <f t="shared" si="10"/>
        <v>2</v>
      </c>
    </row>
    <row r="151" spans="1:4" x14ac:dyDescent="0.45">
      <c r="A151" s="1">
        <f t="shared" si="11"/>
        <v>46172</v>
      </c>
      <c r="B151">
        <f t="shared" si="8"/>
        <v>2026</v>
      </c>
      <c r="C151">
        <f t="shared" si="9"/>
        <v>5</v>
      </c>
      <c r="D151">
        <f t="shared" si="10"/>
        <v>2</v>
      </c>
    </row>
    <row r="152" spans="1:4" x14ac:dyDescent="0.45">
      <c r="A152" s="1">
        <f t="shared" si="11"/>
        <v>46173</v>
      </c>
      <c r="B152">
        <f t="shared" si="8"/>
        <v>2026</v>
      </c>
      <c r="C152">
        <f t="shared" si="9"/>
        <v>5</v>
      </c>
      <c r="D152">
        <f t="shared" si="10"/>
        <v>2</v>
      </c>
    </row>
    <row r="153" spans="1:4" x14ac:dyDescent="0.45">
      <c r="A153" s="1">
        <f t="shared" si="11"/>
        <v>46174</v>
      </c>
      <c r="B153">
        <f t="shared" si="8"/>
        <v>2026</v>
      </c>
      <c r="C153">
        <f t="shared" si="9"/>
        <v>6</v>
      </c>
      <c r="D153">
        <f t="shared" si="10"/>
        <v>2</v>
      </c>
    </row>
    <row r="154" spans="1:4" x14ac:dyDescent="0.45">
      <c r="A154" s="1">
        <f t="shared" si="11"/>
        <v>46175</v>
      </c>
      <c r="B154">
        <f t="shared" si="8"/>
        <v>2026</v>
      </c>
      <c r="C154">
        <f t="shared" si="9"/>
        <v>6</v>
      </c>
      <c r="D154">
        <f t="shared" si="10"/>
        <v>2</v>
      </c>
    </row>
    <row r="155" spans="1:4" x14ac:dyDescent="0.45">
      <c r="A155" s="1">
        <f t="shared" si="11"/>
        <v>46176</v>
      </c>
      <c r="B155">
        <f t="shared" si="8"/>
        <v>2026</v>
      </c>
      <c r="C155">
        <f t="shared" si="9"/>
        <v>6</v>
      </c>
      <c r="D155">
        <f t="shared" si="10"/>
        <v>2</v>
      </c>
    </row>
    <row r="156" spans="1:4" x14ac:dyDescent="0.45">
      <c r="A156" s="1">
        <f t="shared" si="11"/>
        <v>46177</v>
      </c>
      <c r="B156">
        <f t="shared" si="8"/>
        <v>2026</v>
      </c>
      <c r="C156">
        <f t="shared" si="9"/>
        <v>6</v>
      </c>
      <c r="D156">
        <f t="shared" si="10"/>
        <v>2</v>
      </c>
    </row>
    <row r="157" spans="1:4" x14ac:dyDescent="0.45">
      <c r="A157" s="1">
        <f t="shared" si="11"/>
        <v>46178</v>
      </c>
      <c r="B157">
        <f t="shared" si="8"/>
        <v>2026</v>
      </c>
      <c r="C157">
        <f t="shared" si="9"/>
        <v>6</v>
      </c>
      <c r="D157">
        <f t="shared" si="10"/>
        <v>2</v>
      </c>
    </row>
    <row r="158" spans="1:4" x14ac:dyDescent="0.45">
      <c r="A158" s="1">
        <f t="shared" si="11"/>
        <v>46179</v>
      </c>
      <c r="B158">
        <f t="shared" si="8"/>
        <v>2026</v>
      </c>
      <c r="C158">
        <f t="shared" si="9"/>
        <v>6</v>
      </c>
      <c r="D158">
        <f t="shared" si="10"/>
        <v>2</v>
      </c>
    </row>
    <row r="159" spans="1:4" x14ac:dyDescent="0.45">
      <c r="A159" s="1">
        <f t="shared" si="11"/>
        <v>46180</v>
      </c>
      <c r="B159">
        <f t="shared" si="8"/>
        <v>2026</v>
      </c>
      <c r="C159">
        <f t="shared" si="9"/>
        <v>6</v>
      </c>
      <c r="D159">
        <f t="shared" si="10"/>
        <v>2</v>
      </c>
    </row>
    <row r="160" spans="1:4" x14ac:dyDescent="0.45">
      <c r="A160" s="1">
        <f t="shared" si="11"/>
        <v>46181</v>
      </c>
      <c r="B160">
        <f t="shared" si="8"/>
        <v>2026</v>
      </c>
      <c r="C160">
        <f t="shared" si="9"/>
        <v>6</v>
      </c>
      <c r="D160">
        <f t="shared" si="10"/>
        <v>2</v>
      </c>
    </row>
    <row r="161" spans="1:4" x14ac:dyDescent="0.45">
      <c r="A161" s="1">
        <f t="shared" si="11"/>
        <v>46182</v>
      </c>
      <c r="B161">
        <f t="shared" si="8"/>
        <v>2026</v>
      </c>
      <c r="C161">
        <f t="shared" si="9"/>
        <v>6</v>
      </c>
      <c r="D161">
        <f t="shared" si="10"/>
        <v>2</v>
      </c>
    </row>
    <row r="162" spans="1:4" x14ac:dyDescent="0.45">
      <c r="A162" s="1">
        <f t="shared" si="11"/>
        <v>46183</v>
      </c>
      <c r="B162">
        <f t="shared" si="8"/>
        <v>2026</v>
      </c>
      <c r="C162">
        <f t="shared" si="9"/>
        <v>6</v>
      </c>
      <c r="D162">
        <f t="shared" si="10"/>
        <v>2</v>
      </c>
    </row>
    <row r="163" spans="1:4" x14ac:dyDescent="0.45">
      <c r="A163" s="1">
        <f t="shared" si="11"/>
        <v>46184</v>
      </c>
      <c r="B163">
        <f t="shared" si="8"/>
        <v>2026</v>
      </c>
      <c r="C163">
        <f t="shared" si="9"/>
        <v>6</v>
      </c>
      <c r="D163">
        <f t="shared" si="10"/>
        <v>2</v>
      </c>
    </row>
    <row r="164" spans="1:4" x14ac:dyDescent="0.45">
      <c r="A164" s="1">
        <f t="shared" si="11"/>
        <v>46185</v>
      </c>
      <c r="B164">
        <f t="shared" si="8"/>
        <v>2026</v>
      </c>
      <c r="C164">
        <f t="shared" si="9"/>
        <v>6</v>
      </c>
      <c r="D164">
        <f t="shared" si="10"/>
        <v>2</v>
      </c>
    </row>
    <row r="165" spans="1:4" x14ac:dyDescent="0.45">
      <c r="A165" s="1">
        <f t="shared" si="11"/>
        <v>46186</v>
      </c>
      <c r="B165">
        <f t="shared" si="8"/>
        <v>2026</v>
      </c>
      <c r="C165">
        <f t="shared" si="9"/>
        <v>6</v>
      </c>
      <c r="D165">
        <f t="shared" si="10"/>
        <v>2</v>
      </c>
    </row>
    <row r="166" spans="1:4" x14ac:dyDescent="0.45">
      <c r="A166" s="1">
        <f t="shared" si="11"/>
        <v>46187</v>
      </c>
      <c r="B166">
        <f t="shared" si="8"/>
        <v>2026</v>
      </c>
      <c r="C166">
        <f t="shared" si="9"/>
        <v>6</v>
      </c>
      <c r="D166">
        <f t="shared" si="10"/>
        <v>2</v>
      </c>
    </row>
    <row r="167" spans="1:4" x14ac:dyDescent="0.45">
      <c r="A167" s="1">
        <f t="shared" si="11"/>
        <v>46188</v>
      </c>
      <c r="B167">
        <f t="shared" si="8"/>
        <v>2026</v>
      </c>
      <c r="C167">
        <f t="shared" si="9"/>
        <v>6</v>
      </c>
      <c r="D167">
        <f t="shared" si="10"/>
        <v>2</v>
      </c>
    </row>
    <row r="168" spans="1:4" x14ac:dyDescent="0.45">
      <c r="A168" s="1">
        <f t="shared" si="11"/>
        <v>46189</v>
      </c>
      <c r="B168">
        <f t="shared" si="8"/>
        <v>2026</v>
      </c>
      <c r="C168">
        <f t="shared" si="9"/>
        <v>6</v>
      </c>
      <c r="D168">
        <f t="shared" si="10"/>
        <v>2</v>
      </c>
    </row>
    <row r="169" spans="1:4" x14ac:dyDescent="0.45">
      <c r="A169" s="1">
        <f t="shared" si="11"/>
        <v>46190</v>
      </c>
      <c r="B169">
        <f t="shared" si="8"/>
        <v>2026</v>
      </c>
      <c r="C169">
        <f t="shared" si="9"/>
        <v>6</v>
      </c>
      <c r="D169">
        <f t="shared" si="10"/>
        <v>2</v>
      </c>
    </row>
    <row r="170" spans="1:4" x14ac:dyDescent="0.45">
      <c r="A170" s="1">
        <f t="shared" si="11"/>
        <v>46191</v>
      </c>
      <c r="B170">
        <f t="shared" si="8"/>
        <v>2026</v>
      </c>
      <c r="C170">
        <f t="shared" si="9"/>
        <v>6</v>
      </c>
      <c r="D170">
        <f t="shared" si="10"/>
        <v>2</v>
      </c>
    </row>
    <row r="171" spans="1:4" x14ac:dyDescent="0.45">
      <c r="A171" s="1">
        <f t="shared" si="11"/>
        <v>46192</v>
      </c>
      <c r="B171">
        <f t="shared" si="8"/>
        <v>2026</v>
      </c>
      <c r="C171">
        <f t="shared" si="9"/>
        <v>6</v>
      </c>
      <c r="D171">
        <f t="shared" si="10"/>
        <v>2</v>
      </c>
    </row>
    <row r="172" spans="1:4" x14ac:dyDescent="0.45">
      <c r="A172" s="1">
        <f t="shared" si="11"/>
        <v>46193</v>
      </c>
      <c r="B172">
        <f t="shared" si="8"/>
        <v>2026</v>
      </c>
      <c r="C172">
        <f t="shared" si="9"/>
        <v>6</v>
      </c>
      <c r="D172">
        <f t="shared" si="10"/>
        <v>2</v>
      </c>
    </row>
    <row r="173" spans="1:4" x14ac:dyDescent="0.45">
      <c r="A173" s="1">
        <f t="shared" si="11"/>
        <v>46194</v>
      </c>
      <c r="B173">
        <f t="shared" si="8"/>
        <v>2026</v>
      </c>
      <c r="C173">
        <f t="shared" si="9"/>
        <v>6</v>
      </c>
      <c r="D173">
        <f t="shared" si="10"/>
        <v>2</v>
      </c>
    </row>
    <row r="174" spans="1:4" x14ac:dyDescent="0.45">
      <c r="A174" s="1">
        <f t="shared" si="11"/>
        <v>46195</v>
      </c>
      <c r="B174">
        <f t="shared" si="8"/>
        <v>2026</v>
      </c>
      <c r="C174">
        <f t="shared" si="9"/>
        <v>6</v>
      </c>
      <c r="D174">
        <f t="shared" si="10"/>
        <v>2</v>
      </c>
    </row>
    <row r="175" spans="1:4" x14ac:dyDescent="0.45">
      <c r="A175" s="1">
        <f t="shared" si="11"/>
        <v>46196</v>
      </c>
      <c r="B175">
        <f t="shared" si="8"/>
        <v>2026</v>
      </c>
      <c r="C175">
        <f t="shared" si="9"/>
        <v>6</v>
      </c>
      <c r="D175">
        <f t="shared" si="10"/>
        <v>2</v>
      </c>
    </row>
    <row r="176" spans="1:4" x14ac:dyDescent="0.45">
      <c r="A176" s="1">
        <f t="shared" si="11"/>
        <v>46197</v>
      </c>
      <c r="B176">
        <f t="shared" si="8"/>
        <v>2026</v>
      </c>
      <c r="C176">
        <f t="shared" si="9"/>
        <v>6</v>
      </c>
      <c r="D176">
        <f t="shared" si="10"/>
        <v>2</v>
      </c>
    </row>
    <row r="177" spans="1:4" x14ac:dyDescent="0.45">
      <c r="A177" s="1">
        <f t="shared" si="11"/>
        <v>46198</v>
      </c>
      <c r="B177">
        <f t="shared" si="8"/>
        <v>2026</v>
      </c>
      <c r="C177">
        <f t="shared" si="9"/>
        <v>6</v>
      </c>
      <c r="D177">
        <f t="shared" si="10"/>
        <v>2</v>
      </c>
    </row>
    <row r="178" spans="1:4" x14ac:dyDescent="0.45">
      <c r="A178" s="1">
        <f t="shared" si="11"/>
        <v>46199</v>
      </c>
      <c r="B178">
        <f t="shared" si="8"/>
        <v>2026</v>
      </c>
      <c r="C178">
        <f t="shared" si="9"/>
        <v>6</v>
      </c>
      <c r="D178">
        <f t="shared" si="10"/>
        <v>2</v>
      </c>
    </row>
    <row r="179" spans="1:4" x14ac:dyDescent="0.45">
      <c r="A179" s="1">
        <f t="shared" si="11"/>
        <v>46200</v>
      </c>
      <c r="B179">
        <f t="shared" si="8"/>
        <v>2026</v>
      </c>
      <c r="C179">
        <f t="shared" si="9"/>
        <v>6</v>
      </c>
      <c r="D179">
        <f t="shared" si="10"/>
        <v>2</v>
      </c>
    </row>
    <row r="180" spans="1:4" x14ac:dyDescent="0.45">
      <c r="A180" s="1">
        <f t="shared" si="11"/>
        <v>46201</v>
      </c>
      <c r="B180">
        <f t="shared" si="8"/>
        <v>2026</v>
      </c>
      <c r="C180">
        <f t="shared" si="9"/>
        <v>6</v>
      </c>
      <c r="D180">
        <f t="shared" si="10"/>
        <v>2</v>
      </c>
    </row>
    <row r="181" spans="1:4" x14ac:dyDescent="0.45">
      <c r="A181" s="1">
        <f t="shared" si="11"/>
        <v>46202</v>
      </c>
      <c r="B181">
        <f t="shared" si="8"/>
        <v>2026</v>
      </c>
      <c r="C181">
        <f t="shared" si="9"/>
        <v>6</v>
      </c>
      <c r="D181">
        <f t="shared" si="10"/>
        <v>2</v>
      </c>
    </row>
    <row r="182" spans="1:4" x14ac:dyDescent="0.45">
      <c r="A182" s="1">
        <f t="shared" si="11"/>
        <v>46203</v>
      </c>
      <c r="B182">
        <f t="shared" si="8"/>
        <v>2026</v>
      </c>
      <c r="C182">
        <f t="shared" si="9"/>
        <v>6</v>
      </c>
      <c r="D182">
        <f t="shared" si="10"/>
        <v>2</v>
      </c>
    </row>
    <row r="183" spans="1:4" x14ac:dyDescent="0.45">
      <c r="A183" s="1">
        <f t="shared" si="11"/>
        <v>46204</v>
      </c>
      <c r="B183">
        <f t="shared" si="8"/>
        <v>2026</v>
      </c>
      <c r="C183">
        <f t="shared" si="9"/>
        <v>7</v>
      </c>
      <c r="D183">
        <f t="shared" si="10"/>
        <v>3</v>
      </c>
    </row>
    <row r="184" spans="1:4" x14ac:dyDescent="0.45">
      <c r="A184" s="1">
        <f t="shared" si="11"/>
        <v>46205</v>
      </c>
      <c r="B184">
        <f t="shared" si="8"/>
        <v>2026</v>
      </c>
      <c r="C184">
        <f t="shared" si="9"/>
        <v>7</v>
      </c>
      <c r="D184">
        <f t="shared" si="10"/>
        <v>3</v>
      </c>
    </row>
    <row r="185" spans="1:4" x14ac:dyDescent="0.45">
      <c r="A185" s="1">
        <f t="shared" si="11"/>
        <v>46206</v>
      </c>
      <c r="B185">
        <f t="shared" si="8"/>
        <v>2026</v>
      </c>
      <c r="C185">
        <f t="shared" si="9"/>
        <v>7</v>
      </c>
      <c r="D185">
        <f t="shared" si="10"/>
        <v>3</v>
      </c>
    </row>
    <row r="186" spans="1:4" x14ac:dyDescent="0.45">
      <c r="A186" s="1">
        <f t="shared" si="11"/>
        <v>46207</v>
      </c>
      <c r="B186">
        <f t="shared" si="8"/>
        <v>2026</v>
      </c>
      <c r="C186">
        <f t="shared" si="9"/>
        <v>7</v>
      </c>
      <c r="D186">
        <f t="shared" si="10"/>
        <v>3</v>
      </c>
    </row>
    <row r="187" spans="1:4" x14ac:dyDescent="0.45">
      <c r="A187" s="1">
        <f t="shared" si="11"/>
        <v>46208</v>
      </c>
      <c r="B187">
        <f t="shared" si="8"/>
        <v>2026</v>
      </c>
      <c r="C187">
        <f t="shared" si="9"/>
        <v>7</v>
      </c>
      <c r="D187">
        <f t="shared" si="10"/>
        <v>3</v>
      </c>
    </row>
    <row r="188" spans="1:4" x14ac:dyDescent="0.45">
      <c r="A188" s="1">
        <f t="shared" si="11"/>
        <v>46209</v>
      </c>
      <c r="B188">
        <f t="shared" si="8"/>
        <v>2026</v>
      </c>
      <c r="C188">
        <f t="shared" si="9"/>
        <v>7</v>
      </c>
      <c r="D188">
        <f t="shared" si="10"/>
        <v>3</v>
      </c>
    </row>
    <row r="189" spans="1:4" x14ac:dyDescent="0.45">
      <c r="A189" s="1">
        <f t="shared" si="11"/>
        <v>46210</v>
      </c>
      <c r="B189">
        <f t="shared" si="8"/>
        <v>2026</v>
      </c>
      <c r="C189">
        <f t="shared" si="9"/>
        <v>7</v>
      </c>
      <c r="D189">
        <f t="shared" si="10"/>
        <v>3</v>
      </c>
    </row>
    <row r="190" spans="1:4" x14ac:dyDescent="0.45">
      <c r="A190" s="1">
        <f t="shared" si="11"/>
        <v>46211</v>
      </c>
      <c r="B190">
        <f t="shared" si="8"/>
        <v>2026</v>
      </c>
      <c r="C190">
        <f t="shared" si="9"/>
        <v>7</v>
      </c>
      <c r="D190">
        <f t="shared" si="10"/>
        <v>3</v>
      </c>
    </row>
    <row r="191" spans="1:4" x14ac:dyDescent="0.45">
      <c r="A191" s="1">
        <f t="shared" si="11"/>
        <v>46212</v>
      </c>
      <c r="B191">
        <f t="shared" si="8"/>
        <v>2026</v>
      </c>
      <c r="C191">
        <f t="shared" si="9"/>
        <v>7</v>
      </c>
      <c r="D191">
        <f t="shared" si="10"/>
        <v>3</v>
      </c>
    </row>
    <row r="192" spans="1:4" x14ac:dyDescent="0.45">
      <c r="A192" s="1">
        <f t="shared" si="11"/>
        <v>46213</v>
      </c>
      <c r="B192">
        <f t="shared" si="8"/>
        <v>2026</v>
      </c>
      <c r="C192">
        <f t="shared" si="9"/>
        <v>7</v>
      </c>
      <c r="D192">
        <f t="shared" si="10"/>
        <v>3</v>
      </c>
    </row>
    <row r="193" spans="1:4" x14ac:dyDescent="0.45">
      <c r="A193" s="1">
        <f t="shared" si="11"/>
        <v>46214</v>
      </c>
      <c r="B193">
        <f t="shared" si="8"/>
        <v>2026</v>
      </c>
      <c r="C193">
        <f t="shared" si="9"/>
        <v>7</v>
      </c>
      <c r="D193">
        <f t="shared" si="10"/>
        <v>3</v>
      </c>
    </row>
    <row r="194" spans="1:4" x14ac:dyDescent="0.45">
      <c r="A194" s="1">
        <f t="shared" si="11"/>
        <v>46215</v>
      </c>
      <c r="B194">
        <f t="shared" si="8"/>
        <v>2026</v>
      </c>
      <c r="C194">
        <f t="shared" si="9"/>
        <v>7</v>
      </c>
      <c r="D194">
        <f t="shared" si="10"/>
        <v>3</v>
      </c>
    </row>
    <row r="195" spans="1:4" x14ac:dyDescent="0.45">
      <c r="A195" s="1">
        <f t="shared" si="11"/>
        <v>46216</v>
      </c>
      <c r="B195">
        <f t="shared" ref="B195:B258" si="12">YEAR(A195)</f>
        <v>2026</v>
      </c>
      <c r="C195">
        <f t="shared" ref="C195:C258" si="13">MONTH(A195)</f>
        <v>7</v>
      </c>
      <c r="D195">
        <f t="shared" ref="D195:D258" si="14">ROUNDUP(MONTH(A195)/3,0)</f>
        <v>3</v>
      </c>
    </row>
    <row r="196" spans="1:4" x14ac:dyDescent="0.45">
      <c r="A196" s="1">
        <f t="shared" ref="A196:A259" si="15">A195+1</f>
        <v>46217</v>
      </c>
      <c r="B196">
        <f t="shared" si="12"/>
        <v>2026</v>
      </c>
      <c r="C196">
        <f t="shared" si="13"/>
        <v>7</v>
      </c>
      <c r="D196">
        <f t="shared" si="14"/>
        <v>3</v>
      </c>
    </row>
    <row r="197" spans="1:4" x14ac:dyDescent="0.45">
      <c r="A197" s="1">
        <f t="shared" si="15"/>
        <v>46218</v>
      </c>
      <c r="B197">
        <f t="shared" si="12"/>
        <v>2026</v>
      </c>
      <c r="C197">
        <f t="shared" si="13"/>
        <v>7</v>
      </c>
      <c r="D197">
        <f t="shared" si="14"/>
        <v>3</v>
      </c>
    </row>
    <row r="198" spans="1:4" x14ac:dyDescent="0.45">
      <c r="A198" s="1">
        <f t="shared" si="15"/>
        <v>46219</v>
      </c>
      <c r="B198">
        <f t="shared" si="12"/>
        <v>2026</v>
      </c>
      <c r="C198">
        <f t="shared" si="13"/>
        <v>7</v>
      </c>
      <c r="D198">
        <f t="shared" si="14"/>
        <v>3</v>
      </c>
    </row>
    <row r="199" spans="1:4" x14ac:dyDescent="0.45">
      <c r="A199" s="1">
        <f t="shared" si="15"/>
        <v>46220</v>
      </c>
      <c r="B199">
        <f t="shared" si="12"/>
        <v>2026</v>
      </c>
      <c r="C199">
        <f t="shared" si="13"/>
        <v>7</v>
      </c>
      <c r="D199">
        <f t="shared" si="14"/>
        <v>3</v>
      </c>
    </row>
    <row r="200" spans="1:4" x14ac:dyDescent="0.45">
      <c r="A200" s="1">
        <f t="shared" si="15"/>
        <v>46221</v>
      </c>
      <c r="B200">
        <f t="shared" si="12"/>
        <v>2026</v>
      </c>
      <c r="C200">
        <f t="shared" si="13"/>
        <v>7</v>
      </c>
      <c r="D200">
        <f t="shared" si="14"/>
        <v>3</v>
      </c>
    </row>
    <row r="201" spans="1:4" x14ac:dyDescent="0.45">
      <c r="A201" s="1">
        <f t="shared" si="15"/>
        <v>46222</v>
      </c>
      <c r="B201">
        <f t="shared" si="12"/>
        <v>2026</v>
      </c>
      <c r="C201">
        <f t="shared" si="13"/>
        <v>7</v>
      </c>
      <c r="D201">
        <f t="shared" si="14"/>
        <v>3</v>
      </c>
    </row>
    <row r="202" spans="1:4" x14ac:dyDescent="0.45">
      <c r="A202" s="1">
        <f t="shared" si="15"/>
        <v>46223</v>
      </c>
      <c r="B202">
        <f t="shared" si="12"/>
        <v>2026</v>
      </c>
      <c r="C202">
        <f t="shared" si="13"/>
        <v>7</v>
      </c>
      <c r="D202">
        <f t="shared" si="14"/>
        <v>3</v>
      </c>
    </row>
    <row r="203" spans="1:4" x14ac:dyDescent="0.45">
      <c r="A203" s="1">
        <f t="shared" si="15"/>
        <v>46224</v>
      </c>
      <c r="B203">
        <f t="shared" si="12"/>
        <v>2026</v>
      </c>
      <c r="C203">
        <f t="shared" si="13"/>
        <v>7</v>
      </c>
      <c r="D203">
        <f t="shared" si="14"/>
        <v>3</v>
      </c>
    </row>
    <row r="204" spans="1:4" x14ac:dyDescent="0.45">
      <c r="A204" s="1">
        <f t="shared" si="15"/>
        <v>46225</v>
      </c>
      <c r="B204">
        <f t="shared" si="12"/>
        <v>2026</v>
      </c>
      <c r="C204">
        <f t="shared" si="13"/>
        <v>7</v>
      </c>
      <c r="D204">
        <f t="shared" si="14"/>
        <v>3</v>
      </c>
    </row>
    <row r="205" spans="1:4" x14ac:dyDescent="0.45">
      <c r="A205" s="1">
        <f t="shared" si="15"/>
        <v>46226</v>
      </c>
      <c r="B205">
        <f t="shared" si="12"/>
        <v>2026</v>
      </c>
      <c r="C205">
        <f t="shared" si="13"/>
        <v>7</v>
      </c>
      <c r="D205">
        <f t="shared" si="14"/>
        <v>3</v>
      </c>
    </row>
    <row r="206" spans="1:4" x14ac:dyDescent="0.45">
      <c r="A206" s="1">
        <f t="shared" si="15"/>
        <v>46227</v>
      </c>
      <c r="B206">
        <f t="shared" si="12"/>
        <v>2026</v>
      </c>
      <c r="C206">
        <f t="shared" si="13"/>
        <v>7</v>
      </c>
      <c r="D206">
        <f t="shared" si="14"/>
        <v>3</v>
      </c>
    </row>
    <row r="207" spans="1:4" x14ac:dyDescent="0.45">
      <c r="A207" s="1">
        <f t="shared" si="15"/>
        <v>46228</v>
      </c>
      <c r="B207">
        <f t="shared" si="12"/>
        <v>2026</v>
      </c>
      <c r="C207">
        <f t="shared" si="13"/>
        <v>7</v>
      </c>
      <c r="D207">
        <f t="shared" si="14"/>
        <v>3</v>
      </c>
    </row>
    <row r="208" spans="1:4" x14ac:dyDescent="0.45">
      <c r="A208" s="1">
        <f t="shared" si="15"/>
        <v>46229</v>
      </c>
      <c r="B208">
        <f t="shared" si="12"/>
        <v>2026</v>
      </c>
      <c r="C208">
        <f t="shared" si="13"/>
        <v>7</v>
      </c>
      <c r="D208">
        <f t="shared" si="14"/>
        <v>3</v>
      </c>
    </row>
    <row r="209" spans="1:4" x14ac:dyDescent="0.45">
      <c r="A209" s="1">
        <f t="shared" si="15"/>
        <v>46230</v>
      </c>
      <c r="B209">
        <f t="shared" si="12"/>
        <v>2026</v>
      </c>
      <c r="C209">
        <f t="shared" si="13"/>
        <v>7</v>
      </c>
      <c r="D209">
        <f t="shared" si="14"/>
        <v>3</v>
      </c>
    </row>
    <row r="210" spans="1:4" x14ac:dyDescent="0.45">
      <c r="A210" s="1">
        <f t="shared" si="15"/>
        <v>46231</v>
      </c>
      <c r="B210">
        <f t="shared" si="12"/>
        <v>2026</v>
      </c>
      <c r="C210">
        <f t="shared" si="13"/>
        <v>7</v>
      </c>
      <c r="D210">
        <f t="shared" si="14"/>
        <v>3</v>
      </c>
    </row>
    <row r="211" spans="1:4" x14ac:dyDescent="0.45">
      <c r="A211" s="1">
        <f t="shared" si="15"/>
        <v>46232</v>
      </c>
      <c r="B211">
        <f t="shared" si="12"/>
        <v>2026</v>
      </c>
      <c r="C211">
        <f t="shared" si="13"/>
        <v>7</v>
      </c>
      <c r="D211">
        <f t="shared" si="14"/>
        <v>3</v>
      </c>
    </row>
    <row r="212" spans="1:4" x14ac:dyDescent="0.45">
      <c r="A212" s="1">
        <f t="shared" si="15"/>
        <v>46233</v>
      </c>
      <c r="B212">
        <f t="shared" si="12"/>
        <v>2026</v>
      </c>
      <c r="C212">
        <f t="shared" si="13"/>
        <v>7</v>
      </c>
      <c r="D212">
        <f t="shared" si="14"/>
        <v>3</v>
      </c>
    </row>
    <row r="213" spans="1:4" x14ac:dyDescent="0.45">
      <c r="A213" s="1">
        <f t="shared" si="15"/>
        <v>46234</v>
      </c>
      <c r="B213">
        <f t="shared" si="12"/>
        <v>2026</v>
      </c>
      <c r="C213">
        <f t="shared" si="13"/>
        <v>7</v>
      </c>
      <c r="D213">
        <f t="shared" si="14"/>
        <v>3</v>
      </c>
    </row>
    <row r="214" spans="1:4" x14ac:dyDescent="0.45">
      <c r="A214" s="1">
        <f t="shared" si="15"/>
        <v>46235</v>
      </c>
      <c r="B214">
        <f t="shared" si="12"/>
        <v>2026</v>
      </c>
      <c r="C214">
        <f t="shared" si="13"/>
        <v>8</v>
      </c>
      <c r="D214">
        <f t="shared" si="14"/>
        <v>3</v>
      </c>
    </row>
    <row r="215" spans="1:4" x14ac:dyDescent="0.45">
      <c r="A215" s="1">
        <f t="shared" si="15"/>
        <v>46236</v>
      </c>
      <c r="B215">
        <f t="shared" si="12"/>
        <v>2026</v>
      </c>
      <c r="C215">
        <f t="shared" si="13"/>
        <v>8</v>
      </c>
      <c r="D215">
        <f t="shared" si="14"/>
        <v>3</v>
      </c>
    </row>
    <row r="216" spans="1:4" x14ac:dyDescent="0.45">
      <c r="A216" s="1">
        <f t="shared" si="15"/>
        <v>46237</v>
      </c>
      <c r="B216">
        <f t="shared" si="12"/>
        <v>2026</v>
      </c>
      <c r="C216">
        <f t="shared" si="13"/>
        <v>8</v>
      </c>
      <c r="D216">
        <f t="shared" si="14"/>
        <v>3</v>
      </c>
    </row>
    <row r="217" spans="1:4" x14ac:dyDescent="0.45">
      <c r="A217" s="1">
        <f t="shared" si="15"/>
        <v>46238</v>
      </c>
      <c r="B217">
        <f t="shared" si="12"/>
        <v>2026</v>
      </c>
      <c r="C217">
        <f t="shared" si="13"/>
        <v>8</v>
      </c>
      <c r="D217">
        <f t="shared" si="14"/>
        <v>3</v>
      </c>
    </row>
    <row r="218" spans="1:4" x14ac:dyDescent="0.45">
      <c r="A218" s="1">
        <f t="shared" si="15"/>
        <v>46239</v>
      </c>
      <c r="B218">
        <f t="shared" si="12"/>
        <v>2026</v>
      </c>
      <c r="C218">
        <f t="shared" si="13"/>
        <v>8</v>
      </c>
      <c r="D218">
        <f t="shared" si="14"/>
        <v>3</v>
      </c>
    </row>
    <row r="219" spans="1:4" x14ac:dyDescent="0.45">
      <c r="A219" s="1">
        <f t="shared" si="15"/>
        <v>46240</v>
      </c>
      <c r="B219">
        <f t="shared" si="12"/>
        <v>2026</v>
      </c>
      <c r="C219">
        <f t="shared" si="13"/>
        <v>8</v>
      </c>
      <c r="D219">
        <f t="shared" si="14"/>
        <v>3</v>
      </c>
    </row>
    <row r="220" spans="1:4" x14ac:dyDescent="0.45">
      <c r="A220" s="1">
        <f t="shared" si="15"/>
        <v>46241</v>
      </c>
      <c r="B220">
        <f t="shared" si="12"/>
        <v>2026</v>
      </c>
      <c r="C220">
        <f t="shared" si="13"/>
        <v>8</v>
      </c>
      <c r="D220">
        <f t="shared" si="14"/>
        <v>3</v>
      </c>
    </row>
    <row r="221" spans="1:4" x14ac:dyDescent="0.45">
      <c r="A221" s="1">
        <f t="shared" si="15"/>
        <v>46242</v>
      </c>
      <c r="B221">
        <f t="shared" si="12"/>
        <v>2026</v>
      </c>
      <c r="C221">
        <f t="shared" si="13"/>
        <v>8</v>
      </c>
      <c r="D221">
        <f t="shared" si="14"/>
        <v>3</v>
      </c>
    </row>
    <row r="222" spans="1:4" x14ac:dyDescent="0.45">
      <c r="A222" s="1">
        <f t="shared" si="15"/>
        <v>46243</v>
      </c>
      <c r="B222">
        <f t="shared" si="12"/>
        <v>2026</v>
      </c>
      <c r="C222">
        <f t="shared" si="13"/>
        <v>8</v>
      </c>
      <c r="D222">
        <f t="shared" si="14"/>
        <v>3</v>
      </c>
    </row>
    <row r="223" spans="1:4" x14ac:dyDescent="0.45">
      <c r="A223" s="1">
        <f t="shared" si="15"/>
        <v>46244</v>
      </c>
      <c r="B223">
        <f t="shared" si="12"/>
        <v>2026</v>
      </c>
      <c r="C223">
        <f t="shared" si="13"/>
        <v>8</v>
      </c>
      <c r="D223">
        <f t="shared" si="14"/>
        <v>3</v>
      </c>
    </row>
    <row r="224" spans="1:4" x14ac:dyDescent="0.45">
      <c r="A224" s="1">
        <f t="shared" si="15"/>
        <v>46245</v>
      </c>
      <c r="B224">
        <f t="shared" si="12"/>
        <v>2026</v>
      </c>
      <c r="C224">
        <f t="shared" si="13"/>
        <v>8</v>
      </c>
      <c r="D224">
        <f t="shared" si="14"/>
        <v>3</v>
      </c>
    </row>
    <row r="225" spans="1:4" x14ac:dyDescent="0.45">
      <c r="A225" s="1">
        <f t="shared" si="15"/>
        <v>46246</v>
      </c>
      <c r="B225">
        <f t="shared" si="12"/>
        <v>2026</v>
      </c>
      <c r="C225">
        <f t="shared" si="13"/>
        <v>8</v>
      </c>
      <c r="D225">
        <f t="shared" si="14"/>
        <v>3</v>
      </c>
    </row>
    <row r="226" spans="1:4" x14ac:dyDescent="0.45">
      <c r="A226" s="1">
        <f t="shared" si="15"/>
        <v>46247</v>
      </c>
      <c r="B226">
        <f t="shared" si="12"/>
        <v>2026</v>
      </c>
      <c r="C226">
        <f t="shared" si="13"/>
        <v>8</v>
      </c>
      <c r="D226">
        <f t="shared" si="14"/>
        <v>3</v>
      </c>
    </row>
    <row r="227" spans="1:4" x14ac:dyDescent="0.45">
      <c r="A227" s="1">
        <f t="shared" si="15"/>
        <v>46248</v>
      </c>
      <c r="B227">
        <f t="shared" si="12"/>
        <v>2026</v>
      </c>
      <c r="C227">
        <f t="shared" si="13"/>
        <v>8</v>
      </c>
      <c r="D227">
        <f t="shared" si="14"/>
        <v>3</v>
      </c>
    </row>
    <row r="228" spans="1:4" x14ac:dyDescent="0.45">
      <c r="A228" s="1">
        <f t="shared" si="15"/>
        <v>46249</v>
      </c>
      <c r="B228">
        <f t="shared" si="12"/>
        <v>2026</v>
      </c>
      <c r="C228">
        <f t="shared" si="13"/>
        <v>8</v>
      </c>
      <c r="D228">
        <f t="shared" si="14"/>
        <v>3</v>
      </c>
    </row>
    <row r="229" spans="1:4" x14ac:dyDescent="0.45">
      <c r="A229" s="1">
        <f t="shared" si="15"/>
        <v>46250</v>
      </c>
      <c r="B229">
        <f t="shared" si="12"/>
        <v>2026</v>
      </c>
      <c r="C229">
        <f t="shared" si="13"/>
        <v>8</v>
      </c>
      <c r="D229">
        <f t="shared" si="14"/>
        <v>3</v>
      </c>
    </row>
    <row r="230" spans="1:4" x14ac:dyDescent="0.45">
      <c r="A230" s="1">
        <f t="shared" si="15"/>
        <v>46251</v>
      </c>
      <c r="B230">
        <f t="shared" si="12"/>
        <v>2026</v>
      </c>
      <c r="C230">
        <f t="shared" si="13"/>
        <v>8</v>
      </c>
      <c r="D230">
        <f t="shared" si="14"/>
        <v>3</v>
      </c>
    </row>
    <row r="231" spans="1:4" x14ac:dyDescent="0.45">
      <c r="A231" s="1">
        <f t="shared" si="15"/>
        <v>46252</v>
      </c>
      <c r="B231">
        <f t="shared" si="12"/>
        <v>2026</v>
      </c>
      <c r="C231">
        <f t="shared" si="13"/>
        <v>8</v>
      </c>
      <c r="D231">
        <f t="shared" si="14"/>
        <v>3</v>
      </c>
    </row>
    <row r="232" spans="1:4" x14ac:dyDescent="0.45">
      <c r="A232" s="1">
        <f t="shared" si="15"/>
        <v>46253</v>
      </c>
      <c r="B232">
        <f t="shared" si="12"/>
        <v>2026</v>
      </c>
      <c r="C232">
        <f t="shared" si="13"/>
        <v>8</v>
      </c>
      <c r="D232">
        <f t="shared" si="14"/>
        <v>3</v>
      </c>
    </row>
    <row r="233" spans="1:4" x14ac:dyDescent="0.45">
      <c r="A233" s="1">
        <f t="shared" si="15"/>
        <v>46254</v>
      </c>
      <c r="B233">
        <f t="shared" si="12"/>
        <v>2026</v>
      </c>
      <c r="C233">
        <f t="shared" si="13"/>
        <v>8</v>
      </c>
      <c r="D233">
        <f t="shared" si="14"/>
        <v>3</v>
      </c>
    </row>
    <row r="234" spans="1:4" x14ac:dyDescent="0.45">
      <c r="A234" s="1">
        <f t="shared" si="15"/>
        <v>46255</v>
      </c>
      <c r="B234">
        <f t="shared" si="12"/>
        <v>2026</v>
      </c>
      <c r="C234">
        <f t="shared" si="13"/>
        <v>8</v>
      </c>
      <c r="D234">
        <f t="shared" si="14"/>
        <v>3</v>
      </c>
    </row>
    <row r="235" spans="1:4" x14ac:dyDescent="0.45">
      <c r="A235" s="1">
        <f t="shared" si="15"/>
        <v>46256</v>
      </c>
      <c r="B235">
        <f t="shared" si="12"/>
        <v>2026</v>
      </c>
      <c r="C235">
        <f t="shared" si="13"/>
        <v>8</v>
      </c>
      <c r="D235">
        <f t="shared" si="14"/>
        <v>3</v>
      </c>
    </row>
    <row r="236" spans="1:4" x14ac:dyDescent="0.45">
      <c r="A236" s="1">
        <f t="shared" si="15"/>
        <v>46257</v>
      </c>
      <c r="B236">
        <f t="shared" si="12"/>
        <v>2026</v>
      </c>
      <c r="C236">
        <f t="shared" si="13"/>
        <v>8</v>
      </c>
      <c r="D236">
        <f t="shared" si="14"/>
        <v>3</v>
      </c>
    </row>
    <row r="237" spans="1:4" x14ac:dyDescent="0.45">
      <c r="A237" s="1">
        <f t="shared" si="15"/>
        <v>46258</v>
      </c>
      <c r="B237">
        <f t="shared" si="12"/>
        <v>2026</v>
      </c>
      <c r="C237">
        <f t="shared" si="13"/>
        <v>8</v>
      </c>
      <c r="D237">
        <f t="shared" si="14"/>
        <v>3</v>
      </c>
    </row>
    <row r="238" spans="1:4" x14ac:dyDescent="0.45">
      <c r="A238" s="1">
        <f t="shared" si="15"/>
        <v>46259</v>
      </c>
      <c r="B238">
        <f t="shared" si="12"/>
        <v>2026</v>
      </c>
      <c r="C238">
        <f t="shared" si="13"/>
        <v>8</v>
      </c>
      <c r="D238">
        <f t="shared" si="14"/>
        <v>3</v>
      </c>
    </row>
    <row r="239" spans="1:4" x14ac:dyDescent="0.45">
      <c r="A239" s="1">
        <f t="shared" si="15"/>
        <v>46260</v>
      </c>
      <c r="B239">
        <f t="shared" si="12"/>
        <v>2026</v>
      </c>
      <c r="C239">
        <f t="shared" si="13"/>
        <v>8</v>
      </c>
      <c r="D239">
        <f t="shared" si="14"/>
        <v>3</v>
      </c>
    </row>
    <row r="240" spans="1:4" x14ac:dyDescent="0.45">
      <c r="A240" s="1">
        <f t="shared" si="15"/>
        <v>46261</v>
      </c>
      <c r="B240">
        <f t="shared" si="12"/>
        <v>2026</v>
      </c>
      <c r="C240">
        <f t="shared" si="13"/>
        <v>8</v>
      </c>
      <c r="D240">
        <f t="shared" si="14"/>
        <v>3</v>
      </c>
    </row>
    <row r="241" spans="1:4" x14ac:dyDescent="0.45">
      <c r="A241" s="1">
        <f t="shared" si="15"/>
        <v>46262</v>
      </c>
      <c r="B241">
        <f t="shared" si="12"/>
        <v>2026</v>
      </c>
      <c r="C241">
        <f t="shared" si="13"/>
        <v>8</v>
      </c>
      <c r="D241">
        <f t="shared" si="14"/>
        <v>3</v>
      </c>
    </row>
    <row r="242" spans="1:4" x14ac:dyDescent="0.45">
      <c r="A242" s="1">
        <f t="shared" si="15"/>
        <v>46263</v>
      </c>
      <c r="B242">
        <f t="shared" si="12"/>
        <v>2026</v>
      </c>
      <c r="C242">
        <f t="shared" si="13"/>
        <v>8</v>
      </c>
      <c r="D242">
        <f t="shared" si="14"/>
        <v>3</v>
      </c>
    </row>
    <row r="243" spans="1:4" x14ac:dyDescent="0.45">
      <c r="A243" s="1">
        <f t="shared" si="15"/>
        <v>46264</v>
      </c>
      <c r="B243">
        <f t="shared" si="12"/>
        <v>2026</v>
      </c>
      <c r="C243">
        <f t="shared" si="13"/>
        <v>8</v>
      </c>
      <c r="D243">
        <f t="shared" si="14"/>
        <v>3</v>
      </c>
    </row>
    <row r="244" spans="1:4" x14ac:dyDescent="0.45">
      <c r="A244" s="1">
        <f t="shared" si="15"/>
        <v>46265</v>
      </c>
      <c r="B244">
        <f t="shared" si="12"/>
        <v>2026</v>
      </c>
      <c r="C244">
        <f t="shared" si="13"/>
        <v>8</v>
      </c>
      <c r="D244">
        <f t="shared" si="14"/>
        <v>3</v>
      </c>
    </row>
    <row r="245" spans="1:4" x14ac:dyDescent="0.45">
      <c r="A245" s="1">
        <f t="shared" si="15"/>
        <v>46266</v>
      </c>
      <c r="B245">
        <f t="shared" si="12"/>
        <v>2026</v>
      </c>
      <c r="C245">
        <f t="shared" si="13"/>
        <v>9</v>
      </c>
      <c r="D245">
        <f t="shared" si="14"/>
        <v>3</v>
      </c>
    </row>
    <row r="246" spans="1:4" x14ac:dyDescent="0.45">
      <c r="A246" s="1">
        <f t="shared" si="15"/>
        <v>46267</v>
      </c>
      <c r="B246">
        <f t="shared" si="12"/>
        <v>2026</v>
      </c>
      <c r="C246">
        <f t="shared" si="13"/>
        <v>9</v>
      </c>
      <c r="D246">
        <f t="shared" si="14"/>
        <v>3</v>
      </c>
    </row>
    <row r="247" spans="1:4" x14ac:dyDescent="0.45">
      <c r="A247" s="1">
        <f t="shared" si="15"/>
        <v>46268</v>
      </c>
      <c r="B247">
        <f t="shared" si="12"/>
        <v>2026</v>
      </c>
      <c r="C247">
        <f t="shared" si="13"/>
        <v>9</v>
      </c>
      <c r="D247">
        <f t="shared" si="14"/>
        <v>3</v>
      </c>
    </row>
    <row r="248" spans="1:4" x14ac:dyDescent="0.45">
      <c r="A248" s="1">
        <f t="shared" si="15"/>
        <v>46269</v>
      </c>
      <c r="B248">
        <f t="shared" si="12"/>
        <v>2026</v>
      </c>
      <c r="C248">
        <f t="shared" si="13"/>
        <v>9</v>
      </c>
      <c r="D248">
        <f t="shared" si="14"/>
        <v>3</v>
      </c>
    </row>
    <row r="249" spans="1:4" x14ac:dyDescent="0.45">
      <c r="A249" s="1">
        <f t="shared" si="15"/>
        <v>46270</v>
      </c>
      <c r="B249">
        <f t="shared" si="12"/>
        <v>2026</v>
      </c>
      <c r="C249">
        <f t="shared" si="13"/>
        <v>9</v>
      </c>
      <c r="D249">
        <f t="shared" si="14"/>
        <v>3</v>
      </c>
    </row>
    <row r="250" spans="1:4" x14ac:dyDescent="0.45">
      <c r="A250" s="1">
        <f t="shared" si="15"/>
        <v>46271</v>
      </c>
      <c r="B250">
        <f t="shared" si="12"/>
        <v>2026</v>
      </c>
      <c r="C250">
        <f t="shared" si="13"/>
        <v>9</v>
      </c>
      <c r="D250">
        <f t="shared" si="14"/>
        <v>3</v>
      </c>
    </row>
    <row r="251" spans="1:4" x14ac:dyDescent="0.45">
      <c r="A251" s="1">
        <f t="shared" si="15"/>
        <v>46272</v>
      </c>
      <c r="B251">
        <f t="shared" si="12"/>
        <v>2026</v>
      </c>
      <c r="C251">
        <f t="shared" si="13"/>
        <v>9</v>
      </c>
      <c r="D251">
        <f t="shared" si="14"/>
        <v>3</v>
      </c>
    </row>
    <row r="252" spans="1:4" x14ac:dyDescent="0.45">
      <c r="A252" s="1">
        <f t="shared" si="15"/>
        <v>46273</v>
      </c>
      <c r="B252">
        <f t="shared" si="12"/>
        <v>2026</v>
      </c>
      <c r="C252">
        <f t="shared" si="13"/>
        <v>9</v>
      </c>
      <c r="D252">
        <f t="shared" si="14"/>
        <v>3</v>
      </c>
    </row>
    <row r="253" spans="1:4" x14ac:dyDescent="0.45">
      <c r="A253" s="1">
        <f t="shared" si="15"/>
        <v>46274</v>
      </c>
      <c r="B253">
        <f t="shared" si="12"/>
        <v>2026</v>
      </c>
      <c r="C253">
        <f t="shared" si="13"/>
        <v>9</v>
      </c>
      <c r="D253">
        <f t="shared" si="14"/>
        <v>3</v>
      </c>
    </row>
    <row r="254" spans="1:4" x14ac:dyDescent="0.45">
      <c r="A254" s="1">
        <f t="shared" si="15"/>
        <v>46275</v>
      </c>
      <c r="B254">
        <f t="shared" si="12"/>
        <v>2026</v>
      </c>
      <c r="C254">
        <f t="shared" si="13"/>
        <v>9</v>
      </c>
      <c r="D254">
        <f t="shared" si="14"/>
        <v>3</v>
      </c>
    </row>
    <row r="255" spans="1:4" x14ac:dyDescent="0.45">
      <c r="A255" s="1">
        <f t="shared" si="15"/>
        <v>46276</v>
      </c>
      <c r="B255">
        <f t="shared" si="12"/>
        <v>2026</v>
      </c>
      <c r="C255">
        <f t="shared" si="13"/>
        <v>9</v>
      </c>
      <c r="D255">
        <f t="shared" si="14"/>
        <v>3</v>
      </c>
    </row>
    <row r="256" spans="1:4" x14ac:dyDescent="0.45">
      <c r="A256" s="1">
        <f t="shared" si="15"/>
        <v>46277</v>
      </c>
      <c r="B256">
        <f t="shared" si="12"/>
        <v>2026</v>
      </c>
      <c r="C256">
        <f t="shared" si="13"/>
        <v>9</v>
      </c>
      <c r="D256">
        <f t="shared" si="14"/>
        <v>3</v>
      </c>
    </row>
    <row r="257" spans="1:4" x14ac:dyDescent="0.45">
      <c r="A257" s="1">
        <f t="shared" si="15"/>
        <v>46278</v>
      </c>
      <c r="B257">
        <f t="shared" si="12"/>
        <v>2026</v>
      </c>
      <c r="C257">
        <f t="shared" si="13"/>
        <v>9</v>
      </c>
      <c r="D257">
        <f t="shared" si="14"/>
        <v>3</v>
      </c>
    </row>
    <row r="258" spans="1:4" x14ac:dyDescent="0.45">
      <c r="A258" s="1">
        <f t="shared" si="15"/>
        <v>46279</v>
      </c>
      <c r="B258">
        <f t="shared" si="12"/>
        <v>2026</v>
      </c>
      <c r="C258">
        <f t="shared" si="13"/>
        <v>9</v>
      </c>
      <c r="D258">
        <f t="shared" si="14"/>
        <v>3</v>
      </c>
    </row>
    <row r="259" spans="1:4" x14ac:dyDescent="0.45">
      <c r="A259" s="1">
        <f t="shared" si="15"/>
        <v>46280</v>
      </c>
      <c r="B259">
        <f t="shared" ref="B259:B322" si="16">YEAR(A259)</f>
        <v>2026</v>
      </c>
      <c r="C259">
        <f t="shared" ref="C259:C322" si="17">MONTH(A259)</f>
        <v>9</v>
      </c>
      <c r="D259">
        <f t="shared" ref="D259:D322" si="18">ROUNDUP(MONTH(A259)/3,0)</f>
        <v>3</v>
      </c>
    </row>
    <row r="260" spans="1:4" x14ac:dyDescent="0.45">
      <c r="A260" s="1">
        <f t="shared" ref="A260:A323" si="19">A259+1</f>
        <v>46281</v>
      </c>
      <c r="B260">
        <f t="shared" si="16"/>
        <v>2026</v>
      </c>
      <c r="C260">
        <f t="shared" si="17"/>
        <v>9</v>
      </c>
      <c r="D260">
        <f t="shared" si="18"/>
        <v>3</v>
      </c>
    </row>
    <row r="261" spans="1:4" x14ac:dyDescent="0.45">
      <c r="A261" s="1">
        <f t="shared" si="19"/>
        <v>46282</v>
      </c>
      <c r="B261">
        <f t="shared" si="16"/>
        <v>2026</v>
      </c>
      <c r="C261">
        <f t="shared" si="17"/>
        <v>9</v>
      </c>
      <c r="D261">
        <f t="shared" si="18"/>
        <v>3</v>
      </c>
    </row>
    <row r="262" spans="1:4" x14ac:dyDescent="0.45">
      <c r="A262" s="1">
        <f t="shared" si="19"/>
        <v>46283</v>
      </c>
      <c r="B262">
        <f t="shared" si="16"/>
        <v>2026</v>
      </c>
      <c r="C262">
        <f t="shared" si="17"/>
        <v>9</v>
      </c>
      <c r="D262">
        <f t="shared" si="18"/>
        <v>3</v>
      </c>
    </row>
    <row r="263" spans="1:4" x14ac:dyDescent="0.45">
      <c r="A263" s="1">
        <f t="shared" si="19"/>
        <v>46284</v>
      </c>
      <c r="B263">
        <f t="shared" si="16"/>
        <v>2026</v>
      </c>
      <c r="C263">
        <f t="shared" si="17"/>
        <v>9</v>
      </c>
      <c r="D263">
        <f t="shared" si="18"/>
        <v>3</v>
      </c>
    </row>
    <row r="264" spans="1:4" x14ac:dyDescent="0.45">
      <c r="A264" s="1">
        <f t="shared" si="19"/>
        <v>46285</v>
      </c>
      <c r="B264">
        <f t="shared" si="16"/>
        <v>2026</v>
      </c>
      <c r="C264">
        <f t="shared" si="17"/>
        <v>9</v>
      </c>
      <c r="D264">
        <f t="shared" si="18"/>
        <v>3</v>
      </c>
    </row>
    <row r="265" spans="1:4" x14ac:dyDescent="0.45">
      <c r="A265" s="1">
        <f t="shared" si="19"/>
        <v>46286</v>
      </c>
      <c r="B265">
        <f t="shared" si="16"/>
        <v>2026</v>
      </c>
      <c r="C265">
        <f t="shared" si="17"/>
        <v>9</v>
      </c>
      <c r="D265">
        <f t="shared" si="18"/>
        <v>3</v>
      </c>
    </row>
    <row r="266" spans="1:4" x14ac:dyDescent="0.45">
      <c r="A266" s="1">
        <f t="shared" si="19"/>
        <v>46287</v>
      </c>
      <c r="B266">
        <f t="shared" si="16"/>
        <v>2026</v>
      </c>
      <c r="C266">
        <f t="shared" si="17"/>
        <v>9</v>
      </c>
      <c r="D266">
        <f t="shared" si="18"/>
        <v>3</v>
      </c>
    </row>
    <row r="267" spans="1:4" x14ac:dyDescent="0.45">
      <c r="A267" s="1">
        <f t="shared" si="19"/>
        <v>46288</v>
      </c>
      <c r="B267">
        <f t="shared" si="16"/>
        <v>2026</v>
      </c>
      <c r="C267">
        <f t="shared" si="17"/>
        <v>9</v>
      </c>
      <c r="D267">
        <f t="shared" si="18"/>
        <v>3</v>
      </c>
    </row>
    <row r="268" spans="1:4" x14ac:dyDescent="0.45">
      <c r="A268" s="1">
        <f t="shared" si="19"/>
        <v>46289</v>
      </c>
      <c r="B268">
        <f t="shared" si="16"/>
        <v>2026</v>
      </c>
      <c r="C268">
        <f t="shared" si="17"/>
        <v>9</v>
      </c>
      <c r="D268">
        <f t="shared" si="18"/>
        <v>3</v>
      </c>
    </row>
    <row r="269" spans="1:4" x14ac:dyDescent="0.45">
      <c r="A269" s="1">
        <f t="shared" si="19"/>
        <v>46290</v>
      </c>
      <c r="B269">
        <f t="shared" si="16"/>
        <v>2026</v>
      </c>
      <c r="C269">
        <f t="shared" si="17"/>
        <v>9</v>
      </c>
      <c r="D269">
        <f t="shared" si="18"/>
        <v>3</v>
      </c>
    </row>
    <row r="270" spans="1:4" x14ac:dyDescent="0.45">
      <c r="A270" s="1">
        <f t="shared" si="19"/>
        <v>46291</v>
      </c>
      <c r="B270">
        <f t="shared" si="16"/>
        <v>2026</v>
      </c>
      <c r="C270">
        <f t="shared" si="17"/>
        <v>9</v>
      </c>
      <c r="D270">
        <f t="shared" si="18"/>
        <v>3</v>
      </c>
    </row>
    <row r="271" spans="1:4" x14ac:dyDescent="0.45">
      <c r="A271" s="1">
        <f t="shared" si="19"/>
        <v>46292</v>
      </c>
      <c r="B271">
        <f t="shared" si="16"/>
        <v>2026</v>
      </c>
      <c r="C271">
        <f t="shared" si="17"/>
        <v>9</v>
      </c>
      <c r="D271">
        <f t="shared" si="18"/>
        <v>3</v>
      </c>
    </row>
    <row r="272" spans="1:4" x14ac:dyDescent="0.45">
      <c r="A272" s="1">
        <f t="shared" si="19"/>
        <v>46293</v>
      </c>
      <c r="B272">
        <f t="shared" si="16"/>
        <v>2026</v>
      </c>
      <c r="C272">
        <f t="shared" si="17"/>
        <v>9</v>
      </c>
      <c r="D272">
        <f t="shared" si="18"/>
        <v>3</v>
      </c>
    </row>
    <row r="273" spans="1:4" x14ac:dyDescent="0.45">
      <c r="A273" s="1">
        <f t="shared" si="19"/>
        <v>46294</v>
      </c>
      <c r="B273">
        <f t="shared" si="16"/>
        <v>2026</v>
      </c>
      <c r="C273">
        <f t="shared" si="17"/>
        <v>9</v>
      </c>
      <c r="D273">
        <f t="shared" si="18"/>
        <v>3</v>
      </c>
    </row>
    <row r="274" spans="1:4" x14ac:dyDescent="0.45">
      <c r="A274" s="1">
        <f t="shared" si="19"/>
        <v>46295</v>
      </c>
      <c r="B274">
        <f t="shared" si="16"/>
        <v>2026</v>
      </c>
      <c r="C274">
        <f t="shared" si="17"/>
        <v>9</v>
      </c>
      <c r="D274">
        <f t="shared" si="18"/>
        <v>3</v>
      </c>
    </row>
    <row r="275" spans="1:4" x14ac:dyDescent="0.45">
      <c r="A275" s="1">
        <f t="shared" si="19"/>
        <v>46296</v>
      </c>
      <c r="B275">
        <f t="shared" si="16"/>
        <v>2026</v>
      </c>
      <c r="C275">
        <f t="shared" si="17"/>
        <v>10</v>
      </c>
      <c r="D275">
        <f t="shared" si="18"/>
        <v>4</v>
      </c>
    </row>
    <row r="276" spans="1:4" x14ac:dyDescent="0.45">
      <c r="A276" s="1">
        <f t="shared" si="19"/>
        <v>46297</v>
      </c>
      <c r="B276">
        <f t="shared" si="16"/>
        <v>2026</v>
      </c>
      <c r="C276">
        <f t="shared" si="17"/>
        <v>10</v>
      </c>
      <c r="D276">
        <f t="shared" si="18"/>
        <v>4</v>
      </c>
    </row>
    <row r="277" spans="1:4" x14ac:dyDescent="0.45">
      <c r="A277" s="1">
        <f t="shared" si="19"/>
        <v>46298</v>
      </c>
      <c r="B277">
        <f t="shared" si="16"/>
        <v>2026</v>
      </c>
      <c r="C277">
        <f t="shared" si="17"/>
        <v>10</v>
      </c>
      <c r="D277">
        <f t="shared" si="18"/>
        <v>4</v>
      </c>
    </row>
    <row r="278" spans="1:4" x14ac:dyDescent="0.45">
      <c r="A278" s="1">
        <f t="shared" si="19"/>
        <v>46299</v>
      </c>
      <c r="B278">
        <f t="shared" si="16"/>
        <v>2026</v>
      </c>
      <c r="C278">
        <f t="shared" si="17"/>
        <v>10</v>
      </c>
      <c r="D278">
        <f t="shared" si="18"/>
        <v>4</v>
      </c>
    </row>
    <row r="279" spans="1:4" x14ac:dyDescent="0.45">
      <c r="A279" s="1">
        <f t="shared" si="19"/>
        <v>46300</v>
      </c>
      <c r="B279">
        <f t="shared" si="16"/>
        <v>2026</v>
      </c>
      <c r="C279">
        <f t="shared" si="17"/>
        <v>10</v>
      </c>
      <c r="D279">
        <f t="shared" si="18"/>
        <v>4</v>
      </c>
    </row>
    <row r="280" spans="1:4" x14ac:dyDescent="0.45">
      <c r="A280" s="1">
        <f t="shared" si="19"/>
        <v>46301</v>
      </c>
      <c r="B280">
        <f t="shared" si="16"/>
        <v>2026</v>
      </c>
      <c r="C280">
        <f t="shared" si="17"/>
        <v>10</v>
      </c>
      <c r="D280">
        <f t="shared" si="18"/>
        <v>4</v>
      </c>
    </row>
    <row r="281" spans="1:4" x14ac:dyDescent="0.45">
      <c r="A281" s="1">
        <f t="shared" si="19"/>
        <v>46302</v>
      </c>
      <c r="B281">
        <f t="shared" si="16"/>
        <v>2026</v>
      </c>
      <c r="C281">
        <f t="shared" si="17"/>
        <v>10</v>
      </c>
      <c r="D281">
        <f t="shared" si="18"/>
        <v>4</v>
      </c>
    </row>
    <row r="282" spans="1:4" x14ac:dyDescent="0.45">
      <c r="A282" s="1">
        <f t="shared" si="19"/>
        <v>46303</v>
      </c>
      <c r="B282">
        <f t="shared" si="16"/>
        <v>2026</v>
      </c>
      <c r="C282">
        <f t="shared" si="17"/>
        <v>10</v>
      </c>
      <c r="D282">
        <f t="shared" si="18"/>
        <v>4</v>
      </c>
    </row>
    <row r="283" spans="1:4" x14ac:dyDescent="0.45">
      <c r="A283" s="1">
        <f t="shared" si="19"/>
        <v>46304</v>
      </c>
      <c r="B283">
        <f t="shared" si="16"/>
        <v>2026</v>
      </c>
      <c r="C283">
        <f t="shared" si="17"/>
        <v>10</v>
      </c>
      <c r="D283">
        <f t="shared" si="18"/>
        <v>4</v>
      </c>
    </row>
    <row r="284" spans="1:4" x14ac:dyDescent="0.45">
      <c r="A284" s="1">
        <f t="shared" si="19"/>
        <v>46305</v>
      </c>
      <c r="B284">
        <f t="shared" si="16"/>
        <v>2026</v>
      </c>
      <c r="C284">
        <f t="shared" si="17"/>
        <v>10</v>
      </c>
      <c r="D284">
        <f t="shared" si="18"/>
        <v>4</v>
      </c>
    </row>
    <row r="285" spans="1:4" x14ac:dyDescent="0.45">
      <c r="A285" s="1">
        <f t="shared" si="19"/>
        <v>46306</v>
      </c>
      <c r="B285">
        <f t="shared" si="16"/>
        <v>2026</v>
      </c>
      <c r="C285">
        <f t="shared" si="17"/>
        <v>10</v>
      </c>
      <c r="D285">
        <f t="shared" si="18"/>
        <v>4</v>
      </c>
    </row>
    <row r="286" spans="1:4" x14ac:dyDescent="0.45">
      <c r="A286" s="1">
        <f t="shared" si="19"/>
        <v>46307</v>
      </c>
      <c r="B286">
        <f t="shared" si="16"/>
        <v>2026</v>
      </c>
      <c r="C286">
        <f t="shared" si="17"/>
        <v>10</v>
      </c>
      <c r="D286">
        <f t="shared" si="18"/>
        <v>4</v>
      </c>
    </row>
    <row r="287" spans="1:4" x14ac:dyDescent="0.45">
      <c r="A287" s="1">
        <f t="shared" si="19"/>
        <v>46308</v>
      </c>
      <c r="B287">
        <f t="shared" si="16"/>
        <v>2026</v>
      </c>
      <c r="C287">
        <f t="shared" si="17"/>
        <v>10</v>
      </c>
      <c r="D287">
        <f t="shared" si="18"/>
        <v>4</v>
      </c>
    </row>
    <row r="288" spans="1:4" x14ac:dyDescent="0.45">
      <c r="A288" s="1">
        <f t="shared" si="19"/>
        <v>46309</v>
      </c>
      <c r="B288">
        <f t="shared" si="16"/>
        <v>2026</v>
      </c>
      <c r="C288">
        <f t="shared" si="17"/>
        <v>10</v>
      </c>
      <c r="D288">
        <f t="shared" si="18"/>
        <v>4</v>
      </c>
    </row>
    <row r="289" spans="1:4" x14ac:dyDescent="0.45">
      <c r="A289" s="1">
        <f t="shared" si="19"/>
        <v>46310</v>
      </c>
      <c r="B289">
        <f t="shared" si="16"/>
        <v>2026</v>
      </c>
      <c r="C289">
        <f t="shared" si="17"/>
        <v>10</v>
      </c>
      <c r="D289">
        <f t="shared" si="18"/>
        <v>4</v>
      </c>
    </row>
    <row r="290" spans="1:4" x14ac:dyDescent="0.45">
      <c r="A290" s="1">
        <f t="shared" si="19"/>
        <v>46311</v>
      </c>
      <c r="B290">
        <f t="shared" si="16"/>
        <v>2026</v>
      </c>
      <c r="C290">
        <f t="shared" si="17"/>
        <v>10</v>
      </c>
      <c r="D290">
        <f t="shared" si="18"/>
        <v>4</v>
      </c>
    </row>
    <row r="291" spans="1:4" x14ac:dyDescent="0.45">
      <c r="A291" s="1">
        <f t="shared" si="19"/>
        <v>46312</v>
      </c>
      <c r="B291">
        <f t="shared" si="16"/>
        <v>2026</v>
      </c>
      <c r="C291">
        <f t="shared" si="17"/>
        <v>10</v>
      </c>
      <c r="D291">
        <f t="shared" si="18"/>
        <v>4</v>
      </c>
    </row>
    <row r="292" spans="1:4" x14ac:dyDescent="0.45">
      <c r="A292" s="1">
        <f t="shared" si="19"/>
        <v>46313</v>
      </c>
      <c r="B292">
        <f t="shared" si="16"/>
        <v>2026</v>
      </c>
      <c r="C292">
        <f t="shared" si="17"/>
        <v>10</v>
      </c>
      <c r="D292">
        <f t="shared" si="18"/>
        <v>4</v>
      </c>
    </row>
    <row r="293" spans="1:4" x14ac:dyDescent="0.45">
      <c r="A293" s="1">
        <f t="shared" si="19"/>
        <v>46314</v>
      </c>
      <c r="B293">
        <f t="shared" si="16"/>
        <v>2026</v>
      </c>
      <c r="C293">
        <f t="shared" si="17"/>
        <v>10</v>
      </c>
      <c r="D293">
        <f t="shared" si="18"/>
        <v>4</v>
      </c>
    </row>
    <row r="294" spans="1:4" x14ac:dyDescent="0.45">
      <c r="A294" s="1">
        <f t="shared" si="19"/>
        <v>46315</v>
      </c>
      <c r="B294">
        <f t="shared" si="16"/>
        <v>2026</v>
      </c>
      <c r="C294">
        <f t="shared" si="17"/>
        <v>10</v>
      </c>
      <c r="D294">
        <f t="shared" si="18"/>
        <v>4</v>
      </c>
    </row>
    <row r="295" spans="1:4" x14ac:dyDescent="0.45">
      <c r="A295" s="1">
        <f t="shared" si="19"/>
        <v>46316</v>
      </c>
      <c r="B295">
        <f t="shared" si="16"/>
        <v>2026</v>
      </c>
      <c r="C295">
        <f t="shared" si="17"/>
        <v>10</v>
      </c>
      <c r="D295">
        <f t="shared" si="18"/>
        <v>4</v>
      </c>
    </row>
    <row r="296" spans="1:4" x14ac:dyDescent="0.45">
      <c r="A296" s="1">
        <f t="shared" si="19"/>
        <v>46317</v>
      </c>
      <c r="B296">
        <f t="shared" si="16"/>
        <v>2026</v>
      </c>
      <c r="C296">
        <f t="shared" si="17"/>
        <v>10</v>
      </c>
      <c r="D296">
        <f t="shared" si="18"/>
        <v>4</v>
      </c>
    </row>
    <row r="297" spans="1:4" x14ac:dyDescent="0.45">
      <c r="A297" s="1">
        <f t="shared" si="19"/>
        <v>46318</v>
      </c>
      <c r="B297">
        <f t="shared" si="16"/>
        <v>2026</v>
      </c>
      <c r="C297">
        <f t="shared" si="17"/>
        <v>10</v>
      </c>
      <c r="D297">
        <f t="shared" si="18"/>
        <v>4</v>
      </c>
    </row>
    <row r="298" spans="1:4" x14ac:dyDescent="0.45">
      <c r="A298" s="1">
        <f t="shared" si="19"/>
        <v>46319</v>
      </c>
      <c r="B298">
        <f t="shared" si="16"/>
        <v>2026</v>
      </c>
      <c r="C298">
        <f t="shared" si="17"/>
        <v>10</v>
      </c>
      <c r="D298">
        <f t="shared" si="18"/>
        <v>4</v>
      </c>
    </row>
    <row r="299" spans="1:4" x14ac:dyDescent="0.45">
      <c r="A299" s="1">
        <f t="shared" si="19"/>
        <v>46320</v>
      </c>
      <c r="B299">
        <f t="shared" si="16"/>
        <v>2026</v>
      </c>
      <c r="C299">
        <f t="shared" si="17"/>
        <v>10</v>
      </c>
      <c r="D299">
        <f t="shared" si="18"/>
        <v>4</v>
      </c>
    </row>
    <row r="300" spans="1:4" x14ac:dyDescent="0.45">
      <c r="A300" s="1">
        <f t="shared" si="19"/>
        <v>46321</v>
      </c>
      <c r="B300">
        <f t="shared" si="16"/>
        <v>2026</v>
      </c>
      <c r="C300">
        <f t="shared" si="17"/>
        <v>10</v>
      </c>
      <c r="D300">
        <f t="shared" si="18"/>
        <v>4</v>
      </c>
    </row>
    <row r="301" spans="1:4" x14ac:dyDescent="0.45">
      <c r="A301" s="1">
        <f t="shared" si="19"/>
        <v>46322</v>
      </c>
      <c r="B301">
        <f t="shared" si="16"/>
        <v>2026</v>
      </c>
      <c r="C301">
        <f t="shared" si="17"/>
        <v>10</v>
      </c>
      <c r="D301">
        <f t="shared" si="18"/>
        <v>4</v>
      </c>
    </row>
    <row r="302" spans="1:4" x14ac:dyDescent="0.45">
      <c r="A302" s="1">
        <f t="shared" si="19"/>
        <v>46323</v>
      </c>
      <c r="B302">
        <f t="shared" si="16"/>
        <v>2026</v>
      </c>
      <c r="C302">
        <f t="shared" si="17"/>
        <v>10</v>
      </c>
      <c r="D302">
        <f t="shared" si="18"/>
        <v>4</v>
      </c>
    </row>
    <row r="303" spans="1:4" x14ac:dyDescent="0.45">
      <c r="A303" s="1">
        <f t="shared" si="19"/>
        <v>46324</v>
      </c>
      <c r="B303">
        <f t="shared" si="16"/>
        <v>2026</v>
      </c>
      <c r="C303">
        <f t="shared" si="17"/>
        <v>10</v>
      </c>
      <c r="D303">
        <f t="shared" si="18"/>
        <v>4</v>
      </c>
    </row>
    <row r="304" spans="1:4" x14ac:dyDescent="0.45">
      <c r="A304" s="1">
        <f t="shared" si="19"/>
        <v>46325</v>
      </c>
      <c r="B304">
        <f t="shared" si="16"/>
        <v>2026</v>
      </c>
      <c r="C304">
        <f t="shared" si="17"/>
        <v>10</v>
      </c>
      <c r="D304">
        <f t="shared" si="18"/>
        <v>4</v>
      </c>
    </row>
    <row r="305" spans="1:4" x14ac:dyDescent="0.45">
      <c r="A305" s="1">
        <f t="shared" si="19"/>
        <v>46326</v>
      </c>
      <c r="B305">
        <f t="shared" si="16"/>
        <v>2026</v>
      </c>
      <c r="C305">
        <f t="shared" si="17"/>
        <v>10</v>
      </c>
      <c r="D305">
        <f t="shared" si="18"/>
        <v>4</v>
      </c>
    </row>
    <row r="306" spans="1:4" x14ac:dyDescent="0.45">
      <c r="A306" s="1">
        <f t="shared" si="19"/>
        <v>46327</v>
      </c>
      <c r="B306">
        <f t="shared" si="16"/>
        <v>2026</v>
      </c>
      <c r="C306">
        <f t="shared" si="17"/>
        <v>11</v>
      </c>
      <c r="D306">
        <f t="shared" si="18"/>
        <v>4</v>
      </c>
    </row>
    <row r="307" spans="1:4" x14ac:dyDescent="0.45">
      <c r="A307" s="1">
        <f t="shared" si="19"/>
        <v>46328</v>
      </c>
      <c r="B307">
        <f t="shared" si="16"/>
        <v>2026</v>
      </c>
      <c r="C307">
        <f t="shared" si="17"/>
        <v>11</v>
      </c>
      <c r="D307">
        <f t="shared" si="18"/>
        <v>4</v>
      </c>
    </row>
    <row r="308" spans="1:4" x14ac:dyDescent="0.45">
      <c r="A308" s="1">
        <f t="shared" si="19"/>
        <v>46329</v>
      </c>
      <c r="B308">
        <f t="shared" si="16"/>
        <v>2026</v>
      </c>
      <c r="C308">
        <f t="shared" si="17"/>
        <v>11</v>
      </c>
      <c r="D308">
        <f t="shared" si="18"/>
        <v>4</v>
      </c>
    </row>
    <row r="309" spans="1:4" x14ac:dyDescent="0.45">
      <c r="A309" s="1">
        <f t="shared" si="19"/>
        <v>46330</v>
      </c>
      <c r="B309">
        <f t="shared" si="16"/>
        <v>2026</v>
      </c>
      <c r="C309">
        <f t="shared" si="17"/>
        <v>11</v>
      </c>
      <c r="D309">
        <f t="shared" si="18"/>
        <v>4</v>
      </c>
    </row>
    <row r="310" spans="1:4" x14ac:dyDescent="0.45">
      <c r="A310" s="1">
        <f t="shared" si="19"/>
        <v>46331</v>
      </c>
      <c r="B310">
        <f t="shared" si="16"/>
        <v>2026</v>
      </c>
      <c r="C310">
        <f t="shared" si="17"/>
        <v>11</v>
      </c>
      <c r="D310">
        <f t="shared" si="18"/>
        <v>4</v>
      </c>
    </row>
    <row r="311" spans="1:4" x14ac:dyDescent="0.45">
      <c r="A311" s="1">
        <f t="shared" si="19"/>
        <v>46332</v>
      </c>
      <c r="B311">
        <f t="shared" si="16"/>
        <v>2026</v>
      </c>
      <c r="C311">
        <f t="shared" si="17"/>
        <v>11</v>
      </c>
      <c r="D311">
        <f t="shared" si="18"/>
        <v>4</v>
      </c>
    </row>
    <row r="312" spans="1:4" x14ac:dyDescent="0.45">
      <c r="A312" s="1">
        <f t="shared" si="19"/>
        <v>46333</v>
      </c>
      <c r="B312">
        <f t="shared" si="16"/>
        <v>2026</v>
      </c>
      <c r="C312">
        <f t="shared" si="17"/>
        <v>11</v>
      </c>
      <c r="D312">
        <f t="shared" si="18"/>
        <v>4</v>
      </c>
    </row>
    <row r="313" spans="1:4" x14ac:dyDescent="0.45">
      <c r="A313" s="1">
        <f t="shared" si="19"/>
        <v>46334</v>
      </c>
      <c r="B313">
        <f t="shared" si="16"/>
        <v>2026</v>
      </c>
      <c r="C313">
        <f t="shared" si="17"/>
        <v>11</v>
      </c>
      <c r="D313">
        <f t="shared" si="18"/>
        <v>4</v>
      </c>
    </row>
    <row r="314" spans="1:4" x14ac:dyDescent="0.45">
      <c r="A314" s="1">
        <f t="shared" si="19"/>
        <v>46335</v>
      </c>
      <c r="B314">
        <f t="shared" si="16"/>
        <v>2026</v>
      </c>
      <c r="C314">
        <f t="shared" si="17"/>
        <v>11</v>
      </c>
      <c r="D314">
        <f t="shared" si="18"/>
        <v>4</v>
      </c>
    </row>
    <row r="315" spans="1:4" x14ac:dyDescent="0.45">
      <c r="A315" s="1">
        <f t="shared" si="19"/>
        <v>46336</v>
      </c>
      <c r="B315">
        <f t="shared" si="16"/>
        <v>2026</v>
      </c>
      <c r="C315">
        <f t="shared" si="17"/>
        <v>11</v>
      </c>
      <c r="D315">
        <f t="shared" si="18"/>
        <v>4</v>
      </c>
    </row>
    <row r="316" spans="1:4" x14ac:dyDescent="0.45">
      <c r="A316" s="1">
        <f t="shared" si="19"/>
        <v>46337</v>
      </c>
      <c r="B316">
        <f t="shared" si="16"/>
        <v>2026</v>
      </c>
      <c r="C316">
        <f t="shared" si="17"/>
        <v>11</v>
      </c>
      <c r="D316">
        <f t="shared" si="18"/>
        <v>4</v>
      </c>
    </row>
    <row r="317" spans="1:4" x14ac:dyDescent="0.45">
      <c r="A317" s="1">
        <f t="shared" si="19"/>
        <v>46338</v>
      </c>
      <c r="B317">
        <f t="shared" si="16"/>
        <v>2026</v>
      </c>
      <c r="C317">
        <f t="shared" si="17"/>
        <v>11</v>
      </c>
      <c r="D317">
        <f t="shared" si="18"/>
        <v>4</v>
      </c>
    </row>
    <row r="318" spans="1:4" x14ac:dyDescent="0.45">
      <c r="A318" s="1">
        <f t="shared" si="19"/>
        <v>46339</v>
      </c>
      <c r="B318">
        <f t="shared" si="16"/>
        <v>2026</v>
      </c>
      <c r="C318">
        <f t="shared" si="17"/>
        <v>11</v>
      </c>
      <c r="D318">
        <f t="shared" si="18"/>
        <v>4</v>
      </c>
    </row>
    <row r="319" spans="1:4" x14ac:dyDescent="0.45">
      <c r="A319" s="1">
        <f t="shared" si="19"/>
        <v>46340</v>
      </c>
      <c r="B319">
        <f t="shared" si="16"/>
        <v>2026</v>
      </c>
      <c r="C319">
        <f t="shared" si="17"/>
        <v>11</v>
      </c>
      <c r="D319">
        <f t="shared" si="18"/>
        <v>4</v>
      </c>
    </row>
    <row r="320" spans="1:4" x14ac:dyDescent="0.45">
      <c r="A320" s="1">
        <f t="shared" si="19"/>
        <v>46341</v>
      </c>
      <c r="B320">
        <f t="shared" si="16"/>
        <v>2026</v>
      </c>
      <c r="C320">
        <f t="shared" si="17"/>
        <v>11</v>
      </c>
      <c r="D320">
        <f t="shared" si="18"/>
        <v>4</v>
      </c>
    </row>
    <row r="321" spans="1:4" x14ac:dyDescent="0.45">
      <c r="A321" s="1">
        <f t="shared" si="19"/>
        <v>46342</v>
      </c>
      <c r="B321">
        <f t="shared" si="16"/>
        <v>2026</v>
      </c>
      <c r="C321">
        <f t="shared" si="17"/>
        <v>11</v>
      </c>
      <c r="D321">
        <f t="shared" si="18"/>
        <v>4</v>
      </c>
    </row>
    <row r="322" spans="1:4" x14ac:dyDescent="0.45">
      <c r="A322" s="1">
        <f t="shared" si="19"/>
        <v>46343</v>
      </c>
      <c r="B322">
        <f t="shared" si="16"/>
        <v>2026</v>
      </c>
      <c r="C322">
        <f t="shared" si="17"/>
        <v>11</v>
      </c>
      <c r="D322">
        <f t="shared" si="18"/>
        <v>4</v>
      </c>
    </row>
    <row r="323" spans="1:4" x14ac:dyDescent="0.45">
      <c r="A323" s="1">
        <f t="shared" si="19"/>
        <v>46344</v>
      </c>
      <c r="B323">
        <f t="shared" ref="B323:B366" si="20">YEAR(A323)</f>
        <v>2026</v>
      </c>
      <c r="C323">
        <f t="shared" ref="C323:C366" si="21">MONTH(A323)</f>
        <v>11</v>
      </c>
      <c r="D323">
        <f t="shared" ref="D323:D366" si="22">ROUNDUP(MONTH(A323)/3,0)</f>
        <v>4</v>
      </c>
    </row>
    <row r="324" spans="1:4" x14ac:dyDescent="0.45">
      <c r="A324" s="1">
        <f t="shared" ref="A324:A366" si="23">A323+1</f>
        <v>46345</v>
      </c>
      <c r="B324">
        <f t="shared" si="20"/>
        <v>2026</v>
      </c>
      <c r="C324">
        <f t="shared" si="21"/>
        <v>11</v>
      </c>
      <c r="D324">
        <f t="shared" si="22"/>
        <v>4</v>
      </c>
    </row>
    <row r="325" spans="1:4" x14ac:dyDescent="0.45">
      <c r="A325" s="1">
        <f t="shared" si="23"/>
        <v>46346</v>
      </c>
      <c r="B325">
        <f t="shared" si="20"/>
        <v>2026</v>
      </c>
      <c r="C325">
        <f t="shared" si="21"/>
        <v>11</v>
      </c>
      <c r="D325">
        <f t="shared" si="22"/>
        <v>4</v>
      </c>
    </row>
    <row r="326" spans="1:4" x14ac:dyDescent="0.45">
      <c r="A326" s="1">
        <f t="shared" si="23"/>
        <v>46347</v>
      </c>
      <c r="B326">
        <f t="shared" si="20"/>
        <v>2026</v>
      </c>
      <c r="C326">
        <f t="shared" si="21"/>
        <v>11</v>
      </c>
      <c r="D326">
        <f t="shared" si="22"/>
        <v>4</v>
      </c>
    </row>
    <row r="327" spans="1:4" x14ac:dyDescent="0.45">
      <c r="A327" s="1">
        <f t="shared" si="23"/>
        <v>46348</v>
      </c>
      <c r="B327">
        <f t="shared" si="20"/>
        <v>2026</v>
      </c>
      <c r="C327">
        <f t="shared" si="21"/>
        <v>11</v>
      </c>
      <c r="D327">
        <f t="shared" si="22"/>
        <v>4</v>
      </c>
    </row>
    <row r="328" spans="1:4" x14ac:dyDescent="0.45">
      <c r="A328" s="1">
        <f t="shared" si="23"/>
        <v>46349</v>
      </c>
      <c r="B328">
        <f t="shared" si="20"/>
        <v>2026</v>
      </c>
      <c r="C328">
        <f t="shared" si="21"/>
        <v>11</v>
      </c>
      <c r="D328">
        <f t="shared" si="22"/>
        <v>4</v>
      </c>
    </row>
    <row r="329" spans="1:4" x14ac:dyDescent="0.45">
      <c r="A329" s="1">
        <f t="shared" si="23"/>
        <v>46350</v>
      </c>
      <c r="B329">
        <f t="shared" si="20"/>
        <v>2026</v>
      </c>
      <c r="C329">
        <f t="shared" si="21"/>
        <v>11</v>
      </c>
      <c r="D329">
        <f t="shared" si="22"/>
        <v>4</v>
      </c>
    </row>
    <row r="330" spans="1:4" x14ac:dyDescent="0.45">
      <c r="A330" s="1">
        <f t="shared" si="23"/>
        <v>46351</v>
      </c>
      <c r="B330">
        <f t="shared" si="20"/>
        <v>2026</v>
      </c>
      <c r="C330">
        <f t="shared" si="21"/>
        <v>11</v>
      </c>
      <c r="D330">
        <f t="shared" si="22"/>
        <v>4</v>
      </c>
    </row>
    <row r="331" spans="1:4" x14ac:dyDescent="0.45">
      <c r="A331" s="1">
        <f t="shared" si="23"/>
        <v>46352</v>
      </c>
      <c r="B331">
        <f t="shared" si="20"/>
        <v>2026</v>
      </c>
      <c r="C331">
        <f t="shared" si="21"/>
        <v>11</v>
      </c>
      <c r="D331">
        <f t="shared" si="22"/>
        <v>4</v>
      </c>
    </row>
    <row r="332" spans="1:4" x14ac:dyDescent="0.45">
      <c r="A332" s="1">
        <f t="shared" si="23"/>
        <v>46353</v>
      </c>
      <c r="B332">
        <f t="shared" si="20"/>
        <v>2026</v>
      </c>
      <c r="C332">
        <f t="shared" si="21"/>
        <v>11</v>
      </c>
      <c r="D332">
        <f t="shared" si="22"/>
        <v>4</v>
      </c>
    </row>
    <row r="333" spans="1:4" x14ac:dyDescent="0.45">
      <c r="A333" s="1">
        <f t="shared" si="23"/>
        <v>46354</v>
      </c>
      <c r="B333">
        <f t="shared" si="20"/>
        <v>2026</v>
      </c>
      <c r="C333">
        <f t="shared" si="21"/>
        <v>11</v>
      </c>
      <c r="D333">
        <f t="shared" si="22"/>
        <v>4</v>
      </c>
    </row>
    <row r="334" spans="1:4" x14ac:dyDescent="0.45">
      <c r="A334" s="1">
        <f t="shared" si="23"/>
        <v>46355</v>
      </c>
      <c r="B334">
        <f t="shared" si="20"/>
        <v>2026</v>
      </c>
      <c r="C334">
        <f t="shared" si="21"/>
        <v>11</v>
      </c>
      <c r="D334">
        <f t="shared" si="22"/>
        <v>4</v>
      </c>
    </row>
    <row r="335" spans="1:4" x14ac:dyDescent="0.45">
      <c r="A335" s="1">
        <f t="shared" si="23"/>
        <v>46356</v>
      </c>
      <c r="B335">
        <f t="shared" si="20"/>
        <v>2026</v>
      </c>
      <c r="C335">
        <f t="shared" si="21"/>
        <v>11</v>
      </c>
      <c r="D335">
        <f t="shared" si="22"/>
        <v>4</v>
      </c>
    </row>
    <row r="336" spans="1:4" x14ac:dyDescent="0.45">
      <c r="A336" s="1">
        <f t="shared" si="23"/>
        <v>46357</v>
      </c>
      <c r="B336">
        <f t="shared" si="20"/>
        <v>2026</v>
      </c>
      <c r="C336">
        <f t="shared" si="21"/>
        <v>12</v>
      </c>
      <c r="D336">
        <f t="shared" si="22"/>
        <v>4</v>
      </c>
    </row>
    <row r="337" spans="1:4" x14ac:dyDescent="0.45">
      <c r="A337" s="1">
        <f t="shared" si="23"/>
        <v>46358</v>
      </c>
      <c r="B337">
        <f t="shared" si="20"/>
        <v>2026</v>
      </c>
      <c r="C337">
        <f t="shared" si="21"/>
        <v>12</v>
      </c>
      <c r="D337">
        <f t="shared" si="22"/>
        <v>4</v>
      </c>
    </row>
    <row r="338" spans="1:4" x14ac:dyDescent="0.45">
      <c r="A338" s="1">
        <f t="shared" si="23"/>
        <v>46359</v>
      </c>
      <c r="B338">
        <f t="shared" si="20"/>
        <v>2026</v>
      </c>
      <c r="C338">
        <f t="shared" si="21"/>
        <v>12</v>
      </c>
      <c r="D338">
        <f t="shared" si="22"/>
        <v>4</v>
      </c>
    </row>
    <row r="339" spans="1:4" x14ac:dyDescent="0.45">
      <c r="A339" s="1">
        <f t="shared" si="23"/>
        <v>46360</v>
      </c>
      <c r="B339">
        <f t="shared" si="20"/>
        <v>2026</v>
      </c>
      <c r="C339">
        <f t="shared" si="21"/>
        <v>12</v>
      </c>
      <c r="D339">
        <f t="shared" si="22"/>
        <v>4</v>
      </c>
    </row>
    <row r="340" spans="1:4" x14ac:dyDescent="0.45">
      <c r="A340" s="1">
        <f t="shared" si="23"/>
        <v>46361</v>
      </c>
      <c r="B340">
        <f t="shared" si="20"/>
        <v>2026</v>
      </c>
      <c r="C340">
        <f t="shared" si="21"/>
        <v>12</v>
      </c>
      <c r="D340">
        <f t="shared" si="22"/>
        <v>4</v>
      </c>
    </row>
    <row r="341" spans="1:4" x14ac:dyDescent="0.45">
      <c r="A341" s="1">
        <f t="shared" si="23"/>
        <v>46362</v>
      </c>
      <c r="B341">
        <f t="shared" si="20"/>
        <v>2026</v>
      </c>
      <c r="C341">
        <f t="shared" si="21"/>
        <v>12</v>
      </c>
      <c r="D341">
        <f t="shared" si="22"/>
        <v>4</v>
      </c>
    </row>
    <row r="342" spans="1:4" x14ac:dyDescent="0.45">
      <c r="A342" s="1">
        <f t="shared" si="23"/>
        <v>46363</v>
      </c>
      <c r="B342">
        <f t="shared" si="20"/>
        <v>2026</v>
      </c>
      <c r="C342">
        <f t="shared" si="21"/>
        <v>12</v>
      </c>
      <c r="D342">
        <f t="shared" si="22"/>
        <v>4</v>
      </c>
    </row>
    <row r="343" spans="1:4" x14ac:dyDescent="0.45">
      <c r="A343" s="1">
        <f t="shared" si="23"/>
        <v>46364</v>
      </c>
      <c r="B343">
        <f t="shared" si="20"/>
        <v>2026</v>
      </c>
      <c r="C343">
        <f t="shared" si="21"/>
        <v>12</v>
      </c>
      <c r="D343">
        <f t="shared" si="22"/>
        <v>4</v>
      </c>
    </row>
    <row r="344" spans="1:4" x14ac:dyDescent="0.45">
      <c r="A344" s="1">
        <f t="shared" si="23"/>
        <v>46365</v>
      </c>
      <c r="B344">
        <f t="shared" si="20"/>
        <v>2026</v>
      </c>
      <c r="C344">
        <f t="shared" si="21"/>
        <v>12</v>
      </c>
      <c r="D344">
        <f t="shared" si="22"/>
        <v>4</v>
      </c>
    </row>
    <row r="345" spans="1:4" x14ac:dyDescent="0.45">
      <c r="A345" s="1">
        <f t="shared" si="23"/>
        <v>46366</v>
      </c>
      <c r="B345">
        <f t="shared" si="20"/>
        <v>2026</v>
      </c>
      <c r="C345">
        <f t="shared" si="21"/>
        <v>12</v>
      </c>
      <c r="D345">
        <f t="shared" si="22"/>
        <v>4</v>
      </c>
    </row>
    <row r="346" spans="1:4" x14ac:dyDescent="0.45">
      <c r="A346" s="1">
        <f t="shared" si="23"/>
        <v>46367</v>
      </c>
      <c r="B346">
        <f t="shared" si="20"/>
        <v>2026</v>
      </c>
      <c r="C346">
        <f t="shared" si="21"/>
        <v>12</v>
      </c>
      <c r="D346">
        <f t="shared" si="22"/>
        <v>4</v>
      </c>
    </row>
    <row r="347" spans="1:4" x14ac:dyDescent="0.45">
      <c r="A347" s="1">
        <f t="shared" si="23"/>
        <v>46368</v>
      </c>
      <c r="B347">
        <f t="shared" si="20"/>
        <v>2026</v>
      </c>
      <c r="C347">
        <f t="shared" si="21"/>
        <v>12</v>
      </c>
      <c r="D347">
        <f t="shared" si="22"/>
        <v>4</v>
      </c>
    </row>
    <row r="348" spans="1:4" x14ac:dyDescent="0.45">
      <c r="A348" s="1">
        <f t="shared" si="23"/>
        <v>46369</v>
      </c>
      <c r="B348">
        <f t="shared" si="20"/>
        <v>2026</v>
      </c>
      <c r="C348">
        <f t="shared" si="21"/>
        <v>12</v>
      </c>
      <c r="D348">
        <f t="shared" si="22"/>
        <v>4</v>
      </c>
    </row>
    <row r="349" spans="1:4" x14ac:dyDescent="0.45">
      <c r="A349" s="1">
        <f t="shared" si="23"/>
        <v>46370</v>
      </c>
      <c r="B349">
        <f t="shared" si="20"/>
        <v>2026</v>
      </c>
      <c r="C349">
        <f t="shared" si="21"/>
        <v>12</v>
      </c>
      <c r="D349">
        <f t="shared" si="22"/>
        <v>4</v>
      </c>
    </row>
    <row r="350" spans="1:4" x14ac:dyDescent="0.45">
      <c r="A350" s="1">
        <f t="shared" si="23"/>
        <v>46371</v>
      </c>
      <c r="B350">
        <f t="shared" si="20"/>
        <v>2026</v>
      </c>
      <c r="C350">
        <f t="shared" si="21"/>
        <v>12</v>
      </c>
      <c r="D350">
        <f t="shared" si="22"/>
        <v>4</v>
      </c>
    </row>
    <row r="351" spans="1:4" x14ac:dyDescent="0.45">
      <c r="A351" s="1">
        <f t="shared" si="23"/>
        <v>46372</v>
      </c>
      <c r="B351">
        <f t="shared" si="20"/>
        <v>2026</v>
      </c>
      <c r="C351">
        <f t="shared" si="21"/>
        <v>12</v>
      </c>
      <c r="D351">
        <f t="shared" si="22"/>
        <v>4</v>
      </c>
    </row>
    <row r="352" spans="1:4" x14ac:dyDescent="0.45">
      <c r="A352" s="1">
        <f t="shared" si="23"/>
        <v>46373</v>
      </c>
      <c r="B352">
        <f t="shared" si="20"/>
        <v>2026</v>
      </c>
      <c r="C352">
        <f t="shared" si="21"/>
        <v>12</v>
      </c>
      <c r="D352">
        <f t="shared" si="22"/>
        <v>4</v>
      </c>
    </row>
    <row r="353" spans="1:4" x14ac:dyDescent="0.45">
      <c r="A353" s="1">
        <f t="shared" si="23"/>
        <v>46374</v>
      </c>
      <c r="B353">
        <f t="shared" si="20"/>
        <v>2026</v>
      </c>
      <c r="C353">
        <f t="shared" si="21"/>
        <v>12</v>
      </c>
      <c r="D353">
        <f t="shared" si="22"/>
        <v>4</v>
      </c>
    </row>
    <row r="354" spans="1:4" x14ac:dyDescent="0.45">
      <c r="A354" s="1">
        <f t="shared" si="23"/>
        <v>46375</v>
      </c>
      <c r="B354">
        <f t="shared" si="20"/>
        <v>2026</v>
      </c>
      <c r="C354">
        <f t="shared" si="21"/>
        <v>12</v>
      </c>
      <c r="D354">
        <f t="shared" si="22"/>
        <v>4</v>
      </c>
    </row>
    <row r="355" spans="1:4" x14ac:dyDescent="0.45">
      <c r="A355" s="1">
        <f t="shared" si="23"/>
        <v>46376</v>
      </c>
      <c r="B355">
        <f t="shared" si="20"/>
        <v>2026</v>
      </c>
      <c r="C355">
        <f t="shared" si="21"/>
        <v>12</v>
      </c>
      <c r="D355">
        <f t="shared" si="22"/>
        <v>4</v>
      </c>
    </row>
    <row r="356" spans="1:4" x14ac:dyDescent="0.45">
      <c r="A356" s="1">
        <f t="shared" si="23"/>
        <v>46377</v>
      </c>
      <c r="B356">
        <f t="shared" si="20"/>
        <v>2026</v>
      </c>
      <c r="C356">
        <f t="shared" si="21"/>
        <v>12</v>
      </c>
      <c r="D356">
        <f t="shared" si="22"/>
        <v>4</v>
      </c>
    </row>
    <row r="357" spans="1:4" x14ac:dyDescent="0.45">
      <c r="A357" s="1">
        <f t="shared" si="23"/>
        <v>46378</v>
      </c>
      <c r="B357">
        <f t="shared" si="20"/>
        <v>2026</v>
      </c>
      <c r="C357">
        <f t="shared" si="21"/>
        <v>12</v>
      </c>
      <c r="D357">
        <f t="shared" si="22"/>
        <v>4</v>
      </c>
    </row>
    <row r="358" spans="1:4" x14ac:dyDescent="0.45">
      <c r="A358" s="1">
        <f t="shared" si="23"/>
        <v>46379</v>
      </c>
      <c r="B358">
        <f t="shared" si="20"/>
        <v>2026</v>
      </c>
      <c r="C358">
        <f t="shared" si="21"/>
        <v>12</v>
      </c>
      <c r="D358">
        <f t="shared" si="22"/>
        <v>4</v>
      </c>
    </row>
    <row r="359" spans="1:4" x14ac:dyDescent="0.45">
      <c r="A359" s="1">
        <f t="shared" si="23"/>
        <v>46380</v>
      </c>
      <c r="B359">
        <f t="shared" si="20"/>
        <v>2026</v>
      </c>
      <c r="C359">
        <f t="shared" si="21"/>
        <v>12</v>
      </c>
      <c r="D359">
        <f t="shared" si="22"/>
        <v>4</v>
      </c>
    </row>
    <row r="360" spans="1:4" x14ac:dyDescent="0.45">
      <c r="A360" s="1">
        <f t="shared" si="23"/>
        <v>46381</v>
      </c>
      <c r="B360">
        <f t="shared" si="20"/>
        <v>2026</v>
      </c>
      <c r="C360">
        <f t="shared" si="21"/>
        <v>12</v>
      </c>
      <c r="D360">
        <f t="shared" si="22"/>
        <v>4</v>
      </c>
    </row>
    <row r="361" spans="1:4" x14ac:dyDescent="0.45">
      <c r="A361" s="1">
        <f t="shared" si="23"/>
        <v>46382</v>
      </c>
      <c r="B361">
        <f t="shared" si="20"/>
        <v>2026</v>
      </c>
      <c r="C361">
        <f t="shared" si="21"/>
        <v>12</v>
      </c>
      <c r="D361">
        <f t="shared" si="22"/>
        <v>4</v>
      </c>
    </row>
    <row r="362" spans="1:4" x14ac:dyDescent="0.45">
      <c r="A362" s="1">
        <f t="shared" si="23"/>
        <v>46383</v>
      </c>
      <c r="B362">
        <f t="shared" si="20"/>
        <v>2026</v>
      </c>
      <c r="C362">
        <f t="shared" si="21"/>
        <v>12</v>
      </c>
      <c r="D362">
        <f t="shared" si="22"/>
        <v>4</v>
      </c>
    </row>
    <row r="363" spans="1:4" x14ac:dyDescent="0.45">
      <c r="A363" s="1">
        <f t="shared" si="23"/>
        <v>46384</v>
      </c>
      <c r="B363">
        <f t="shared" si="20"/>
        <v>2026</v>
      </c>
      <c r="C363">
        <f t="shared" si="21"/>
        <v>12</v>
      </c>
      <c r="D363">
        <f t="shared" si="22"/>
        <v>4</v>
      </c>
    </row>
    <row r="364" spans="1:4" x14ac:dyDescent="0.45">
      <c r="A364" s="1">
        <f t="shared" si="23"/>
        <v>46385</v>
      </c>
      <c r="B364">
        <f t="shared" si="20"/>
        <v>2026</v>
      </c>
      <c r="C364">
        <f t="shared" si="21"/>
        <v>12</v>
      </c>
      <c r="D364">
        <f t="shared" si="22"/>
        <v>4</v>
      </c>
    </row>
    <row r="365" spans="1:4" x14ac:dyDescent="0.45">
      <c r="A365" s="1">
        <f t="shared" si="23"/>
        <v>46386</v>
      </c>
      <c r="B365">
        <f t="shared" si="20"/>
        <v>2026</v>
      </c>
      <c r="C365">
        <f t="shared" si="21"/>
        <v>12</v>
      </c>
      <c r="D365">
        <f t="shared" si="22"/>
        <v>4</v>
      </c>
    </row>
    <row r="366" spans="1:4" x14ac:dyDescent="0.45">
      <c r="A366" s="1">
        <f t="shared" si="23"/>
        <v>46387</v>
      </c>
      <c r="B366">
        <f t="shared" si="20"/>
        <v>2026</v>
      </c>
      <c r="C366">
        <f t="shared" si="21"/>
        <v>12</v>
      </c>
      <c r="D366">
        <f t="shared" si="22"/>
        <v>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2296-895A-465B-AB98-EF4B24A9E67D}">
  <dimension ref="A1:H43"/>
  <sheetViews>
    <sheetView topLeftCell="A4" workbookViewId="0">
      <selection activeCell="A14" sqref="A14:F21"/>
    </sheetView>
  </sheetViews>
  <sheetFormatPr baseColWidth="10" defaultRowHeight="14.25" x14ac:dyDescent="0.45"/>
  <cols>
    <col min="1" max="1" width="11" bestFit="1" customWidth="1"/>
    <col min="2" max="2" width="9.73046875" bestFit="1" customWidth="1"/>
    <col min="3" max="3" width="6.73046875" bestFit="1" customWidth="1"/>
    <col min="4" max="5" width="11.06640625" bestFit="1" customWidth="1"/>
    <col min="6" max="6" width="8.06640625" bestFit="1" customWidth="1"/>
    <col min="7" max="7" width="11" bestFit="1" customWidth="1"/>
  </cols>
  <sheetData>
    <row r="1" spans="1:8" ht="17.649999999999999" x14ac:dyDescent="0.5">
      <c r="A1" s="6" t="s">
        <v>104</v>
      </c>
      <c r="B1" s="6"/>
      <c r="C1" s="6"/>
      <c r="E1" s="12" t="s">
        <v>106</v>
      </c>
      <c r="F1" s="12"/>
      <c r="G1" s="12"/>
    </row>
    <row r="3" spans="1:8" x14ac:dyDescent="0.45">
      <c r="A3" s="3" t="s">
        <v>71</v>
      </c>
      <c r="B3" t="s">
        <v>105</v>
      </c>
      <c r="E3" s="3" t="s">
        <v>107</v>
      </c>
      <c r="F3" t="s">
        <v>105</v>
      </c>
    </row>
    <row r="4" spans="1:8" x14ac:dyDescent="0.45">
      <c r="A4" s="4" t="s">
        <v>76</v>
      </c>
      <c r="B4" s="13">
        <v>475000</v>
      </c>
      <c r="E4" s="4" t="s">
        <v>91</v>
      </c>
      <c r="F4" s="13">
        <v>7515000</v>
      </c>
    </row>
    <row r="5" spans="1:8" x14ac:dyDescent="0.45">
      <c r="A5" s="4" t="s">
        <v>80</v>
      </c>
      <c r="B5" s="13">
        <v>330000</v>
      </c>
      <c r="E5" s="4" t="s">
        <v>98</v>
      </c>
      <c r="F5" s="13">
        <v>2460000</v>
      </c>
    </row>
    <row r="6" spans="1:8" x14ac:dyDescent="0.45">
      <c r="A6" s="4" t="s">
        <v>74</v>
      </c>
      <c r="B6" s="13">
        <v>11940000</v>
      </c>
      <c r="E6" s="4" t="s">
        <v>95</v>
      </c>
      <c r="F6" s="13">
        <v>1290000</v>
      </c>
    </row>
    <row r="7" spans="1:8" x14ac:dyDescent="0.45">
      <c r="A7" s="4" t="s">
        <v>87</v>
      </c>
      <c r="B7" s="13">
        <v>560000</v>
      </c>
      <c r="E7" s="4" t="s">
        <v>93</v>
      </c>
      <c r="F7" s="13">
        <v>2890000</v>
      </c>
    </row>
    <row r="8" spans="1:8" x14ac:dyDescent="0.45">
      <c r="A8" s="4" t="s">
        <v>83</v>
      </c>
      <c r="B8" s="13">
        <v>850000</v>
      </c>
      <c r="E8" s="4" t="s">
        <v>103</v>
      </c>
      <c r="F8" s="13">
        <v>14155000</v>
      </c>
    </row>
    <row r="9" spans="1:8" x14ac:dyDescent="0.45">
      <c r="A9" s="4" t="s">
        <v>103</v>
      </c>
      <c r="B9" s="13">
        <v>14155000</v>
      </c>
    </row>
    <row r="12" spans="1:8" ht="17.649999999999999" x14ac:dyDescent="0.5">
      <c r="A12" s="6" t="s">
        <v>108</v>
      </c>
      <c r="B12" s="6"/>
      <c r="C12" s="6"/>
      <c r="D12" s="6"/>
      <c r="E12" s="6"/>
      <c r="F12" s="6"/>
      <c r="G12" s="6"/>
      <c r="H12" s="7"/>
    </row>
    <row r="14" spans="1:8" x14ac:dyDescent="0.45">
      <c r="A14" s="3" t="s">
        <v>105</v>
      </c>
      <c r="B14" s="3" t="s">
        <v>107</v>
      </c>
    </row>
    <row r="15" spans="1:8" x14ac:dyDescent="0.45">
      <c r="A15" s="3" t="s">
        <v>109</v>
      </c>
      <c r="B15" t="s">
        <v>91</v>
      </c>
      <c r="C15" t="s">
        <v>98</v>
      </c>
      <c r="D15" t="s">
        <v>95</v>
      </c>
      <c r="E15" t="s">
        <v>93</v>
      </c>
      <c r="F15" t="s">
        <v>103</v>
      </c>
    </row>
    <row r="16" spans="1:8" x14ac:dyDescent="0.45">
      <c r="A16" s="4" t="s">
        <v>76</v>
      </c>
      <c r="B16" s="13">
        <v>175000</v>
      </c>
      <c r="C16" s="13">
        <v>45000</v>
      </c>
      <c r="D16" s="13">
        <v>175000</v>
      </c>
      <c r="E16" s="13">
        <v>80000</v>
      </c>
      <c r="F16" s="13">
        <v>475000</v>
      </c>
    </row>
    <row r="17" spans="1:6" x14ac:dyDescent="0.45">
      <c r="A17" s="4" t="s">
        <v>80</v>
      </c>
      <c r="B17" s="13">
        <v>270000</v>
      </c>
      <c r="C17" s="13"/>
      <c r="D17" s="13">
        <v>60000</v>
      </c>
      <c r="E17" s="13"/>
      <c r="F17" s="13">
        <v>330000</v>
      </c>
    </row>
    <row r="18" spans="1:6" x14ac:dyDescent="0.45">
      <c r="A18" s="4" t="s">
        <v>74</v>
      </c>
      <c r="B18" s="13">
        <v>6705000</v>
      </c>
      <c r="C18" s="13">
        <v>1820000</v>
      </c>
      <c r="D18" s="13">
        <v>845000</v>
      </c>
      <c r="E18" s="13">
        <v>2570000</v>
      </c>
      <c r="F18" s="13">
        <v>11940000</v>
      </c>
    </row>
    <row r="19" spans="1:6" x14ac:dyDescent="0.45">
      <c r="A19" s="4" t="s">
        <v>87</v>
      </c>
      <c r="B19" s="13">
        <v>280000</v>
      </c>
      <c r="C19" s="13"/>
      <c r="D19" s="13">
        <v>210000</v>
      </c>
      <c r="E19" s="13">
        <v>70000</v>
      </c>
      <c r="F19" s="13">
        <v>560000</v>
      </c>
    </row>
    <row r="20" spans="1:6" x14ac:dyDescent="0.45">
      <c r="A20" s="4" t="s">
        <v>83</v>
      </c>
      <c r="B20" s="13">
        <v>85000</v>
      </c>
      <c r="C20" s="13">
        <v>595000</v>
      </c>
      <c r="D20" s="13"/>
      <c r="E20" s="13">
        <v>170000</v>
      </c>
      <c r="F20" s="13">
        <v>850000</v>
      </c>
    </row>
    <row r="21" spans="1:6" x14ac:dyDescent="0.45">
      <c r="A21" s="4" t="s">
        <v>103</v>
      </c>
      <c r="B21" s="13">
        <v>7515000</v>
      </c>
      <c r="C21" s="13">
        <v>2460000</v>
      </c>
      <c r="D21" s="13">
        <v>1290000</v>
      </c>
      <c r="E21" s="13">
        <v>2890000</v>
      </c>
      <c r="F21" s="13">
        <v>14155000</v>
      </c>
    </row>
    <row r="24" spans="1:6" ht="17.649999999999999" x14ac:dyDescent="0.45">
      <c r="A24" s="8" t="s">
        <v>110</v>
      </c>
      <c r="B24" s="8"/>
      <c r="C24" s="8"/>
      <c r="D24" s="8"/>
      <c r="E24" s="9"/>
      <c r="F24" s="9"/>
    </row>
    <row r="26" spans="1:6" x14ac:dyDescent="0.45">
      <c r="A26" s="3" t="s">
        <v>102</v>
      </c>
      <c r="B26" t="s">
        <v>105</v>
      </c>
    </row>
    <row r="27" spans="1:6" x14ac:dyDescent="0.45">
      <c r="A27" s="4">
        <v>1</v>
      </c>
      <c r="B27" s="13">
        <v>8450000</v>
      </c>
    </row>
    <row r="28" spans="1:6" x14ac:dyDescent="0.45">
      <c r="A28" s="4">
        <v>2</v>
      </c>
      <c r="B28" s="13">
        <v>5705000</v>
      </c>
    </row>
    <row r="29" spans="1:6" x14ac:dyDescent="0.45">
      <c r="A29" s="4" t="s">
        <v>103</v>
      </c>
      <c r="B29" s="13">
        <v>14155000</v>
      </c>
    </row>
    <row r="31" spans="1:6" ht="17.649999999999999" x14ac:dyDescent="0.5">
      <c r="A31" s="12" t="s">
        <v>111</v>
      </c>
      <c r="B31" s="12"/>
      <c r="C31" s="12"/>
      <c r="D31" s="12"/>
    </row>
    <row r="33" spans="1:7" x14ac:dyDescent="0.45">
      <c r="A33" s="3" t="s">
        <v>102</v>
      </c>
      <c r="B33" t="s">
        <v>105</v>
      </c>
    </row>
    <row r="34" spans="1:7" x14ac:dyDescent="0.45">
      <c r="A34" s="4">
        <v>1</v>
      </c>
      <c r="B34" s="13">
        <v>14155000</v>
      </c>
    </row>
    <row r="35" spans="1:7" x14ac:dyDescent="0.45">
      <c r="A35" s="4" t="s">
        <v>103</v>
      </c>
      <c r="B35" s="13">
        <v>14155000</v>
      </c>
    </row>
    <row r="37" spans="1:7" ht="17.649999999999999" x14ac:dyDescent="0.5">
      <c r="A37" s="12" t="s">
        <v>112</v>
      </c>
      <c r="B37" s="12"/>
      <c r="C37" s="12"/>
      <c r="D37" s="12"/>
      <c r="E37" s="12"/>
    </row>
    <row r="39" spans="1:7" x14ac:dyDescent="0.45">
      <c r="A39" s="3" t="s">
        <v>105</v>
      </c>
      <c r="B39" s="3" t="s">
        <v>71</v>
      </c>
    </row>
    <row r="40" spans="1:7" x14ac:dyDescent="0.45">
      <c r="A40" s="3" t="s">
        <v>100</v>
      </c>
      <c r="B40" t="s">
        <v>76</v>
      </c>
      <c r="C40" t="s">
        <v>80</v>
      </c>
      <c r="D40" t="s">
        <v>74</v>
      </c>
      <c r="E40" t="s">
        <v>87</v>
      </c>
      <c r="F40" t="s">
        <v>83</v>
      </c>
      <c r="G40" t="s">
        <v>103</v>
      </c>
    </row>
    <row r="41" spans="1:7" x14ac:dyDescent="0.45">
      <c r="A41" s="4">
        <v>1</v>
      </c>
      <c r="B41" s="13">
        <v>250000</v>
      </c>
      <c r="C41" s="13">
        <v>240000</v>
      </c>
      <c r="D41" s="13">
        <v>7200000</v>
      </c>
      <c r="E41" s="13">
        <v>420000</v>
      </c>
      <c r="F41" s="13">
        <v>340000</v>
      </c>
      <c r="G41" s="13">
        <v>8450000</v>
      </c>
    </row>
    <row r="42" spans="1:7" x14ac:dyDescent="0.45">
      <c r="A42" s="4">
        <v>2</v>
      </c>
      <c r="B42" s="13">
        <v>225000</v>
      </c>
      <c r="C42" s="13">
        <v>90000</v>
      </c>
      <c r="D42" s="13">
        <v>4740000</v>
      </c>
      <c r="E42" s="13">
        <v>140000</v>
      </c>
      <c r="F42" s="13">
        <v>510000</v>
      </c>
      <c r="G42" s="13">
        <v>5705000</v>
      </c>
    </row>
    <row r="43" spans="1:7" x14ac:dyDescent="0.45">
      <c r="A43" s="4" t="s">
        <v>103</v>
      </c>
      <c r="B43" s="13">
        <v>475000</v>
      </c>
      <c r="C43" s="13">
        <v>330000</v>
      </c>
      <c r="D43" s="13">
        <v>11940000</v>
      </c>
      <c r="E43" s="13">
        <v>560000</v>
      </c>
      <c r="F43" s="13">
        <v>850000</v>
      </c>
      <c r="G43" s="13">
        <v>14155000</v>
      </c>
    </row>
  </sheetData>
  <mergeCells count="3">
    <mergeCell ref="A37:E37"/>
    <mergeCell ref="E1:G1"/>
    <mergeCell ref="A31:D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709A-0C03-402D-B437-5FAE384EAEFE}">
  <dimension ref="A1:I5"/>
  <sheetViews>
    <sheetView workbookViewId="0">
      <selection activeCell="J13" sqref="J13"/>
    </sheetView>
  </sheetViews>
  <sheetFormatPr baseColWidth="10" defaultRowHeight="14.25" x14ac:dyDescent="0.45"/>
  <cols>
    <col min="1" max="1" width="13.6640625" bestFit="1" customWidth="1"/>
    <col min="4" max="4" width="21.53125" bestFit="1" customWidth="1"/>
    <col min="7" max="7" width="11.9296875" bestFit="1" customWidth="1"/>
    <col min="8" max="8" width="9.73046875" bestFit="1" customWidth="1"/>
  </cols>
  <sheetData>
    <row r="1" spans="1:9" ht="17.649999999999999" x14ac:dyDescent="0.5">
      <c r="A1" s="11" t="s">
        <v>113</v>
      </c>
      <c r="B1" s="11"/>
      <c r="C1" s="11"/>
      <c r="D1" s="11"/>
      <c r="E1" s="11"/>
      <c r="F1" s="11"/>
      <c r="G1" s="11"/>
      <c r="H1" s="11"/>
      <c r="I1" s="11"/>
    </row>
    <row r="3" spans="1:9" ht="17.649999999999999" x14ac:dyDescent="0.5">
      <c r="A3" s="5" t="s">
        <v>105</v>
      </c>
      <c r="B3" s="10"/>
      <c r="D3" s="5" t="s">
        <v>114</v>
      </c>
      <c r="E3" s="10"/>
      <c r="G3" s="3" t="s">
        <v>115</v>
      </c>
      <c r="H3" t="s">
        <v>105</v>
      </c>
    </row>
    <row r="4" spans="1:9" ht="17.649999999999999" x14ac:dyDescent="0.5">
      <c r="A4" s="15">
        <v>14155000</v>
      </c>
      <c r="D4" s="15">
        <v>134</v>
      </c>
      <c r="G4" s="4" t="s">
        <v>73</v>
      </c>
      <c r="H4" s="13">
        <v>5850000</v>
      </c>
    </row>
    <row r="5" spans="1:9" x14ac:dyDescent="0.45">
      <c r="G5" s="4" t="s">
        <v>103</v>
      </c>
      <c r="H5" s="13">
        <v>5850000</v>
      </c>
    </row>
  </sheetData>
  <mergeCells count="1">
    <mergeCell ref="A1:I1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Props1.xml><?xml version="1.0" encoding="utf-8"?>
<ds:datastoreItem xmlns:ds="http://schemas.openxmlformats.org/officeDocument/2006/customXml" ds:itemID="{F1A474EB-A91B-4BF3-918F-A0CC904E0534}">
  <ds:schemaRefs/>
</ds:datastoreItem>
</file>

<file path=customXml/itemProps2.xml><?xml version="1.0" encoding="utf-8"?>
<ds:datastoreItem xmlns:ds="http://schemas.openxmlformats.org/officeDocument/2006/customXml" ds:itemID="{EC5688F7-2506-4DF9-A95F-61C8F96B15EF}">
  <ds:schemaRefs/>
</ds:datastoreItem>
</file>

<file path=customXml/itemProps3.xml><?xml version="1.0" encoding="utf-8"?>
<ds:datastoreItem xmlns:ds="http://schemas.openxmlformats.org/officeDocument/2006/customXml" ds:itemID="{5AE5AE1D-F9C6-4C2E-9293-D894D5932CD1}">
  <ds:schemaRefs/>
</ds:datastoreItem>
</file>

<file path=customXml/itemProps4.xml><?xml version="1.0" encoding="utf-8"?>
<ds:datastoreItem xmlns:ds="http://schemas.openxmlformats.org/officeDocument/2006/customXml" ds:itemID="{B163230D-F045-4FC7-B750-6DCB85B0B59C}">
  <ds:schemaRefs/>
</ds:datastoreItem>
</file>

<file path=customXml/itemProps5.xml><?xml version="1.0" encoding="utf-8"?>
<ds:datastoreItem xmlns:ds="http://schemas.openxmlformats.org/officeDocument/2006/customXml" ds:itemID="{F2C4E8F1-3F55-4D77-B3FD-DDA841DC6024}">
  <ds:schemaRefs/>
</ds:datastoreItem>
</file>

<file path=customXml/itemProps6.xml><?xml version="1.0" encoding="utf-8"?>
<ds:datastoreItem xmlns:ds="http://schemas.openxmlformats.org/officeDocument/2006/customXml" ds:itemID="{18091D26-A5DA-40BC-B664-640B2BDAFC1C}">
  <ds:schemaRefs/>
</ds:datastoreItem>
</file>

<file path=customXml/itemProps7.xml><?xml version="1.0" encoding="utf-8"?>
<ds:datastoreItem xmlns:ds="http://schemas.openxmlformats.org/officeDocument/2006/customXml" ds:itemID="{57E39E3D-DA5D-4BC9-9C2E-4F8CD17B42A7}">
  <ds:schemaRefs/>
</ds:datastoreItem>
</file>

<file path=customXml/itemProps8.xml><?xml version="1.0" encoding="utf-8"?>
<ds:datastoreItem xmlns:ds="http://schemas.openxmlformats.org/officeDocument/2006/customXml" ds:itemID="{40BA1063-E87E-4F36-9EAB-84BE4DEFD742}">
  <ds:schemaRefs/>
</ds:datastoreItem>
</file>

<file path=customXml/itemProps9.xml><?xml version="1.0" encoding="utf-8"?>
<ds:datastoreItem xmlns:ds="http://schemas.openxmlformats.org/officeDocument/2006/customXml" ds:itemID="{BA38EFA6-BAB6-4B65-9C65-1BE24A6FB117}">
  <ds:schemaRefs/>
</ds:datastoreItem>
</file>

<file path=customXml/itemProps10.xml><?xml version="1.0" encoding="utf-8"?>
<ds:datastoreItem xmlns:ds="http://schemas.openxmlformats.org/officeDocument/2006/customXml" ds:itemID="{E6112E76-62B5-46E2-AA3A-5B2C92FDF169}">
  <ds:schemaRefs/>
</ds:datastoreItem>
</file>

<file path=customXml/itemProps11.xml><?xml version="1.0" encoding="utf-8"?>
<ds:datastoreItem xmlns:ds="http://schemas.openxmlformats.org/officeDocument/2006/customXml" ds:itemID="{CB7DBF35-A473-400E-9039-774F701FE3C8}">
  <ds:schemaRefs/>
</ds:datastoreItem>
</file>

<file path=customXml/itemProps12.xml><?xml version="1.0" encoding="utf-8"?>
<ds:datastoreItem xmlns:ds="http://schemas.openxmlformats.org/officeDocument/2006/customXml" ds:itemID="{15924AF5-BCBD-4C96-B96F-9F7D226EFFD5}">
  <ds:schemaRefs/>
</ds:datastoreItem>
</file>

<file path=customXml/itemProps13.xml><?xml version="1.0" encoding="utf-8"?>
<ds:datastoreItem xmlns:ds="http://schemas.openxmlformats.org/officeDocument/2006/customXml" ds:itemID="{5D5150DA-9D48-4C50-959F-209730C243B8}">
  <ds:schemaRefs/>
</ds:datastoreItem>
</file>

<file path=customXml/itemProps14.xml><?xml version="1.0" encoding="utf-8"?>
<ds:datastoreItem xmlns:ds="http://schemas.openxmlformats.org/officeDocument/2006/customXml" ds:itemID="{BEB00E4A-E8DD-4C05-BCE6-F868F1FAF8AA}">
  <ds:schemaRefs/>
</ds:datastoreItem>
</file>

<file path=customXml/itemProps15.xml><?xml version="1.0" encoding="utf-8"?>
<ds:datastoreItem xmlns:ds="http://schemas.openxmlformats.org/officeDocument/2006/customXml" ds:itemID="{E4517C5A-7B6F-4EF2-9C7D-0D3C74C4B0AD}">
  <ds:schemaRefs/>
</ds:datastoreItem>
</file>

<file path=customXml/itemProps16.xml><?xml version="1.0" encoding="utf-8"?>
<ds:datastoreItem xmlns:ds="http://schemas.openxmlformats.org/officeDocument/2006/customXml" ds:itemID="{57E61773-4F86-4B59-8659-AE93DA109893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24F1FB6C-6122-495C-B298-CBD6519B668F}">
  <ds:schemaRefs/>
</ds:datastoreItem>
</file>

<file path=customXml/itemProps18.xml><?xml version="1.0" encoding="utf-8"?>
<ds:datastoreItem xmlns:ds="http://schemas.openxmlformats.org/officeDocument/2006/customXml" ds:itemID="{9C82FFFE-7640-41C6-A75D-9AF324A6F80C}">
  <ds:schemaRefs/>
</ds:datastoreItem>
</file>

<file path=customXml/itemProps19.xml><?xml version="1.0" encoding="utf-8"?>
<ds:datastoreItem xmlns:ds="http://schemas.openxmlformats.org/officeDocument/2006/customXml" ds:itemID="{857E15D1-5A42-489A-B941-FCA488DFB349}">
  <ds:schemaRefs/>
</ds:datastoreItem>
</file>

<file path=customXml/itemProps20.xml><?xml version="1.0" encoding="utf-8"?>
<ds:datastoreItem xmlns:ds="http://schemas.openxmlformats.org/officeDocument/2006/customXml" ds:itemID="{45F9036E-6FD5-424A-90AB-2D4A6BB3B57A}">
  <ds:schemaRefs/>
</ds:datastoreItem>
</file>

<file path=customXml/itemProps21.xml><?xml version="1.0" encoding="utf-8"?>
<ds:datastoreItem xmlns:ds="http://schemas.openxmlformats.org/officeDocument/2006/customXml" ds:itemID="{F411FC8D-D738-4736-86E5-A64CB2E29A71}">
  <ds:schemaRefs/>
</ds:datastoreItem>
</file>

<file path=customXml/itemProps22.xml><?xml version="1.0" encoding="utf-8"?>
<ds:datastoreItem xmlns:ds="http://schemas.openxmlformats.org/officeDocument/2006/customXml" ds:itemID="{14861B68-C5FD-41E9-B2AC-A6D631C84E65}">
  <ds:schemaRefs/>
</ds:datastoreItem>
</file>

<file path=customXml/itemProps23.xml><?xml version="1.0" encoding="utf-8"?>
<ds:datastoreItem xmlns:ds="http://schemas.openxmlformats.org/officeDocument/2006/customXml" ds:itemID="{9F588E82-C633-4BDC-90ED-61E2B9CCF616}">
  <ds:schemaRefs/>
</ds:datastoreItem>
</file>

<file path=customXml/itemProps24.xml><?xml version="1.0" encoding="utf-8"?>
<ds:datastoreItem xmlns:ds="http://schemas.openxmlformats.org/officeDocument/2006/customXml" ds:itemID="{CBBCD78E-4A2A-494F-9F60-588E7B70DF06}">
  <ds:schemaRefs/>
</ds:datastoreItem>
</file>

<file path=customXml/itemProps25.xml><?xml version="1.0" encoding="utf-8"?>
<ds:datastoreItem xmlns:ds="http://schemas.openxmlformats.org/officeDocument/2006/customXml" ds:itemID="{F1E36532-195F-40A1-BEA1-1EEA531F7041}">
  <ds:schemaRefs/>
</ds:datastoreItem>
</file>

<file path=customXml/itemProps26.xml><?xml version="1.0" encoding="utf-8"?>
<ds:datastoreItem xmlns:ds="http://schemas.openxmlformats.org/officeDocument/2006/customXml" ds:itemID="{19DE70C5-67F3-4503-9ADC-AA2480951A29}">
  <ds:schemaRefs/>
</ds:datastoreItem>
</file>

<file path=customXml/itemProps27.xml><?xml version="1.0" encoding="utf-8"?>
<ds:datastoreItem xmlns:ds="http://schemas.openxmlformats.org/officeDocument/2006/customXml" ds:itemID="{4DEFCACF-B081-48F1-A374-0F82D1E8DDE9}">
  <ds:schemaRefs/>
</ds:datastoreItem>
</file>

<file path=customXml/itemProps28.xml><?xml version="1.0" encoding="utf-8"?>
<ds:datastoreItem xmlns:ds="http://schemas.openxmlformats.org/officeDocument/2006/customXml" ds:itemID="{BEDBA023-CE31-4E3F-A9DE-57974873C797}">
  <ds:schemaRefs/>
</ds:datastoreItem>
</file>

<file path=customXml/itemProps29.xml><?xml version="1.0" encoding="utf-8"?>
<ds:datastoreItem xmlns:ds="http://schemas.openxmlformats.org/officeDocument/2006/customXml" ds:itemID="{8A9F7F03-0CED-482F-BDFE-0CC51F1A7044}">
  <ds:schemaRefs/>
</ds:datastoreItem>
</file>

<file path=customXml/itemProps30.xml><?xml version="1.0" encoding="utf-8"?>
<ds:datastoreItem xmlns:ds="http://schemas.openxmlformats.org/officeDocument/2006/customXml" ds:itemID="{239CF54B-C374-4B1C-A346-EBD7101A547E}">
  <ds:schemaRefs/>
</ds:datastoreItem>
</file>

<file path=customXml/itemProps31.xml><?xml version="1.0" encoding="utf-8"?>
<ds:datastoreItem xmlns:ds="http://schemas.openxmlformats.org/officeDocument/2006/customXml" ds:itemID="{CBFF8040-50D9-4601-BBC5-86D9EB905E56}">
  <ds:schemaRefs/>
</ds:datastoreItem>
</file>

<file path=customXml/itemProps32.xml><?xml version="1.0" encoding="utf-8"?>
<ds:datastoreItem xmlns:ds="http://schemas.openxmlformats.org/officeDocument/2006/customXml" ds:itemID="{EB544CE1-A57A-46E3-B56C-6BD99DFFA898}">
  <ds:schemaRefs/>
</ds:datastoreItem>
</file>

<file path=customXml/itemProps33.xml><?xml version="1.0" encoding="utf-8"?>
<ds:datastoreItem xmlns:ds="http://schemas.openxmlformats.org/officeDocument/2006/customXml" ds:itemID="{FDAE7AEE-13DE-4E05-8FD5-A6CA615C6735}">
  <ds:schemaRefs/>
</ds:datastoreItem>
</file>

<file path=customXml/itemProps34.xml><?xml version="1.0" encoding="utf-8"?>
<ds:datastoreItem xmlns:ds="http://schemas.openxmlformats.org/officeDocument/2006/customXml" ds:itemID="{0B3CE175-8D36-4CF3-A0AD-C027D9DFC316}">
  <ds:schemaRefs/>
</ds:datastoreItem>
</file>

<file path=customXml/itemProps35.xml><?xml version="1.0" encoding="utf-8"?>
<ds:datastoreItem xmlns:ds="http://schemas.openxmlformats.org/officeDocument/2006/customXml" ds:itemID="{96D5F30B-7A8C-475D-A968-C89AD166EAEC}">
  <ds:schemaRefs/>
</ds:datastoreItem>
</file>

<file path=customXml/itemProps36.xml><?xml version="1.0" encoding="utf-8"?>
<ds:datastoreItem xmlns:ds="http://schemas.openxmlformats.org/officeDocument/2006/customXml" ds:itemID="{7CB7F326-2C68-47E8-BD01-FF6B726708F7}">
  <ds:schemaRefs/>
</ds:datastoreItem>
</file>

<file path=customXml/itemProps37.xml><?xml version="1.0" encoding="utf-8"?>
<ds:datastoreItem xmlns:ds="http://schemas.openxmlformats.org/officeDocument/2006/customXml" ds:itemID="{8ACF235A-55A5-4A37-8141-C40562A3BA33}">
  <ds:schemaRefs/>
</ds:datastoreItem>
</file>

<file path=customXml/itemProps38.xml><?xml version="1.0" encoding="utf-8"?>
<ds:datastoreItem xmlns:ds="http://schemas.openxmlformats.org/officeDocument/2006/customXml" ds:itemID="{372C2C10-393C-46BC-8CDC-C5429E2D3E34}">
  <ds:schemaRefs/>
</ds:datastoreItem>
</file>

<file path=customXml/itemProps39.xml><?xml version="1.0" encoding="utf-8"?>
<ds:datastoreItem xmlns:ds="http://schemas.openxmlformats.org/officeDocument/2006/customXml" ds:itemID="{4DE215B4-8D9E-429E-8F22-7A6B6E7F7A58}">
  <ds:schemaRefs/>
</ds:datastoreItem>
</file>

<file path=customXml/itemProps40.xml><?xml version="1.0" encoding="utf-8"?>
<ds:datastoreItem xmlns:ds="http://schemas.openxmlformats.org/officeDocument/2006/customXml" ds:itemID="{079A464F-20E2-46F9-8E93-1A983512DF4C}">
  <ds:schemaRefs/>
</ds:datastoreItem>
</file>

<file path=customXml/itemProps41.xml><?xml version="1.0" encoding="utf-8"?>
<ds:datastoreItem xmlns:ds="http://schemas.openxmlformats.org/officeDocument/2006/customXml" ds:itemID="{8BE0CE02-6591-4FF3-8667-BCA70AD2E075}">
  <ds:schemaRefs/>
</ds:datastoreItem>
</file>

<file path=customXml/itemProps42.xml><?xml version="1.0" encoding="utf-8"?>
<ds:datastoreItem xmlns:ds="http://schemas.openxmlformats.org/officeDocument/2006/customXml" ds:itemID="{BF496A3A-9EFB-469E-BAE5-CC6CBC211B03}">
  <ds:schemaRefs/>
</ds:datastoreItem>
</file>

<file path=customXml/itemProps43.xml><?xml version="1.0" encoding="utf-8"?>
<ds:datastoreItem xmlns:ds="http://schemas.openxmlformats.org/officeDocument/2006/customXml" ds:itemID="{196EABD0-8B68-45C2-8883-D91FB3DADF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Dashboard_DAX</vt:lpstr>
      <vt:lpstr>TCD_DAX_24J</vt:lpstr>
      <vt:lpstr>tVentes</vt:lpstr>
      <vt:lpstr>Ventes</vt:lpstr>
      <vt:lpstr>tProduits</vt:lpstr>
      <vt:lpstr>Produits</vt:lpstr>
      <vt:lpstr>tVendeurs</vt:lpstr>
      <vt:lpstr>Vendeurs</vt:lpstr>
      <vt:lpstr>tDate</vt:lpstr>
      <vt:lpstr>Dim_Date</vt:lpstr>
      <vt:lpstr>TCD</vt:lpstr>
      <vt:lpstr>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2026-09-27T19:25:32Z</dcterms:created>
  <dcterms:modified xsi:type="dcterms:W3CDTF">2026-09-28T10:37:18Z</dcterms:modified>
</cp:coreProperties>
</file>