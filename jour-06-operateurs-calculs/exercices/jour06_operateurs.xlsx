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06-operateurs-calculs\exercices\"/>
    </mc:Choice>
  </mc:AlternateContent>
  <xr:revisionPtr revIDLastSave="0" documentId="13_ncr:1_{65E6E0C4-4E72-4532-B8AD-70EFD8B8F51A}" xr6:coauthVersionLast="47" xr6:coauthVersionMax="47" xr10:uidLastSave="{00000000-0000-0000-0000-000000000000}"/>
  <bookViews>
    <workbookView xWindow="-98" yWindow="-98" windowWidth="19396" windowHeight="10276" activeTab="1" xr2:uid="{5F776100-78B1-489F-99A9-72BDAF55D73E}"/>
  </bookViews>
  <sheets>
    <sheet name="Pratique" sheetId="1" r:id="rId1"/>
    <sheet name="Calculateur_Salai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A13" i="1"/>
  <c r="A12" i="1"/>
  <c r="A11" i="1"/>
  <c r="A10" i="1"/>
  <c r="B8" i="1"/>
  <c r="C4" i="1"/>
  <c r="C3" i="1"/>
  <c r="C2" i="1"/>
  <c r="C1" i="1"/>
  <c r="B14" i="2" l="1"/>
  <c r="B15" i="2" s="1"/>
  <c r="B16" i="2" s="1"/>
</calcChain>
</file>

<file path=xl/sharedStrings.xml><?xml version="1.0" encoding="utf-8"?>
<sst xmlns="http://schemas.openxmlformats.org/spreadsheetml/2006/main" count="18" uniqueCount="14">
  <si>
    <t xml:space="preserve"> </t>
  </si>
  <si>
    <t>Salaire brut</t>
  </si>
  <si>
    <t>Retenue</t>
  </si>
  <si>
    <t>Taux de retenue</t>
  </si>
  <si>
    <t>CALCULATEUR DE SALAIRE</t>
  </si>
  <si>
    <t>Salaire de base</t>
  </si>
  <si>
    <t>Prime de transport</t>
  </si>
  <si>
    <t>Prime de performance</t>
  </si>
  <si>
    <t>Heures supplémentaires</t>
  </si>
  <si>
    <t>Taux horaire</t>
  </si>
  <si>
    <t>Montant HS</t>
  </si>
  <si>
    <t>Salaire Net</t>
  </si>
  <si>
    <t>CALCUL</t>
  </si>
  <si>
    <t xml:space="preserve"> 300 000 €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</si>
</sst>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2" applyFont="1"/>
    <xf numFmtId="9" fontId="2" fillId="0" borderId="0" xfId="2" applyFont="1"/>
    <xf numFmtId="0" fontId="3" fillId="2" borderId="0" xfId="0" applyFont="1" applyFill="1" applyAlignment="1">
      <alignment horizontal="center"/>
    </xf>
    <xf numFmtId="42" fontId="2" fillId="0" borderId="0" xfId="1" applyNumberFormat="1" applyFont="1"/>
    <xf numFmtId="0" fontId="4" fillId="2" borderId="0" xfId="0" applyFont="1" applyFill="1" applyAlignment="1">
      <alignment horizontal="center"/>
    </xf>
    <xf numFmtId="0" fontId="0" fillId="0" borderId="0" xfId="0" applyFont="1"/>
  </cellXfs>
  <cellStyles count="3">
    <cellStyle name="Monétaire" xfId="1" builtinId="4"/>
    <cellStyle name="Normal" xfId="0" builtinId="0"/>
    <cellStyle name="Pourcentage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2" formatCode="_-* #,##0\ &quot;€&quot;_-;\-* #,##0\ &quot;€&quot;_-;_-* &quot;-&quot;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2" formatCode="_-* #,##0\ &quot;€&quot;_-;\-* #,##0\ &quot;€&quot;_-;_-* &quot;-&quot;\ &quot;€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915B9-7B8C-460D-9E3C-FC4473559FBA}" name="Tableau1" displayName="Tableau1" ref="A3:B8" totalsRowShown="0" dataDxfId="4">
  <autoFilter ref="A3:B8" xr:uid="{C29915B9-7B8C-460D-9E3C-FC4473559FBA}">
    <filterColumn colId="0" hiddenButton="1"/>
    <filterColumn colId="1" hiddenButton="1"/>
  </autoFilter>
  <tableColumns count="2">
    <tableColumn id="1" xr3:uid="{8A52CE42-F431-483C-B08C-9BAE57693B87}" name="Salaire de base" dataDxfId="6"/>
    <tableColumn id="2" xr3:uid="{A7E3621B-2791-43E4-AD51-A3A7BE587F7F}" name=" 300 000 € " dataDxfId="5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C60209-AD92-47B6-9E75-448B3A01C226}" name="Tableau2" displayName="Tableau2" ref="A12:B16" headerRowCount="0" totalsRowShown="0">
  <tableColumns count="2">
    <tableColumn id="1" xr3:uid="{DB57B11A-F6C8-4471-94A5-A0A3C57963D1}" name="Colonne1" headerRowDxfId="0" dataDxfId="3"/>
    <tableColumn id="2" xr3:uid="{A0ACF838-06BC-49C3-A586-3DFF873E07DD}" name="Colonne2" headerRowDxfId="1" dataDxfId="2" dataCellStyle="Monétair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F082-80CA-4D09-B199-74A365326251}">
  <dimension ref="A1:C13"/>
  <sheetViews>
    <sheetView workbookViewId="0">
      <selection activeCell="A14" sqref="A14"/>
    </sheetView>
  </sheetViews>
  <sheetFormatPr baseColWidth="10" defaultRowHeight="14.25" x14ac:dyDescent="0.45"/>
  <cols>
    <col min="1" max="1" width="12.9296875" bestFit="1" customWidth="1"/>
  </cols>
  <sheetData>
    <row r="1" spans="1:3" x14ac:dyDescent="0.45">
      <c r="A1">
        <v>100</v>
      </c>
      <c r="B1">
        <v>20</v>
      </c>
      <c r="C1">
        <f>A1+B1</f>
        <v>120</v>
      </c>
    </row>
    <row r="2" spans="1:3" x14ac:dyDescent="0.45">
      <c r="C2">
        <f>A1-B1</f>
        <v>80</v>
      </c>
    </row>
    <row r="3" spans="1:3" x14ac:dyDescent="0.45">
      <c r="C3">
        <f>A1*B1</f>
        <v>2000</v>
      </c>
    </row>
    <row r="4" spans="1:3" x14ac:dyDescent="0.45">
      <c r="C4">
        <f>A1/B1</f>
        <v>5</v>
      </c>
    </row>
    <row r="5" spans="1:3" x14ac:dyDescent="0.45">
      <c r="C5" t="s">
        <v>0</v>
      </c>
    </row>
    <row r="6" spans="1:3" x14ac:dyDescent="0.45">
      <c r="A6" s="1" t="s">
        <v>1</v>
      </c>
      <c r="B6">
        <v>250000</v>
      </c>
    </row>
    <row r="7" spans="1:3" x14ac:dyDescent="0.45">
      <c r="A7" t="s">
        <v>2</v>
      </c>
      <c r="B7">
        <v>25000</v>
      </c>
    </row>
    <row r="8" spans="1:3" x14ac:dyDescent="0.45">
      <c r="A8" t="s">
        <v>3</v>
      </c>
      <c r="B8" s="2">
        <f>B7/B6</f>
        <v>0.1</v>
      </c>
    </row>
    <row r="10" spans="1:3" x14ac:dyDescent="0.45">
      <c r="A10">
        <f>10+5*2</f>
        <v>20</v>
      </c>
    </row>
    <row r="11" spans="1:3" x14ac:dyDescent="0.45">
      <c r="A11">
        <f>(10+5)*2</f>
        <v>30</v>
      </c>
    </row>
    <row r="12" spans="1:3" x14ac:dyDescent="0.45">
      <c r="A12" s="1">
        <f>100-20/2</f>
        <v>90</v>
      </c>
    </row>
    <row r="13" spans="1:3" x14ac:dyDescent="0.45">
      <c r="A13">
        <f>(100-20)/2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11B8-313F-4CC5-AD46-5C4411FE3A1C}">
  <dimension ref="A1:B16"/>
  <sheetViews>
    <sheetView tabSelected="1" workbookViewId="0">
      <selection activeCell="E15" sqref="E15"/>
    </sheetView>
  </sheetViews>
  <sheetFormatPr baseColWidth="10" defaultRowHeight="14.25" x14ac:dyDescent="0.45"/>
  <cols>
    <col min="1" max="1" width="21.59765625" bestFit="1" customWidth="1"/>
    <col min="2" max="2" width="12.19921875" customWidth="1"/>
  </cols>
  <sheetData>
    <row r="1" spans="1:2" ht="16.5" x14ac:dyDescent="0.45">
      <c r="A1" s="4" t="s">
        <v>4</v>
      </c>
      <c r="B1" s="4"/>
    </row>
    <row r="3" spans="1:2" ht="15" customHeight="1" x14ac:dyDescent="0.45">
      <c r="A3" s="7" t="s">
        <v>5</v>
      </c>
      <c r="B3" s="5" t="s">
        <v>13</v>
      </c>
    </row>
    <row r="4" spans="1:2" x14ac:dyDescent="0.45">
      <c r="A4" s="1" t="s">
        <v>6</v>
      </c>
      <c r="B4" s="5">
        <v>30000</v>
      </c>
    </row>
    <row r="5" spans="1:2" x14ac:dyDescent="0.45">
      <c r="A5" s="1" t="s">
        <v>7</v>
      </c>
      <c r="B5" s="3">
        <v>0.08</v>
      </c>
    </row>
    <row r="6" spans="1:2" x14ac:dyDescent="0.45">
      <c r="A6" t="s">
        <v>8</v>
      </c>
      <c r="B6" s="1">
        <v>35</v>
      </c>
    </row>
    <row r="7" spans="1:2" x14ac:dyDescent="0.45">
      <c r="A7" s="1" t="s">
        <v>9</v>
      </c>
      <c r="B7" s="5">
        <v>2500</v>
      </c>
    </row>
    <row r="8" spans="1:2" x14ac:dyDescent="0.45">
      <c r="A8" s="1" t="s">
        <v>3</v>
      </c>
      <c r="B8" s="3">
        <v>0.05</v>
      </c>
    </row>
    <row r="9" spans="1:2" x14ac:dyDescent="0.45">
      <c r="B9" s="1"/>
    </row>
    <row r="10" spans="1:2" ht="16.5" x14ac:dyDescent="0.45">
      <c r="A10" s="6" t="s">
        <v>12</v>
      </c>
      <c r="B10" s="6"/>
    </row>
    <row r="12" spans="1:2" x14ac:dyDescent="0.45">
      <c r="A12" s="1" t="s">
        <v>7</v>
      </c>
      <c r="B12" s="5">
        <f>B3*B5</f>
        <v>24000</v>
      </c>
    </row>
    <row r="13" spans="1:2" x14ac:dyDescent="0.45">
      <c r="A13" s="1" t="s">
        <v>10</v>
      </c>
      <c r="B13" s="5">
        <f>B6*B7</f>
        <v>87500</v>
      </c>
    </row>
    <row r="14" spans="1:2" x14ac:dyDescent="0.45">
      <c r="A14" s="1" t="s">
        <v>1</v>
      </c>
      <c r="B14" s="5">
        <f>B3+B4+B12+B13</f>
        <v>441500</v>
      </c>
    </row>
    <row r="15" spans="1:2" x14ac:dyDescent="0.45">
      <c r="A15" s="1" t="s">
        <v>2</v>
      </c>
      <c r="B15" s="5">
        <f>B14*B8</f>
        <v>22075</v>
      </c>
    </row>
    <row r="16" spans="1:2" x14ac:dyDescent="0.45">
      <c r="A16" s="1" t="s">
        <v>11</v>
      </c>
      <c r="B16" s="5">
        <f>B14-B15</f>
        <v>419425</v>
      </c>
    </row>
  </sheetData>
  <mergeCells count="2">
    <mergeCell ref="A1:B1"/>
    <mergeCell ref="A10:B10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Pratique</vt:lpstr>
      <vt:lpstr>Calculateur_Salaire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2026-08-24T11:12:34Z</dcterms:created>
  <dcterms:modified xsi:type="dcterms:W3CDTF">2026-08-24T12:25:33Z</dcterms:modified>
</cp:coreProperties>
</file>