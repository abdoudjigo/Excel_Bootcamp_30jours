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9-dashboard-interactif\exercices\"/>
    </mc:Choice>
  </mc:AlternateContent>
  <xr:revisionPtr revIDLastSave="0" documentId="13_ncr:1_{8D563D66-DA98-4D50-9865-2D8F11E10E25}" xr6:coauthVersionLast="47" xr6:coauthVersionMax="47" xr10:uidLastSave="{00000000-0000-0000-0000-000000000000}"/>
  <bookViews>
    <workbookView xWindow="-98" yWindow="-98" windowWidth="19396" windowHeight="10276" firstSheet="1" activeTab="1" xr2:uid="{F9491382-A35F-4402-ACA1-0895E46AB027}"/>
  </bookViews>
  <sheets>
    <sheet name="TCD_Effectifs_Dept" sheetId="3" r:id="rId1"/>
    <sheet name="Dashboard_RH" sheetId="2" r:id="rId2"/>
    <sheet name="TCD_Salaire_Dept" sheetId="4" r:id="rId3"/>
    <sheet name="TCD_Sexe" sheetId="5" r:id="rId4"/>
    <sheet name="TCD_Ville" sheetId="6" r:id="rId5"/>
    <sheet name="Employes" sheetId="1" r:id="rId6"/>
  </sheets>
  <definedNames>
    <definedName name="Segment_Filiere1">#N/A</definedName>
    <definedName name="Segment_Sexe">#N/A</definedName>
    <definedName name="Segment_Ville1">#N/A</definedName>
  </definedNames>
  <calcPr calcId="191029"/>
  <pivotCaches>
    <pivotCache cacheId="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<sst xmlns="http://schemas.openxmlformats.org/spreadsheetml/2006/main" count="540" uniqueCount="218">
  <si>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</si>
  <si>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</si>
  <si>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</si>
  <si>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</si>
  <si>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</si>
  <si>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</si>
  <si>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</si>
  <si>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</si>
  <si>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</si>
  <si>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</si>
  <si>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</si>
  <si>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</si>
  <si>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</si>
  <si>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</si>
  <si>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</si>
  <si>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</si>
  <si>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</si>
  <si>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</si>
  <si>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</si>
  <si>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</si>
  <si>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</si>
  <si>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</si>
  <si>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</si>
  <si>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</si>
  <si>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</si>
  <si>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</si>
  <si>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</si>
  <si>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</si>
  <si>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</si>
  <si>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</si>
  <si>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</si>
  <si>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</si>
  <si>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</si>
  <si>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</si>
  <si>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</si>
  <si>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</si>
  <si>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</si>
  <si>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</si>
  <si>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</si>
  <si>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</si>
  <si>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</si>
  <si>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</si>
  <si>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</si>
  <si>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</si>
  <si>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</si>
  <si>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</si>
  <si>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</si>
  <si>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</si>
  <si>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</si>
  <si>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</si>
  <si>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</si>
  <si>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</si>
  <si>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</si>
  <si>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</si>
  <si>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</si>
  <si>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</si>
  <si>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</si>
  <si>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</si>
  <si>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</si>
  <si>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</si>
  <si>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</si>
  <si>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</si>
  <si>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</si>
  <si>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</si>
  <si>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</si>
  <si>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</si>
  <si>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</si>
  <si>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</si>
  <si>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</si>
  <si>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</si>
  <si>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</si>
  <si>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</si>
  <si>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</si>
  <si>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</si>
  <si>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</si>
  <si>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</si>
  <si>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</si>
  <si>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</si>
  <si>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</si>
  <si>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</si>
  <si>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</si>
  <si>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</si>
  <si>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</si>
  <si>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</si>
  <si>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</si>
  <si>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</si>
  <si>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</si>
  <si>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</si>
  <si>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</si>
  <si>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</si>
  <si>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</si>
  <si>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</si>
  <si>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</si>
  <si>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</si>
  <si>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</si>
  <si>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</si>
  <si>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</si>
  <si>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</si>
  <si>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</si>
  <si>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</si>
  <si>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</si>
  <si>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</si>
  <si>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</si>
  <si>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</si>
  <si>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</si>
  <si>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</si>
  <si>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</si>
  <si>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</si>
  <si>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</si>
  <si>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</si>
  <si>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</si>
  <si>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</si>
  <si>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</si>
  <si>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</si>
  <si>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</si>
  <si>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</si>
  <si>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</si>
  <si>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</si>
  <si>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</si>
  <si>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</si>
  <si>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</si>
  <si>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</si>
  <si>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</si>
  <si>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</si>
  <si>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</si>
  <si>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</si>
  <si>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</si>
  <si>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</si>
  <si>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</si>
  <si>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</si>
  <si>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</si>
  <si>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</si>
  <si>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</si>
  <si>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</si>
  <si>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</si>
  <si>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</si>
  <si>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</si>
  <si>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</si>
  <si>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</si>
  <si>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</si>
  <si>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</si>
  <si>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</si>
  <si>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</si>
  <si>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</si>
  <si>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</si>
  <si>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</si>
  <si>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</si>
  <si>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</si>
  <si>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</si>
  <si>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</si>
  <si>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</si>
  <si>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</si>
  <si>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</si>
  <si>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</si>
  <si>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</si>
  <si>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</si>
  <si>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</si>
  <si>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</si>
  <si>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</si>
  <si>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</si>
  <si>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</si>
  <si>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</si>
  <si>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</si>
  <si>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</si>
  <si>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</si>
  <si>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</si>
  <si>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</si>
  <si>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</si>
  <si>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</si>
  <si>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</si>
  <si>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</si>
  <si>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</si>
  <si>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</si>
  <si>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</si>
  <si>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</si>
  <si>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</si>
  <si>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</si>
  <si>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</si>
  <si>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</si>
  <si>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</si>
  <si>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</si>
  <si>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</si>
  <si>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</si>
  <si>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</si>
  <si>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</si>
  <si>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</si>
  <si>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</si>
  <si>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</si>
  <si>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</si>
  <si>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</si>
  <si>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</si>
  <si>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</si>
  <si>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</si>
  <si>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</si>
  <si>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</si>
  <si>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</si>
  <si>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</si>
  <si>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</si>
  <si>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</si>
  <si>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</si>
  <si>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</si>
  <si>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</si>
  <si>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</si>
  <si>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</si>
  <si>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</si>
  <si>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</si>
  <si>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</si>
  <si>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</si>
  <si>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</si>
  <si>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📊 DASHBOARD RH</t>
  </si>
  <si>
    <t>Effectif total</t>
  </si>
  <si>
    <t>Salaire moyen</t>
  </si>
  <si>
    <t>Nb départements</t>
  </si>
  <si>
    <t>Salaire maximum</t>
  </si>
  <si>
    <t>Étiquettes de lignes</t>
  </si>
  <si>
    <t>Total général</t>
  </si>
  <si>
    <t>Nombre de ID</t>
  </si>
  <si>
    <t>Moyenne de Frais_payes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</si>
</sst>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#,##0.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6"/>
      <name val="Times New Roman"/>
      <family val="1"/>
    </font>
    <font>
      <sz val="16"/>
      <color theme="4" tint="-0.49998474074526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70"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  <dxf>
      <numFmt numFmtId="168" formatCode="#,##0.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[Jour_19_Dashboard.xlsx]TCD_Salaire_Dept!Tableau croisé dynamique2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Effectifs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TCD_Salaire_Dept!$B$3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TCD_Salaire_Dept!$A$4:$A$8</c:f>
              <c:strCache>
                <c:ptCount val="4"/>
                <c:pt idx="0">
                  <c:v>Cybersecurite</c:v>
                </c:pt>
                <c:pt idx="1">
                  <c:v>Data</c:v>
                </c:pt>
                <c:pt idx="2">
                  <c:v>Developpement</c:v>
                </c:pt>
                <c:pt idx="3">
                  <c:v>IA</c:v>
                </c:pt>
              </c:strCache>
            </c:strRef>
          </c:cat>
          <c:val>
            <c:numRef>
              <c:f>TCD_Salaire_Dept!$B$4:$B$8</c:f>
              <c:numCache>
                <c:formatCode>#\ ##0.0\ "€"</c:formatCode>
                <c:ptCount val="4"/>
                <c:pt idx="0">
                  <c:v>92037.037037037036</c:v>
                </c:pt>
                <c:pt idx="1">
                  <c:v>85454.545454545456</c:v>
                </c:pt>
                <c:pt idx="2">
                  <c:v>89090.909090909088</c:v>
                </c:pt>
                <c:pt idx="3">
                  <c:v>80714.28571428571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2-4CAB-8841-20411F16D5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524010255"/>
        <c:axId val="735623583"/>
      </c:barChart>
      <c:catAx>
        <c:axId val="52401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5623583"/>
        <c:crosses val="autoZero"/>
        <c:auto val="1"/>
        <c:lblAlgn val="ctr"/>
        <c:lblOffset val="100"/>
        <c:noMultiLvlLbl val="0"/>
      </c:catAx>
      <c:valAx>
        <c:axId val="735623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.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01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[Jour_19_Dashboard.xlsx]TCD_Salaire_Dept!Tableau croisé dynamique2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cap="all" baseline="0">
                <a:effectLst/>
              </a:rPr>
              <a:t>Salaire moyen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TCD_Salaire_Dept!$B$3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TCD_Salaire_Dept!$A$4:$A$8</c:f>
              <c:strCache>
                <c:ptCount val="4"/>
                <c:pt idx="0">
                  <c:v>Cybersecurite</c:v>
                </c:pt>
                <c:pt idx="1">
                  <c:v>Data</c:v>
                </c:pt>
                <c:pt idx="2">
                  <c:v>Developpement</c:v>
                </c:pt>
                <c:pt idx="3">
                  <c:v>IA</c:v>
                </c:pt>
              </c:strCache>
            </c:strRef>
          </c:cat>
          <c:val>
            <c:numRef>
              <c:f>TCD_Salaire_Dept!$B$4:$B$8</c:f>
              <c:numCache>
                <c:formatCode>#\ ##0.0\ "€"</c:formatCode>
                <c:ptCount val="4"/>
                <c:pt idx="0">
                  <c:v>92037.037037037036</c:v>
                </c:pt>
                <c:pt idx="1">
                  <c:v>85454.545454545456</c:v>
                </c:pt>
                <c:pt idx="2">
                  <c:v>89090.909090909088</c:v>
                </c:pt>
                <c:pt idx="3">
                  <c:v>80714.28571428571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9-4223-9174-4645C5F82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845730671"/>
        <c:axId val="608423775"/>
      </c:barChart>
      <c:catAx>
        <c:axId val="8457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8423775"/>
        <c:crosses val="autoZero"/>
        <c:auto val="1"/>
        <c:lblAlgn val="ctr"/>
        <c:lblOffset val="100"/>
        <c:noMultiLvlLbl val="0"/>
      </c:catAx>
      <c:valAx>
        <c:axId val="6084237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.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573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[Jour_19_Dashboard.xlsx]TCD_Sexe!Tableau croisé dynamique3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effectLst/>
              </a:rPr>
              <a:t>Répartition par sexe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TCD_Sexe!$B$3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9B6-46B3-B997-A4937C425AF3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9B6-46B3-B997-A4937C425A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TCD_Sexe!$A$4:$A$6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TCD_Sexe!$B$4:$B$6</c:f>
              <c:numCache>
                <c:formatCode>General</c:formatCode>
                <c:ptCount val="2"/>
                <c:pt idx="0">
                  <c:v>47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B6-46B3-B997-A4937C425A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[Jour_19_Dashboard.xlsx]TCD_Ville!Tableau croisé dynamique4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Effectifs par ville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TCD_Ville!$B$3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TCD_Ville!$A$4:$A$10</c:f>
              <c:strCache>
                <c:ptCount val="6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Thies</c:v>
                </c:pt>
                <c:pt idx="4">
                  <c:v>Touba</c:v>
                </c:pt>
                <c:pt idx="5">
                  <c:v>Ziguinchor</c:v>
                </c:pt>
              </c:strCache>
            </c:strRef>
          </c:cat>
          <c:val>
            <c:numRef>
              <c:f>TCD_Ville!$B$4:$B$10</c:f>
              <c:numCache>
                <c:formatCode>General</c:formatCode>
                <c:ptCount val="6"/>
                <c:pt idx="0">
                  <c:v>11</c:v>
                </c:pt>
                <c:pt idx="1">
                  <c:v>16</c:v>
                </c:pt>
                <c:pt idx="2">
                  <c:v>22</c:v>
                </c:pt>
                <c:pt idx="3">
                  <c:v>21</c:v>
                </c:pt>
                <c:pt idx="4">
                  <c:v>13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9-44CA-AC2C-7268503F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5511311"/>
        <c:axId val="608426175"/>
      </c:barChart>
      <c:catAx>
        <c:axId val="7755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8426175"/>
        <c:crosses val="autoZero"/>
        <c:auto val="1"/>
        <c:lblAlgn val="ctr"/>
        <c:lblOffset val="100"/>
        <c:noMultiLvlLbl val="0"/>
      </c:catAx>
      <c:valAx>
        <c:axId val="6084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551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661988</xdr:colOff>
      <xdr:row>1</xdr:row>
      <xdr:rowOff>9526</xdr:rowOff>
    </xdr:from>
    <xdr:to>
      <xdr:col>8</xdr:col>
      <xdr:colOff>204788</xdr:colOff>
      <xdr:row>13</xdr:row>
      <xdr:rowOff>4764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Ville">
              <a:extLst>
                <a:ext uri="{FF2B5EF4-FFF2-40B4-BE49-F238E27FC236}">
                  <a16:creationId xmlns:a16="http://schemas.microsoft.com/office/drawing/2014/main" id="{63C10698-21CF-49F8-E977-D0582DA019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0638" y="190501"/>
              <a:ext cx="1828800" cy="2166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576263</xdr:colOff>
      <xdr:row>1</xdr:row>
      <xdr:rowOff>47625</xdr:rowOff>
    </xdr:from>
    <xdr:to>
      <xdr:col>11</xdr:col>
      <xdr:colOff>119063</xdr:colOff>
      <xdr:row>11</xdr:row>
      <xdr:rowOff>14288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iliere">
              <a:extLst>
                <a:ext uri="{FF2B5EF4-FFF2-40B4-BE49-F238E27FC236}">
                  <a16:creationId xmlns:a16="http://schemas.microsoft.com/office/drawing/2014/main" id="{9C5CA092-5C67-6A66-7BB6-97D67AEEF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e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0913" y="228600"/>
              <a:ext cx="1828800" cy="1776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7</xdr:row>
      <xdr:rowOff>52387</xdr:rowOff>
    </xdr:from>
    <xdr:to>
      <xdr:col>7</xdr:col>
      <xdr:colOff>23812</xdr:colOff>
      <xdr:row>12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exe">
              <a:extLst>
                <a:ext uri="{FF2B5EF4-FFF2-40B4-BE49-F238E27FC236}">
                  <a16:creationId xmlns:a16="http://schemas.microsoft.com/office/drawing/2014/main" id="{AE7D5089-8F9C-4C36-AA25-BABD40E550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1427" y="1393551"/>
              <a:ext cx="1877902" cy="9556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33337</xdr:rowOff>
    </xdr:from>
    <xdr:to>
      <xdr:col>1</xdr:col>
      <xdr:colOff>642938</xdr:colOff>
      <xdr:row>18</xdr:row>
      <xdr:rowOff>109538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ille 1">
              <a:extLst>
                <a:ext uri="{FF2B5EF4-FFF2-40B4-BE49-F238E27FC236}">
                  <a16:creationId xmlns:a16="http://schemas.microsoft.com/office/drawing/2014/main" id="{CFC44204-E93C-45A4-837A-ABC12BE47B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74501"/>
              <a:ext cx="1683024" cy="2063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61913</xdr:colOff>
      <xdr:row>7</xdr:row>
      <xdr:rowOff>33338</xdr:rowOff>
    </xdr:from>
    <xdr:to>
      <xdr:col>4</xdr:col>
      <xdr:colOff>366713</xdr:colOff>
      <xdr:row>15</xdr:row>
      <xdr:rowOff>100013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Filiere 1">
              <a:extLst>
                <a:ext uri="{FF2B5EF4-FFF2-40B4-BE49-F238E27FC236}">
                  <a16:creationId xmlns:a16="http://schemas.microsoft.com/office/drawing/2014/main" id="{6452878F-A2DC-48A1-A7F8-9087AFBADE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er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2905" y="1374502"/>
              <a:ext cx="1826610" cy="1511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19</xdr:row>
      <xdr:rowOff>0</xdr:rowOff>
    </xdr:from>
    <xdr:to>
      <xdr:col>5</xdr:col>
      <xdr:colOff>485775</xdr:colOff>
      <xdr:row>34</xdr:row>
      <xdr:rowOff>28575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F8E4192-A0D9-4E61-88DF-CA95177C1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34</xdr:row>
      <xdr:rowOff>28575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DDC86D2C-C7B2-4569-8FD1-10A90B331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483577</xdr:colOff>
      <xdr:row>49</xdr:row>
      <xdr:rowOff>178777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8B73439-9CF0-47F5-A754-FBA64179F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49</xdr:row>
      <xdr:rowOff>178777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1686AAE-60CB-4D97-913E-16A378899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u DJIGO" refreshedDate="46269.880126620374" createdVersion="8" refreshedVersion="8" minRefreshableVersion="3" recordCount="99" xr:uid="{B8FA0E08-5685-45E1-9BB5-A2738C9DDE64}">
  <cacheSource type="worksheet">
    <worksheetSource ref="A1:L100" sheet="Employes"/>
  </cacheSource>
  <cacheFields count="12">
    <cacheField name="ID" numFmtId="0">
      <sharedItems/>
    </cacheField>
    <cacheField name="Nom" numFmtId="0">
      <sharedItems/>
    </cacheField>
    <cacheField name="Sexe" numFmtId="0">
      <sharedItems count="2">
        <s v="F"/>
        <s v="M"/>
      </sharedItems>
    </cacheField>
    <cacheField name="Ville" numFmtId="0">
      <sharedItems count="6">
        <s v="Saint-Louis"/>
        <s v="Ziguinchor"/>
        <s v="Kaolack"/>
        <s v="Thies"/>
        <s v="Touba"/>
        <s v="Dakar"/>
      </sharedItems>
    </cacheField>
    <cacheField name="Filiere" numFmtId="0">
      <sharedItems count="4">
        <s v="Data"/>
        <s v="IA"/>
        <s v="Developpement"/>
        <s v="Cybersecurite"/>
      </sharedItems>
    </cacheField>
    <cacheField name="Math" numFmtId="0">
      <sharedItems containsSemiMixedTypes="0" containsString="0" containsNumber="1" minValue="6.68" maxValue="20"/>
    </cacheField>
    <cacheField name="Excel" numFmtId="0">
      <sharedItems containsSemiMixedTypes="0" containsString="0" containsNumber="1" minValue="6.23" maxValue="20"/>
    </cacheField>
    <cacheField name="Python" numFmtId="0">
      <sharedItems containsSemiMixedTypes="0" containsString="0" containsNumber="1" minValue="4.51" maxValue="20"/>
    </cacheField>
    <cacheField name="Statistiques" numFmtId="0">
      <sharedItems containsSemiMixedTypes="0" containsString="0" containsNumber="1" minValue="3.81" maxValue="20"/>
    </cacheField>
    <cacheField name="Presence" numFmtId="0">
      <sharedItems containsSemiMixedTypes="0" containsString="0" containsNumber="1" minValue="0.55000000000000004" maxValue="0.98560000000000003"/>
    </cacheField>
    <cacheField name="Frais_payes" numFmtId="0">
      <sharedItems containsSemiMixedTypes="0" containsString="0" containsNumber="1" containsInteger="1" minValue="50000" maxValue="130000"/>
    </cacheField>
    <cacheField name="Date_inscription" numFmtId="164">
      <sharedItems containsSemiMixedTypes="0" containsNonDate="0" containsDate="1" containsString="0" minDate="2024-09-03T00:00:00" maxDate="2026-07-25T00:00:00"/>
    </cacheField>
  </cacheFields>
  <extLst>
    <ext xmlns:x14="http://schemas.microsoft.com/office/spreadsheetml/2009/9/main" uri="{725AE2AE-9491-48be-B2B4-4EB974FC3084}">
      <x14:pivotCacheDefinition pivotCacheId="281234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ST0001"/>
    <s v="Coumba Sarr"/>
    <x v="0"/>
    <x v="0"/>
    <x v="0"/>
    <n v="12.13"/>
    <n v="11.08"/>
    <n v="11.09"/>
    <n v="14.41"/>
    <n v="0.91869999999999996"/>
    <n v="75000"/>
    <d v="2025-07-16T00:00:00"/>
  </r>
  <r>
    <s v="ST0002"/>
    <s v="Alioune Diop"/>
    <x v="1"/>
    <x v="1"/>
    <x v="1"/>
    <n v="15.39"/>
    <n v="18.309999999999999"/>
    <n v="20"/>
    <n v="12.86"/>
    <n v="0.81930000000000003"/>
    <n v="90000"/>
    <d v="2024-12-07T00:00:00"/>
  </r>
  <r>
    <s v="ST0003"/>
    <s v="Moustapha Sow"/>
    <x v="1"/>
    <x v="0"/>
    <x v="0"/>
    <n v="11.17"/>
    <n v="14.41"/>
    <n v="19.760000000000002"/>
    <n v="13.06"/>
    <n v="0.79079999999999995"/>
    <n v="85000"/>
    <d v="2025-01-25T00:00:00"/>
  </r>
  <r>
    <s v="ST0004"/>
    <s v="Coumba Diop"/>
    <x v="0"/>
    <x v="1"/>
    <x v="1"/>
    <n v="14.17"/>
    <n v="10.220000000000001"/>
    <n v="10.26"/>
    <n v="14.91"/>
    <n v="0.76400000000000001"/>
    <n v="120000"/>
    <d v="2025-07-06T00:00:00"/>
  </r>
  <r>
    <s v="ST0005"/>
    <s v="Fatou Ndour"/>
    <x v="0"/>
    <x v="2"/>
    <x v="2"/>
    <n v="13.23"/>
    <n v="10.49"/>
    <n v="10.63"/>
    <n v="13.04"/>
    <n v="0.73070000000000002"/>
    <n v="70000"/>
    <d v="2025-12-28T00:00:00"/>
  </r>
  <r>
    <s v="ST0006"/>
    <s v="Moussa Ba"/>
    <x v="1"/>
    <x v="3"/>
    <x v="1"/>
    <n v="16.079999999999998"/>
    <n v="16.989999999999998"/>
    <n v="12.22"/>
    <n v="11.87"/>
    <n v="0.7429"/>
    <n v="85000"/>
    <d v="2025-06-18T00:00:00"/>
  </r>
  <r>
    <s v="ST0007"/>
    <s v="Coumba Seck"/>
    <x v="0"/>
    <x v="4"/>
    <x v="1"/>
    <n v="16.97"/>
    <n v="18.260000000000002"/>
    <n v="15.2"/>
    <n v="12.16"/>
    <n v="0.75839999999999996"/>
    <n v="60000"/>
    <d v="2025-09-15T00:00:00"/>
  </r>
  <r>
    <s v="ST0008"/>
    <s v="Moustapha Sarr"/>
    <x v="1"/>
    <x v="1"/>
    <x v="1"/>
    <n v="7.57"/>
    <n v="11.81"/>
    <n v="12.87"/>
    <n v="10.09"/>
    <n v="0.95250000000000001"/>
    <n v="90000"/>
    <d v="2025-09-01T00:00:00"/>
  </r>
  <r>
    <s v="ST0009"/>
    <s v="Astou Seck"/>
    <x v="0"/>
    <x v="1"/>
    <x v="1"/>
    <n v="7.43"/>
    <n v="14.27"/>
    <n v="12.08"/>
    <n v="8.82"/>
    <n v="0.87990000000000002"/>
    <n v="50000"/>
    <d v="2025-03-08T00:00:00"/>
  </r>
  <r>
    <s v="ST0010"/>
    <s v="Khadija Fall"/>
    <x v="0"/>
    <x v="4"/>
    <x v="3"/>
    <n v="14.93"/>
    <n v="19.32"/>
    <n v="17.170000000000002"/>
    <n v="16.940000000000001"/>
    <n v="0.74860000000000004"/>
    <n v="80000"/>
    <d v="2025-03-15T00:00:00"/>
  </r>
  <r>
    <s v="ST0011"/>
    <s v="Cheikh Ndiaye"/>
    <x v="1"/>
    <x v="3"/>
    <x v="1"/>
    <n v="10.02"/>
    <n v="14.25"/>
    <n v="13.71"/>
    <n v="9.16"/>
    <n v="0.78959999999999997"/>
    <n v="50000"/>
    <d v="2025-06-26T00:00:00"/>
  </r>
  <r>
    <s v="ST0012"/>
    <s v="Alioune Ba"/>
    <x v="1"/>
    <x v="5"/>
    <x v="0"/>
    <n v="11.19"/>
    <n v="7.93"/>
    <n v="8.2100000000000009"/>
    <n v="11.22"/>
    <n v="0.9133"/>
    <n v="75000"/>
    <d v="2024-09-23T00:00:00"/>
  </r>
  <r>
    <s v="ST0013"/>
    <s v="Cheikh Camara"/>
    <x v="1"/>
    <x v="2"/>
    <x v="0"/>
    <n v="15.52"/>
    <n v="18.95"/>
    <n v="14.41"/>
    <n v="14.9"/>
    <n v="0.87109999999999999"/>
    <n v="85000"/>
    <d v="2025-12-24T00:00:00"/>
  </r>
  <r>
    <s v="ST0014"/>
    <s v="Ousmane Sy"/>
    <x v="1"/>
    <x v="3"/>
    <x v="3"/>
    <n v="17.22"/>
    <n v="16.38"/>
    <n v="14.95"/>
    <n v="15.12"/>
    <n v="0.73260000000000003"/>
    <n v="75000"/>
    <d v="2025-11-05T00:00:00"/>
  </r>
  <r>
    <s v="ST0015"/>
    <s v="Moustapha Cisse"/>
    <x v="1"/>
    <x v="0"/>
    <x v="1"/>
    <n v="10.09"/>
    <n v="8.77"/>
    <n v="5.93"/>
    <n v="12.28"/>
    <n v="0.95089999999999997"/>
    <n v="80000"/>
    <d v="2025-04-03T00:00:00"/>
  </r>
  <r>
    <s v="ST0016"/>
    <s v="Pape Ba"/>
    <x v="1"/>
    <x v="3"/>
    <x v="1"/>
    <n v="14.6"/>
    <n v="13.07"/>
    <n v="11.79"/>
    <n v="13.08"/>
    <n v="0.79810000000000003"/>
    <n v="60000"/>
    <d v="2025-05-20T00:00:00"/>
  </r>
  <r>
    <s v="ST0017"/>
    <s v="Ousmane Seck"/>
    <x v="1"/>
    <x v="0"/>
    <x v="3"/>
    <n v="18.2"/>
    <n v="16.52"/>
    <n v="13.29"/>
    <n v="13.86"/>
    <n v="0.84589999999999999"/>
    <n v="100000"/>
    <d v="2025-04-19T00:00:00"/>
  </r>
  <r>
    <s v="ST0018"/>
    <s v="Rokhaya Fall"/>
    <x v="0"/>
    <x v="0"/>
    <x v="3"/>
    <n v="15.58"/>
    <n v="11.27"/>
    <n v="16.43"/>
    <n v="13.24"/>
    <n v="0.55000000000000004"/>
    <n v="110000"/>
    <d v="2025-11-30T00:00:00"/>
  </r>
  <r>
    <s v="ST0019"/>
    <s v="Mamadou Diallo"/>
    <x v="1"/>
    <x v="0"/>
    <x v="3"/>
    <n v="15.42"/>
    <n v="17.21"/>
    <n v="16.010000000000002"/>
    <n v="14.75"/>
    <n v="0.55000000000000004"/>
    <n v="85000"/>
    <d v="2026-02-14T00:00:00"/>
  </r>
  <r>
    <s v="ST0020"/>
    <s v="Fatou Faye"/>
    <x v="0"/>
    <x v="1"/>
    <x v="1"/>
    <n v="12.83"/>
    <n v="7.87"/>
    <n v="11.11"/>
    <n v="9.27"/>
    <n v="0.82350000000000001"/>
    <n v="50000"/>
    <d v="2024-11-16T00:00:00"/>
  </r>
  <r>
    <s v="ST0021"/>
    <s v="Mamadou Mbaye"/>
    <x v="1"/>
    <x v="2"/>
    <x v="1"/>
    <n v="14.68"/>
    <n v="15.64"/>
    <n v="10.58"/>
    <n v="12.5"/>
    <n v="0.87709999999999999"/>
    <n v="50000"/>
    <d v="2025-06-17T00:00:00"/>
  </r>
  <r>
    <s v="ST0022"/>
    <s v="Awa Seck"/>
    <x v="0"/>
    <x v="0"/>
    <x v="0"/>
    <n v="11.98"/>
    <n v="11.91"/>
    <n v="9.59"/>
    <n v="8.1"/>
    <n v="0.83630000000000004"/>
    <n v="100000"/>
    <d v="2024-09-10T00:00:00"/>
  </r>
  <r>
    <s v="ST0023"/>
    <s v="Coumba Mbaye"/>
    <x v="0"/>
    <x v="5"/>
    <x v="3"/>
    <n v="10.3"/>
    <n v="11.97"/>
    <n v="13.81"/>
    <n v="10.81"/>
    <n v="0.94589999999999996"/>
    <n v="130000"/>
    <d v="2025-07-14T00:00:00"/>
  </r>
  <r>
    <s v="ST0024"/>
    <s v="Pape Gueye"/>
    <x v="1"/>
    <x v="2"/>
    <x v="2"/>
    <n v="17.48"/>
    <n v="14.67"/>
    <n v="10.02"/>
    <n v="16.63"/>
    <n v="0.58579999999999999"/>
    <n v="120000"/>
    <d v="2025-02-21T00:00:00"/>
  </r>
  <r>
    <s v="ST0025"/>
    <s v="Pape Sow"/>
    <x v="1"/>
    <x v="3"/>
    <x v="1"/>
    <n v="20"/>
    <n v="17.690000000000001"/>
    <n v="20"/>
    <n v="17.84"/>
    <n v="0.9405"/>
    <n v="80000"/>
    <d v="2025-04-24T00:00:00"/>
  </r>
  <r>
    <s v="ST0026"/>
    <s v="Mamadou Camara"/>
    <x v="1"/>
    <x v="3"/>
    <x v="3"/>
    <n v="18.41"/>
    <n v="20"/>
    <n v="14.71"/>
    <n v="20"/>
    <n v="0.81899999999999995"/>
    <n v="85000"/>
    <d v="2025-07-17T00:00:00"/>
  </r>
  <r>
    <s v="ST0027"/>
    <s v="Awa Diallo"/>
    <x v="0"/>
    <x v="0"/>
    <x v="1"/>
    <n v="20"/>
    <n v="20"/>
    <n v="19.239999999999998"/>
    <n v="20"/>
    <n v="0.76739999999999997"/>
    <n v="60000"/>
    <d v="2025-04-15T00:00:00"/>
  </r>
  <r>
    <s v="ST0028"/>
    <s v="Cheikh Fall"/>
    <x v="1"/>
    <x v="5"/>
    <x v="2"/>
    <n v="8.86"/>
    <n v="14.37"/>
    <n v="11.44"/>
    <n v="14.76"/>
    <n v="0.81159999999999999"/>
    <n v="50000"/>
    <d v="2025-06-03T00:00:00"/>
  </r>
  <r>
    <s v="ST0029"/>
    <s v="Moustapha Cisse"/>
    <x v="1"/>
    <x v="0"/>
    <x v="3"/>
    <n v="14.37"/>
    <n v="14.83"/>
    <n v="17"/>
    <n v="17.43"/>
    <n v="0.97089999999999999"/>
    <n v="110000"/>
    <d v="2026-02-18T00:00:00"/>
  </r>
  <r>
    <s v="ST0030"/>
    <s v="Aminata Camara"/>
    <x v="0"/>
    <x v="3"/>
    <x v="0"/>
    <n v="15.56"/>
    <n v="17.899999999999999"/>
    <n v="20"/>
    <n v="17.23"/>
    <n v="0.55000000000000004"/>
    <n v="80000"/>
    <d v="2026-03-22T00:00:00"/>
  </r>
  <r>
    <s v="ST0031"/>
    <s v="Rokhaya Ndiaye"/>
    <x v="0"/>
    <x v="4"/>
    <x v="1"/>
    <n v="12.24"/>
    <n v="16.73"/>
    <n v="9.0399999999999991"/>
    <n v="17.5"/>
    <n v="0.98560000000000003"/>
    <n v="85000"/>
    <d v="2024-09-05T00:00:00"/>
  </r>
  <r>
    <s v="ST0032"/>
    <s v="Fatou Camara"/>
    <x v="0"/>
    <x v="4"/>
    <x v="0"/>
    <n v="19.11"/>
    <n v="12.44"/>
    <n v="15.6"/>
    <n v="17.84"/>
    <n v="0.93830000000000002"/>
    <n v="75000"/>
    <d v="2025-05-23T00:00:00"/>
  </r>
  <r>
    <s v="ST0033"/>
    <s v="Astou Cisse"/>
    <x v="0"/>
    <x v="5"/>
    <x v="2"/>
    <n v="15.66"/>
    <n v="16.04"/>
    <n v="12.03"/>
    <n v="17.8"/>
    <n v="0.79310000000000003"/>
    <n v="75000"/>
    <d v="2026-04-16T00:00:00"/>
  </r>
  <r>
    <s v="ST0034"/>
    <s v="Ousmane Sarr"/>
    <x v="1"/>
    <x v="2"/>
    <x v="1"/>
    <n v="12.44"/>
    <n v="9.73"/>
    <n v="14.47"/>
    <n v="14.79"/>
    <n v="0.85240000000000005"/>
    <n v="130000"/>
    <d v="2025-09-07T00:00:00"/>
  </r>
  <r>
    <s v="ST0035"/>
    <s v="Mamadou Sow"/>
    <x v="1"/>
    <x v="2"/>
    <x v="1"/>
    <n v="11.52"/>
    <n v="14.33"/>
    <n v="11.2"/>
    <n v="10.91"/>
    <n v="0.75270000000000004"/>
    <n v="110000"/>
    <d v="2025-01-22T00:00:00"/>
  </r>
  <r>
    <s v="ST0036"/>
    <s v="Astou Gueye"/>
    <x v="0"/>
    <x v="0"/>
    <x v="2"/>
    <n v="7.93"/>
    <n v="17.28"/>
    <n v="12.82"/>
    <n v="12.15"/>
    <n v="0.7046"/>
    <n v="100000"/>
    <d v="2025-10-21T00:00:00"/>
  </r>
  <r>
    <s v="ST0037"/>
    <s v="Moussa Sy"/>
    <x v="1"/>
    <x v="0"/>
    <x v="2"/>
    <n v="13.6"/>
    <n v="15.85"/>
    <n v="13.47"/>
    <n v="14.43"/>
    <n v="0.92279999999999995"/>
    <n v="80000"/>
    <d v="2024-12-11T00:00:00"/>
  </r>
  <r>
    <s v="ST0038"/>
    <s v="Mamadou Faye"/>
    <x v="1"/>
    <x v="1"/>
    <x v="0"/>
    <n v="15.67"/>
    <n v="9.23"/>
    <n v="15.43"/>
    <n v="14.78"/>
    <n v="0.82920000000000005"/>
    <n v="100000"/>
    <d v="2024-09-16T00:00:00"/>
  </r>
  <r>
    <s v="ST0039"/>
    <s v="Rokhaya Faye"/>
    <x v="0"/>
    <x v="0"/>
    <x v="1"/>
    <n v="13.07"/>
    <n v="16.190000000000001"/>
    <n v="11.47"/>
    <n v="12.77"/>
    <n v="0.92720000000000002"/>
    <n v="75000"/>
    <d v="2025-11-17T00:00:00"/>
  </r>
  <r>
    <s v="ST0040"/>
    <s v="Pape Gueye"/>
    <x v="1"/>
    <x v="5"/>
    <x v="0"/>
    <n v="13.55"/>
    <n v="13.79"/>
    <n v="18.309999999999999"/>
    <n v="14.86"/>
    <n v="0.95599999999999996"/>
    <n v="85000"/>
    <d v="2025-08-27T00:00:00"/>
  </r>
  <r>
    <s v="ST0041"/>
    <s v="Astou Sy"/>
    <x v="0"/>
    <x v="0"/>
    <x v="0"/>
    <n v="15.33"/>
    <n v="11.39"/>
    <n v="11.75"/>
    <n v="7.17"/>
    <n v="0.77600000000000002"/>
    <n v="60000"/>
    <d v="2026-02-12T00:00:00"/>
  </r>
  <r>
    <s v="ST0042"/>
    <s v="Pape Ndour"/>
    <x v="1"/>
    <x v="3"/>
    <x v="2"/>
    <n v="18.57"/>
    <n v="17.399999999999999"/>
    <n v="12.73"/>
    <n v="19.309999999999999"/>
    <n v="0.90200000000000002"/>
    <n v="100000"/>
    <d v="2025-04-30T00:00:00"/>
  </r>
  <r>
    <s v="ST0043"/>
    <s v="Babacar Sy"/>
    <x v="1"/>
    <x v="0"/>
    <x v="0"/>
    <n v="15.7"/>
    <n v="15.52"/>
    <n v="18.27"/>
    <n v="13.98"/>
    <n v="0.94040000000000001"/>
    <n v="50000"/>
    <d v="2026-04-21T00:00:00"/>
  </r>
  <r>
    <s v="ST0044"/>
    <s v="Aminata Ndiaye"/>
    <x v="0"/>
    <x v="3"/>
    <x v="0"/>
    <n v="9.0399999999999991"/>
    <n v="9.3699999999999992"/>
    <n v="10.09"/>
    <n v="10.94"/>
    <n v="0.86899999999999999"/>
    <n v="100000"/>
    <d v="2025-06-22T00:00:00"/>
  </r>
  <r>
    <s v="ST0045"/>
    <s v="Astou Ndiaye"/>
    <x v="0"/>
    <x v="5"/>
    <x v="3"/>
    <n v="17.010000000000002"/>
    <n v="16.510000000000002"/>
    <n v="20"/>
    <n v="20"/>
    <n v="0.91449999999999998"/>
    <n v="90000"/>
    <d v="2026-01-30T00:00:00"/>
  </r>
  <r>
    <s v="ST0046"/>
    <s v="Ibrahima Cisse"/>
    <x v="1"/>
    <x v="4"/>
    <x v="3"/>
    <n v="10.33"/>
    <n v="12.77"/>
    <n v="14.98"/>
    <n v="12.66"/>
    <n v="0.98260000000000003"/>
    <n v="50000"/>
    <d v="2024-11-10T00:00:00"/>
  </r>
  <r>
    <s v="ST0047"/>
    <s v="Mariama Camara"/>
    <x v="0"/>
    <x v="5"/>
    <x v="2"/>
    <n v="6.68"/>
    <n v="8.36"/>
    <n v="7.31"/>
    <n v="11.94"/>
    <n v="0.94130000000000003"/>
    <n v="85000"/>
    <d v="2024-11-08T00:00:00"/>
  </r>
  <r>
    <s v="ST0048"/>
    <s v="Abdoulaye Faye"/>
    <x v="1"/>
    <x v="1"/>
    <x v="1"/>
    <n v="8.2799999999999994"/>
    <n v="8.5299999999999994"/>
    <n v="10.59"/>
    <n v="7.74"/>
    <n v="0.93630000000000002"/>
    <n v="70000"/>
    <d v="2026-03-02T00:00:00"/>
  </r>
  <r>
    <s v="ST0049"/>
    <s v="Abdoulaye Fall"/>
    <x v="1"/>
    <x v="1"/>
    <x v="3"/>
    <n v="9.2799999999999994"/>
    <n v="10.31"/>
    <n v="11.11"/>
    <n v="15.82"/>
    <n v="0.92930000000000001"/>
    <n v="85000"/>
    <d v="2026-04-07T00:00:00"/>
  </r>
  <r>
    <s v="ST0050"/>
    <s v="Ibrahima Mbaye"/>
    <x v="1"/>
    <x v="2"/>
    <x v="0"/>
    <n v="11.37"/>
    <n v="14.79"/>
    <n v="17.2"/>
    <n v="15.94"/>
    <n v="0.77490000000000003"/>
    <n v="50000"/>
    <d v="2026-06-22T00:00:00"/>
  </r>
  <r>
    <s v="ST0051"/>
    <s v="Moustapha Fall"/>
    <x v="1"/>
    <x v="4"/>
    <x v="3"/>
    <n v="9.2899999999999991"/>
    <n v="12.74"/>
    <n v="13.9"/>
    <n v="13.09"/>
    <n v="0.95179999999999998"/>
    <n v="100000"/>
    <d v="2025-04-16T00:00:00"/>
  </r>
  <r>
    <s v="ST0052"/>
    <s v="Aminata Diallo"/>
    <x v="0"/>
    <x v="5"/>
    <x v="3"/>
    <n v="13.04"/>
    <n v="9.85"/>
    <n v="13.14"/>
    <n v="15.59"/>
    <n v="0.9385"/>
    <n v="85000"/>
    <d v="2024-09-16T00:00:00"/>
  </r>
  <r>
    <s v="ST0053"/>
    <s v="Khadija Seck"/>
    <x v="0"/>
    <x v="3"/>
    <x v="1"/>
    <n v="15.75"/>
    <n v="17.809999999999999"/>
    <n v="15"/>
    <n v="12.56"/>
    <n v="0.92410000000000003"/>
    <n v="75000"/>
    <d v="2026-07-18T00:00:00"/>
  </r>
  <r>
    <s v="ST0054"/>
    <s v="Ndeye Ndiaye"/>
    <x v="0"/>
    <x v="3"/>
    <x v="0"/>
    <n v="18.190000000000001"/>
    <n v="8.83"/>
    <n v="14.54"/>
    <n v="13.72"/>
    <n v="0.79700000000000004"/>
    <n v="120000"/>
    <d v="2025-10-26T00:00:00"/>
  </r>
  <r>
    <s v="ST0055"/>
    <s v="Awa Mbaye"/>
    <x v="0"/>
    <x v="2"/>
    <x v="0"/>
    <n v="12.91"/>
    <n v="13.8"/>
    <n v="17.46"/>
    <n v="17.46"/>
    <n v="0.80020000000000002"/>
    <n v="100000"/>
    <d v="2025-02-20T00:00:00"/>
  </r>
  <r>
    <s v="ST0056"/>
    <s v="Ndeye Sy"/>
    <x v="0"/>
    <x v="2"/>
    <x v="2"/>
    <n v="15.3"/>
    <n v="13.68"/>
    <n v="14.86"/>
    <n v="10.44"/>
    <n v="0.89"/>
    <n v="90000"/>
    <d v="2026-02-17T00:00:00"/>
  </r>
  <r>
    <s v="ST0057"/>
    <s v="Babacar Seck"/>
    <x v="1"/>
    <x v="4"/>
    <x v="2"/>
    <n v="15.91"/>
    <n v="15.95"/>
    <n v="14.56"/>
    <n v="16.36"/>
    <n v="0.74680000000000002"/>
    <n v="60000"/>
    <d v="2026-05-26T00:00:00"/>
  </r>
  <r>
    <s v="ST0058"/>
    <s v="Astou Sy"/>
    <x v="0"/>
    <x v="0"/>
    <x v="1"/>
    <n v="7.04"/>
    <n v="9.23"/>
    <n v="6.56"/>
    <n v="8.67"/>
    <n v="0.6895"/>
    <n v="85000"/>
    <d v="2025-03-19T00:00:00"/>
  </r>
  <r>
    <s v="ST0059"/>
    <s v="Babacar Ndiaye"/>
    <x v="1"/>
    <x v="3"/>
    <x v="3"/>
    <n v="14.12"/>
    <n v="15.36"/>
    <n v="11.46"/>
    <n v="16.71"/>
    <n v="0.9617"/>
    <n v="100000"/>
    <d v="2026-02-21T00:00:00"/>
  </r>
  <r>
    <s v="ST0060"/>
    <s v="Ousmane Diallo"/>
    <x v="1"/>
    <x v="4"/>
    <x v="3"/>
    <n v="9.1"/>
    <n v="6.23"/>
    <n v="4.51"/>
    <n v="3.81"/>
    <n v="0.91279999999999994"/>
    <n v="130000"/>
    <d v="2026-03-06T00:00:00"/>
  </r>
  <r>
    <s v="ST0061"/>
    <s v="Alioune Sy"/>
    <x v="1"/>
    <x v="1"/>
    <x v="3"/>
    <n v="14.32"/>
    <n v="15.29"/>
    <n v="12.15"/>
    <n v="17.04"/>
    <n v="0.55000000000000004"/>
    <n v="90000"/>
    <d v="2025-08-18T00:00:00"/>
  </r>
  <r>
    <s v="ST0062"/>
    <s v="Abdoulaye Seck"/>
    <x v="1"/>
    <x v="1"/>
    <x v="1"/>
    <n v="12.92"/>
    <n v="14.32"/>
    <n v="16.98"/>
    <n v="12.16"/>
    <n v="0.95489999999999997"/>
    <n v="60000"/>
    <d v="2025-11-17T00:00:00"/>
  </r>
  <r>
    <s v="ST0063"/>
    <s v="Fatou Sarr"/>
    <x v="0"/>
    <x v="0"/>
    <x v="2"/>
    <n v="15.64"/>
    <n v="13.06"/>
    <n v="16.170000000000002"/>
    <n v="15.34"/>
    <n v="0.84250000000000003"/>
    <n v="100000"/>
    <d v="2025-03-08T00:00:00"/>
  </r>
  <r>
    <s v="ST0064"/>
    <s v="Alioune Ba"/>
    <x v="1"/>
    <x v="0"/>
    <x v="0"/>
    <n v="13.82"/>
    <n v="20"/>
    <n v="18.579999999999998"/>
    <n v="14.04"/>
    <n v="0.9204"/>
    <n v="50000"/>
    <d v="2026-06-13T00:00:00"/>
  </r>
  <r>
    <s v="ST0065"/>
    <s v="Astou Fall"/>
    <x v="0"/>
    <x v="0"/>
    <x v="0"/>
    <n v="12.29"/>
    <n v="11.3"/>
    <n v="8.81"/>
    <n v="11.57"/>
    <n v="0.80159999999999998"/>
    <n v="75000"/>
    <d v="2026-07-21T00:00:00"/>
  </r>
  <r>
    <s v="ST0066"/>
    <s v="Aminata Sy"/>
    <x v="0"/>
    <x v="1"/>
    <x v="2"/>
    <n v="10.73"/>
    <n v="13.42"/>
    <n v="13.55"/>
    <n v="12.89"/>
    <n v="0.87060000000000004"/>
    <n v="130000"/>
    <d v="2026-07-19T00:00:00"/>
  </r>
  <r>
    <s v="ST0067"/>
    <s v="Moussa Camara"/>
    <x v="1"/>
    <x v="3"/>
    <x v="3"/>
    <n v="12.39"/>
    <n v="16.12"/>
    <n v="14.7"/>
    <n v="12.31"/>
    <n v="0.84919999999999995"/>
    <n v="110000"/>
    <d v="2026-01-29T00:00:00"/>
  </r>
  <r>
    <s v="ST0068"/>
    <s v="Sokhna Diallo"/>
    <x v="0"/>
    <x v="4"/>
    <x v="2"/>
    <n v="12.99"/>
    <n v="13.03"/>
    <n v="11.16"/>
    <n v="13.55"/>
    <n v="0.80720000000000003"/>
    <n v="120000"/>
    <d v="2024-09-30T00:00:00"/>
  </r>
  <r>
    <s v="ST0069"/>
    <s v="Aminata Ndiaye"/>
    <x v="0"/>
    <x v="3"/>
    <x v="2"/>
    <n v="16.13"/>
    <n v="12.81"/>
    <n v="14.09"/>
    <n v="11.94"/>
    <n v="0.86950000000000005"/>
    <n v="75000"/>
    <d v="2025-05-15T00:00:00"/>
  </r>
  <r>
    <s v="ST0070"/>
    <s v="Awa Cisse"/>
    <x v="0"/>
    <x v="0"/>
    <x v="2"/>
    <n v="14.26"/>
    <n v="18.48"/>
    <n v="15.37"/>
    <n v="13.49"/>
    <n v="0.72430000000000005"/>
    <n v="100000"/>
    <d v="2025-07-09T00:00:00"/>
  </r>
  <r>
    <s v="ST0071"/>
    <s v="Abdoulaye Kane"/>
    <x v="1"/>
    <x v="3"/>
    <x v="1"/>
    <n v="12.56"/>
    <n v="8.91"/>
    <n v="7.47"/>
    <n v="10.68"/>
    <n v="0.7157"/>
    <n v="100000"/>
    <d v="2026-07-04T00:00:00"/>
  </r>
  <r>
    <s v="ST0072"/>
    <s v="Mariama Fall"/>
    <x v="0"/>
    <x v="2"/>
    <x v="1"/>
    <n v="13.48"/>
    <n v="16.010000000000002"/>
    <n v="17.98"/>
    <n v="16.399999999999999"/>
    <n v="0.88990000000000002"/>
    <n v="70000"/>
    <d v="2025-09-18T00:00:00"/>
  </r>
  <r>
    <s v="ST0073"/>
    <s v="Astou Faye"/>
    <x v="0"/>
    <x v="1"/>
    <x v="0"/>
    <n v="14.73"/>
    <n v="14.56"/>
    <n v="16.13"/>
    <n v="14.69"/>
    <n v="0.76880000000000004"/>
    <n v="130000"/>
    <d v="2025-09-11T00:00:00"/>
  </r>
  <r>
    <s v="ST0074"/>
    <s v="Khadija Seck"/>
    <x v="0"/>
    <x v="4"/>
    <x v="0"/>
    <n v="9.31"/>
    <n v="9.74"/>
    <n v="10.34"/>
    <n v="10.8"/>
    <n v="0.90290000000000004"/>
    <n v="130000"/>
    <d v="2024-12-12T00:00:00"/>
  </r>
  <r>
    <s v="ST0075"/>
    <s v="Babacar Cisse"/>
    <x v="1"/>
    <x v="1"/>
    <x v="0"/>
    <n v="17.55"/>
    <n v="17.57"/>
    <n v="14.3"/>
    <n v="17.66"/>
    <n v="0.96130000000000004"/>
    <n v="60000"/>
    <d v="2026-03-10T00:00:00"/>
  </r>
  <r>
    <s v="ST0076"/>
    <s v="Fatou Sow"/>
    <x v="0"/>
    <x v="3"/>
    <x v="1"/>
    <n v="13.96"/>
    <n v="18.23"/>
    <n v="12.42"/>
    <n v="17.739999999999998"/>
    <n v="0.65480000000000005"/>
    <n v="110000"/>
    <d v="2025-04-24T00:00:00"/>
  </r>
  <r>
    <s v="ST0077"/>
    <s v="Astou Sy"/>
    <x v="0"/>
    <x v="3"/>
    <x v="2"/>
    <n v="16.010000000000002"/>
    <n v="13.43"/>
    <n v="14.48"/>
    <n v="13"/>
    <n v="0.92200000000000004"/>
    <n v="80000"/>
    <d v="2024-11-04T00:00:00"/>
  </r>
  <r>
    <s v="ST0078"/>
    <s v="Fatou Sy"/>
    <x v="0"/>
    <x v="4"/>
    <x v="1"/>
    <n v="10.82"/>
    <n v="13.48"/>
    <n v="15.12"/>
    <n v="8.9700000000000006"/>
    <n v="0.83409999999999995"/>
    <n v="100000"/>
    <d v="2026-07-24T00:00:00"/>
  </r>
  <r>
    <s v="ST0079"/>
    <s v="Babacar Ba"/>
    <x v="1"/>
    <x v="0"/>
    <x v="3"/>
    <n v="9.67"/>
    <n v="11.6"/>
    <n v="11.74"/>
    <n v="11.16"/>
    <n v="0.87749999999999995"/>
    <n v="90000"/>
    <d v="2025-01-12T00:00:00"/>
  </r>
  <r>
    <s v="ST0080"/>
    <s v="Pape Kane"/>
    <x v="1"/>
    <x v="5"/>
    <x v="3"/>
    <n v="9.24"/>
    <n v="10.43"/>
    <n v="9.15"/>
    <n v="12.93"/>
    <n v="0.95140000000000002"/>
    <n v="70000"/>
    <d v="2024-09-12T00:00:00"/>
  </r>
  <r>
    <s v="ST0081"/>
    <s v="Moussa Diop"/>
    <x v="1"/>
    <x v="1"/>
    <x v="2"/>
    <n v="15.58"/>
    <n v="14.85"/>
    <n v="15.71"/>
    <n v="11.71"/>
    <n v="0.84179999999999999"/>
    <n v="60000"/>
    <d v="2024-10-25T00:00:00"/>
  </r>
  <r>
    <s v="ST0082"/>
    <s v="Ndeye Gueye"/>
    <x v="0"/>
    <x v="2"/>
    <x v="2"/>
    <n v="12.79"/>
    <n v="10.57"/>
    <n v="10.91"/>
    <n v="8.76"/>
    <n v="0.93310000000000004"/>
    <n v="85000"/>
    <d v="2025-07-14T00:00:00"/>
  </r>
  <r>
    <s v="ST0083"/>
    <s v="Ndeye Mbaye"/>
    <x v="0"/>
    <x v="5"/>
    <x v="0"/>
    <n v="15.33"/>
    <n v="13.59"/>
    <n v="16.829999999999998"/>
    <n v="13.04"/>
    <n v="0.93730000000000002"/>
    <n v="120000"/>
    <d v="2024-11-12T00:00:00"/>
  </r>
  <r>
    <s v="ST0084"/>
    <s v="Moustapha Cisse"/>
    <x v="1"/>
    <x v="1"/>
    <x v="3"/>
    <n v="14.95"/>
    <n v="11.37"/>
    <n v="11.56"/>
    <n v="9.4700000000000006"/>
    <n v="0.83599999999999997"/>
    <n v="120000"/>
    <d v="2026-04-13T00:00:00"/>
  </r>
  <r>
    <s v="ST0085"/>
    <s v="Cheikh Seck"/>
    <x v="1"/>
    <x v="2"/>
    <x v="2"/>
    <n v="16.07"/>
    <n v="13.84"/>
    <n v="6.56"/>
    <n v="11.15"/>
    <n v="0.84530000000000005"/>
    <n v="75000"/>
    <d v="2025-08-25T00:00:00"/>
  </r>
  <r>
    <s v="ST0086"/>
    <s v="Pape Sow"/>
    <x v="1"/>
    <x v="2"/>
    <x v="2"/>
    <n v="13.13"/>
    <n v="10.71"/>
    <n v="15.21"/>
    <n v="15.26"/>
    <n v="0.74470000000000003"/>
    <n v="120000"/>
    <d v="2025-04-15T00:00:00"/>
  </r>
  <r>
    <s v="ST0087"/>
    <s v="Coumba Sy"/>
    <x v="0"/>
    <x v="4"/>
    <x v="0"/>
    <n v="19.649999999999999"/>
    <n v="17.11"/>
    <n v="18.34"/>
    <n v="16.72"/>
    <n v="0.67400000000000004"/>
    <n v="75000"/>
    <d v="2024-09-03T00:00:00"/>
  </r>
  <r>
    <s v="ST0088"/>
    <s v="Ndeye Ndour"/>
    <x v="0"/>
    <x v="0"/>
    <x v="1"/>
    <n v="10.68"/>
    <n v="10.98"/>
    <n v="6.72"/>
    <n v="6.07"/>
    <n v="0.76039999999999996"/>
    <n v="90000"/>
    <d v="2025-08-02T00:00:00"/>
  </r>
  <r>
    <s v="ST0089"/>
    <s v="Abdoulaye Cisse"/>
    <x v="1"/>
    <x v="0"/>
    <x v="1"/>
    <n v="15.78"/>
    <n v="16.23"/>
    <n v="17.41"/>
    <n v="16.79"/>
    <n v="0.84550000000000003"/>
    <n v="75000"/>
    <d v="2024-12-15T00:00:00"/>
  </r>
  <r>
    <s v="ST0090"/>
    <s v="Ibrahima Ndiaye"/>
    <x v="1"/>
    <x v="2"/>
    <x v="2"/>
    <n v="16.489999999999998"/>
    <n v="14.98"/>
    <n v="15.02"/>
    <n v="13.43"/>
    <n v="0.67589999999999995"/>
    <n v="85000"/>
    <d v="2026-07-17T00:00:00"/>
  </r>
  <r>
    <s v="ST0091"/>
    <s v="Khadija Ba"/>
    <x v="0"/>
    <x v="3"/>
    <x v="3"/>
    <n v="15.45"/>
    <n v="16.77"/>
    <n v="11.24"/>
    <n v="11.35"/>
    <n v="0.89300000000000002"/>
    <n v="85000"/>
    <d v="2025-03-23T00:00:00"/>
  </r>
  <r>
    <s v="ST0092"/>
    <s v="Babacar Sow"/>
    <x v="1"/>
    <x v="5"/>
    <x v="1"/>
    <n v="14.4"/>
    <n v="11.44"/>
    <n v="15.58"/>
    <n v="12.4"/>
    <n v="0.94669999999999999"/>
    <n v="100000"/>
    <d v="2025-07-30T00:00:00"/>
  </r>
  <r>
    <s v="ST0093"/>
    <s v="Pape Sow"/>
    <x v="1"/>
    <x v="4"/>
    <x v="3"/>
    <n v="16.260000000000002"/>
    <n v="12.04"/>
    <n v="16.62"/>
    <n v="13.76"/>
    <n v="0.82809999999999995"/>
    <n v="85000"/>
    <d v="2024-09-14T00:00:00"/>
  </r>
  <r>
    <s v="ST0094"/>
    <s v="Aminata Kane"/>
    <x v="0"/>
    <x v="3"/>
    <x v="3"/>
    <n v="16.86"/>
    <n v="17.149999999999999"/>
    <n v="13.37"/>
    <n v="12.1"/>
    <n v="0.73799999999999999"/>
    <n v="85000"/>
    <d v="2024-12-01T00:00:00"/>
  </r>
  <r>
    <s v="ST0095"/>
    <s v="Ousmane Sarr"/>
    <x v="1"/>
    <x v="2"/>
    <x v="2"/>
    <n v="17.95"/>
    <n v="18.739999999999998"/>
    <n v="15.86"/>
    <n v="17.809999999999999"/>
    <n v="0.88939999999999997"/>
    <n v="100000"/>
    <d v="2025-01-24T00:00:00"/>
  </r>
  <r>
    <s v="ST0096"/>
    <s v="Awa Ndiaye"/>
    <x v="0"/>
    <x v="3"/>
    <x v="3"/>
    <n v="11.97"/>
    <n v="11.7"/>
    <n v="10.27"/>
    <n v="10.67"/>
    <n v="0.83150000000000002"/>
    <n v="80000"/>
    <d v="2024-10-07T00:00:00"/>
  </r>
  <r>
    <s v="ST0097"/>
    <s v="Coumba Sarr"/>
    <x v="0"/>
    <x v="3"/>
    <x v="3"/>
    <n v="19.989999999999998"/>
    <n v="15.02"/>
    <n v="19.13"/>
    <n v="19.82"/>
    <n v="0.92949999999999999"/>
    <n v="85000"/>
    <d v="2026-01-22T00:00:00"/>
  </r>
  <r>
    <s v="ST0098"/>
    <s v="Alioune Faye"/>
    <x v="1"/>
    <x v="2"/>
    <x v="3"/>
    <n v="13.82"/>
    <n v="10.97"/>
    <n v="8.57"/>
    <n v="12.67"/>
    <n v="0.94189999999999996"/>
    <n v="50000"/>
    <d v="2026-06-24T00:00:00"/>
  </r>
  <r>
    <s v="ST0099"/>
    <s v="Mamadou Faye"/>
    <x v="1"/>
    <x v="1"/>
    <x v="3"/>
    <n v="12.63"/>
    <n v="11.11"/>
    <n v="15.87"/>
    <n v="11.46"/>
    <n v="0.92549999999999999"/>
    <n v="120000"/>
    <d v="2026-07-2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3E67B-A3BE-4C0C-B05E-C7EA1A0462F4}" name="Tableau croisé dynamique1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99934-89F6-4863-A675-A89847D0D585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2"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Frais_payes" fld="10" subtotal="average" baseField="4" baseItem="0" numFmtId="168"/>
  </dataFields>
  <formats count="2">
    <format dxfId="66">
      <pivotArea outline="0" collapsedLevelsAreSubtotals="1" fieldPosition="0"/>
    </format>
    <format dxfId="6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9DC11-A568-4024-857C-3F92FBF591AA}" name="Tableau croisé dynamique3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2">
    <pivotField dataField="1"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Nombre de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DEEBB-7CB5-434E-B619-A964373630DC}" name="Tableau croisé dynamique4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2">
    <pivotField dataField="1"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5"/>
        <item x="2"/>
        <item x="0"/>
        <item x="3"/>
        <item x="4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xe" xr10:uid="{9E4A3804-4591-415A-926D-5B9545FE5EA3}" sourceName="Sexe">
  <pivotTables>
    <pivotTable tabId="3" name="Tableau croisé dynamique1"/>
    <pivotTable tabId="4" name="Tableau croisé dynamique2"/>
    <pivotTable tabId="5" name="Tableau croisé dynamique3"/>
    <pivotTable tabId="6" name="Tableau croisé dynamique4"/>
  </pivotTables>
  <data>
    <tabular pivotCacheId="2812344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1" xr10:uid="{99342F8A-45A6-4AD2-B487-256307CE73B4}" sourceName="Ville">
  <pivotTables>
    <pivotTable tabId="4" name="Tableau croisé dynamique2"/>
    <pivotTable tabId="3" name="Tableau croisé dynamique1"/>
    <pivotTable tabId="5" name="Tableau croisé dynamique3"/>
    <pivotTable tabId="6" name="Tableau croisé dynamique4"/>
  </pivotTables>
  <data>
    <tabular pivotCacheId="28123440">
      <items count="6">
        <i x="5" s="1"/>
        <i x="2" s="1"/>
        <i x="0" s="1"/>
        <i x="3" s="1"/>
        <i x="4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iliere1" xr10:uid="{386A2F3F-2A9A-45C5-B305-C11DB3B83850}" sourceName="Filiere">
  <pivotTables>
    <pivotTable tabId="4" name="Tableau croisé dynamique2"/>
    <pivotTable tabId="3" name="Tableau croisé dynamique1"/>
    <pivotTable tabId="5" name="Tableau croisé dynamique3"/>
    <pivotTable tabId="6" name="Tableau croisé dynamique4"/>
  </pivotTables>
  <data>
    <tabular pivotCacheId="28123440">
      <items count="4">
        <i x="3" s="1"/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lle" xr10:uid="{DE784BD6-E3FC-4764-86BF-21FC94D9B70F}" cache="Segment_Ville1" caption="Ville" rowHeight="249238"/>
  <slicer name="Filiere" xr10:uid="{DA91FF38-677D-4F0B-BEF4-04ACD76E270E}" cache="Segment_Filiere1" caption="Filiere" rowHeight="249238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e" xr10:uid="{220AD01A-DED0-408A-8A87-CC36E00CEEB2}" cache="Segment_Sexe" caption="Sexe" rowHeight="249238"/>
  <slicer name="Ville 1" xr10:uid="{5996F2EC-EF70-4BAB-8060-4C687F52E53D}" cache="Segment_Ville1" caption="Ville" rowHeight="249238"/>
  <slicer name="Filiere 1" xr10:uid="{F64292DA-6244-4691-84C5-FF4AD982F94D}" cache="Segment_Filiere1" caption="Filiere" rowHeight="249238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CEC7-2499-4969-8C4A-4F59A08AA981}">
  <dimension ref="A3:B8"/>
  <sheetViews>
    <sheetView workbookViewId="0">
      <selection activeCell="B5" sqref="B5"/>
    </sheetView>
  </sheetViews>
  <sheetFormatPr baseColWidth="10" defaultRowHeight="14.25" x14ac:dyDescent="0.45"/>
  <cols>
    <col min="1" max="1" width="18.53125" bestFit="1" customWidth="1"/>
    <col min="2" max="2" width="11.59765625" bestFit="1" customWidth="1"/>
  </cols>
  <sheetData>
    <row r="3" spans="1:2" x14ac:dyDescent="0.45">
      <c r="A3" s="4" t="s">
        <v>214</v>
      </c>
      <c r="B3" t="s">
        <v>216</v>
      </c>
    </row>
    <row r="4" spans="1:2" x14ac:dyDescent="0.45">
      <c r="A4" s="5" t="s">
        <v>42</v>
      </c>
      <c r="B4" s="6">
        <v>27</v>
      </c>
    </row>
    <row r="5" spans="1:2" x14ac:dyDescent="0.45">
      <c r="A5" s="5" t="s">
        <v>16</v>
      </c>
      <c r="B5" s="6">
        <v>22</v>
      </c>
    </row>
    <row r="6" spans="1:2" x14ac:dyDescent="0.45">
      <c r="A6" s="5" t="s">
        <v>29</v>
      </c>
      <c r="B6" s="6">
        <v>22</v>
      </c>
    </row>
    <row r="7" spans="1:2" x14ac:dyDescent="0.45">
      <c r="A7" s="5" t="s">
        <v>21</v>
      </c>
      <c r="B7" s="6">
        <v>28</v>
      </c>
    </row>
    <row r="8" spans="1:2" x14ac:dyDescent="0.45">
      <c r="A8" s="5" t="s">
        <v>215</v>
      </c>
      <c r="B8" s="6">
        <v>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C9C9-8D39-4308-9BB2-B47825E07CF4}">
  <dimension ref="A1:F6"/>
  <sheetViews>
    <sheetView tabSelected="1" zoomScale="87" workbookViewId="0">
      <selection activeCell="F6" sqref="F6"/>
    </sheetView>
  </sheetViews>
  <sheetFormatPr baseColWidth="10" defaultRowHeight="14.25" x14ac:dyDescent="0.45"/>
  <cols>
    <col min="1" max="1" width="14.53125" bestFit="1" customWidth="1"/>
  </cols>
  <sheetData>
    <row r="1" spans="1:6" ht="20.25" x14ac:dyDescent="0.55000000000000004">
      <c r="A1" s="9" t="s">
        <v>209</v>
      </c>
      <c r="B1" s="8"/>
      <c r="C1" s="8"/>
      <c r="D1" s="8"/>
      <c r="E1" s="8"/>
      <c r="F1" s="8"/>
    </row>
    <row r="3" spans="1:6" x14ac:dyDescent="0.45">
      <c r="A3" s="11" t="s">
        <v>210</v>
      </c>
      <c r="B3" s="12">
        <f>COUNTA(Employes!B:B)-1</f>
        <v>99</v>
      </c>
    </row>
    <row r="4" spans="1:6" x14ac:dyDescent="0.45">
      <c r="A4" s="10" t="s">
        <v>211</v>
      </c>
      <c r="B4" s="13">
        <f>AVERAGE(Employes!K:K)</f>
        <v>86717.171717171717</v>
      </c>
    </row>
    <row r="5" spans="1:6" x14ac:dyDescent="0.45">
      <c r="A5" s="11" t="s">
        <v>213</v>
      </c>
      <c r="B5" s="12">
        <f>MAX(Employes!K:K)</f>
        <v>130000</v>
      </c>
    </row>
    <row r="6" spans="1:6" x14ac:dyDescent="0.45">
      <c r="A6" s="10" t="s">
        <v>212</v>
      </c>
      <c r="B6" s="13">
        <f>COUNTA(_xlfn.UNIQUE(Employes!E:E))-1</f>
        <v>5</v>
      </c>
    </row>
  </sheetData>
  <mergeCells count="1">
    <mergeCell ref="A1:F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E6D9-B0A9-4AB0-B598-26711973A248}">
  <dimension ref="A3:B8"/>
  <sheetViews>
    <sheetView workbookViewId="0">
      <selection activeCell="A3" sqref="A3:B8"/>
    </sheetView>
  </sheetViews>
  <sheetFormatPr baseColWidth="10" defaultRowHeight="14.25" x14ac:dyDescent="0.45"/>
  <cols>
    <col min="1" max="1" width="18.53125" bestFit="1" customWidth="1"/>
    <col min="2" max="2" width="20.06640625" style="7" bestFit="1" customWidth="1"/>
  </cols>
  <sheetData>
    <row r="3" spans="1:2" x14ac:dyDescent="0.45">
      <c r="A3" s="4" t="s">
        <v>214</v>
      </c>
      <c r="B3" s="7" t="s">
        <v>217</v>
      </c>
    </row>
    <row r="4" spans="1:2" x14ac:dyDescent="0.45">
      <c r="A4" s="5" t="s">
        <v>42</v>
      </c>
      <c r="B4" s="7">
        <v>92037.037037037036</v>
      </c>
    </row>
    <row r="5" spans="1:2" x14ac:dyDescent="0.45">
      <c r="A5" s="5" t="s">
        <v>16</v>
      </c>
      <c r="B5" s="7">
        <v>85454.545454545456</v>
      </c>
    </row>
    <row r="6" spans="1:2" x14ac:dyDescent="0.45">
      <c r="A6" s="5" t="s">
        <v>29</v>
      </c>
      <c r="B6" s="7">
        <v>89090.909090909088</v>
      </c>
    </row>
    <row r="7" spans="1:2" x14ac:dyDescent="0.45">
      <c r="A7" s="5" t="s">
        <v>21</v>
      </c>
      <c r="B7" s="7">
        <v>80714.28571428571</v>
      </c>
    </row>
    <row r="8" spans="1:2" x14ac:dyDescent="0.45">
      <c r="A8" s="5" t="s">
        <v>215</v>
      </c>
      <c r="B8" s="7">
        <v>86717.171717171717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8F67-BC4C-4423-8D31-E73AF3B88691}">
  <dimension ref="A3:B6"/>
  <sheetViews>
    <sheetView workbookViewId="0">
      <selection activeCell="L14" sqref="L14"/>
    </sheetView>
  </sheetViews>
  <sheetFormatPr baseColWidth="10" defaultRowHeight="14.25" x14ac:dyDescent="0.45"/>
  <cols>
    <col min="1" max="1" width="18.53125" bestFit="1" customWidth="1"/>
    <col min="2" max="2" width="11.59765625" bestFit="1" customWidth="1"/>
  </cols>
  <sheetData>
    <row r="3" spans="1:2" x14ac:dyDescent="0.45">
      <c r="A3" s="4" t="s">
        <v>214</v>
      </c>
      <c r="B3" t="s">
        <v>216</v>
      </c>
    </row>
    <row r="4" spans="1:2" x14ac:dyDescent="0.45">
      <c r="A4" s="5" t="s">
        <v>14</v>
      </c>
      <c r="B4" s="6">
        <v>47</v>
      </c>
    </row>
    <row r="5" spans="1:2" x14ac:dyDescent="0.45">
      <c r="A5" s="5" t="s">
        <v>19</v>
      </c>
      <c r="B5" s="6">
        <v>52</v>
      </c>
    </row>
    <row r="6" spans="1:2" x14ac:dyDescent="0.45">
      <c r="A6" s="5" t="s">
        <v>215</v>
      </c>
      <c r="B6" s="6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B10B-A555-4FD4-9F8A-631EC53ECED8}">
  <dimension ref="A3:B10"/>
  <sheetViews>
    <sheetView workbookViewId="0">
      <selection activeCell="J1" sqref="J1"/>
    </sheetView>
  </sheetViews>
  <sheetFormatPr baseColWidth="10" defaultRowHeight="14.25" x14ac:dyDescent="0.45"/>
  <cols>
    <col min="1" max="1" width="18.53125" bestFit="1" customWidth="1"/>
    <col min="2" max="2" width="11.59765625" bestFit="1" customWidth="1"/>
  </cols>
  <sheetData>
    <row r="3" spans="1:2" x14ac:dyDescent="0.45">
      <c r="A3" s="4" t="s">
        <v>214</v>
      </c>
      <c r="B3" t="s">
        <v>216</v>
      </c>
    </row>
    <row r="4" spans="1:2" x14ac:dyDescent="0.45">
      <c r="A4" s="5" t="s">
        <v>47</v>
      </c>
      <c r="B4" s="6">
        <v>11</v>
      </c>
    </row>
    <row r="5" spans="1:2" x14ac:dyDescent="0.45">
      <c r="A5" s="5" t="s">
        <v>28</v>
      </c>
      <c r="B5" s="6">
        <v>16</v>
      </c>
    </row>
    <row r="6" spans="1:2" x14ac:dyDescent="0.45">
      <c r="A6" s="5" t="s">
        <v>15</v>
      </c>
      <c r="B6" s="6">
        <v>22</v>
      </c>
    </row>
    <row r="7" spans="1:2" x14ac:dyDescent="0.45">
      <c r="A7" s="5" t="s">
        <v>32</v>
      </c>
      <c r="B7" s="6">
        <v>21</v>
      </c>
    </row>
    <row r="8" spans="1:2" x14ac:dyDescent="0.45">
      <c r="A8" s="5" t="s">
        <v>35</v>
      </c>
      <c r="B8" s="6">
        <v>13</v>
      </c>
    </row>
    <row r="9" spans="1:2" x14ac:dyDescent="0.45">
      <c r="A9" s="5" t="s">
        <v>20</v>
      </c>
      <c r="B9" s="6">
        <v>16</v>
      </c>
    </row>
    <row r="10" spans="1:2" x14ac:dyDescent="0.45">
      <c r="A10" s="5" t="s">
        <v>215</v>
      </c>
      <c r="B10" s="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DD11-9E48-4B74-896D-0DFB84FFE3BB}">
  <dimension ref="A1:L100"/>
  <sheetViews>
    <sheetView workbookViewId="0">
      <selection activeCell="N11" sqref="N11"/>
    </sheetView>
  </sheetViews>
  <sheetFormatPr baseColWidth="10" defaultRowHeight="14.25" x14ac:dyDescent="0.45"/>
  <cols>
    <col min="2" max="2" width="15" bestFit="1" customWidth="1"/>
    <col min="5" max="5" width="13.06640625" bestFit="1" customWidth="1"/>
    <col min="12" max="12" width="17.398437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s="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>
        <v>14.41</v>
      </c>
      <c r="J2">
        <v>0.91869999999999996</v>
      </c>
      <c r="K2">
        <v>75000</v>
      </c>
      <c r="L2" s="3">
        <v>45854</v>
      </c>
    </row>
    <row r="3" spans="1:12" x14ac:dyDescent="0.45">
      <c r="A3" t="s">
        <v>17</v>
      </c>
      <c r="B3" t="s">
        <v>18</v>
      </c>
      <c r="C3" s="2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>
        <v>12.86</v>
      </c>
      <c r="J3">
        <v>0.81930000000000003</v>
      </c>
      <c r="K3">
        <v>90000</v>
      </c>
      <c r="L3" s="3">
        <v>45633</v>
      </c>
    </row>
    <row r="4" spans="1:12" x14ac:dyDescent="0.45">
      <c r="A4" t="s">
        <v>22</v>
      </c>
      <c r="B4" t="s">
        <v>23</v>
      </c>
      <c r="C4" s="2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>
        <v>13.06</v>
      </c>
      <c r="J4">
        <v>0.79079999999999995</v>
      </c>
      <c r="K4">
        <v>85000</v>
      </c>
      <c r="L4" s="3">
        <v>45682</v>
      </c>
    </row>
    <row r="5" spans="1:12" x14ac:dyDescent="0.45">
      <c r="A5" t="s">
        <v>24</v>
      </c>
      <c r="B5" t="s">
        <v>25</v>
      </c>
      <c r="C5" s="2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>
        <v>14.91</v>
      </c>
      <c r="J5">
        <v>0.76400000000000001</v>
      </c>
      <c r="K5">
        <v>120000</v>
      </c>
      <c r="L5" s="3">
        <v>45844</v>
      </c>
    </row>
    <row r="6" spans="1:12" x14ac:dyDescent="0.45">
      <c r="A6" t="s">
        <v>26</v>
      </c>
      <c r="B6" t="s">
        <v>27</v>
      </c>
      <c r="C6" s="2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>
        <v>13.04</v>
      </c>
      <c r="J6">
        <v>0.73070000000000002</v>
      </c>
      <c r="K6">
        <v>70000</v>
      </c>
      <c r="L6" s="3">
        <v>46019</v>
      </c>
    </row>
    <row r="7" spans="1:12" x14ac:dyDescent="0.45">
      <c r="A7" t="s">
        <v>30</v>
      </c>
      <c r="B7" t="s">
        <v>31</v>
      </c>
      <c r="C7" s="2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>
        <v>11.87</v>
      </c>
      <c r="J7">
        <v>0.7429</v>
      </c>
      <c r="K7">
        <v>85000</v>
      </c>
      <c r="L7" s="3">
        <v>45826</v>
      </c>
    </row>
    <row r="8" spans="1:12" x14ac:dyDescent="0.45">
      <c r="A8" t="s">
        <v>33</v>
      </c>
      <c r="B8" t="s">
        <v>34</v>
      </c>
      <c r="C8" s="2" t="s">
        <v>14</v>
      </c>
      <c r="D8" t="s">
        <v>35</v>
      </c>
      <c r="E8" t="s">
        <v>21</v>
      </c>
      <c r="F8">
        <v>16.97</v>
      </c>
      <c r="G8">
        <v>18.260000000000002</v>
      </c>
      <c r="H8">
        <v>15.2</v>
      </c>
      <c r="I8">
        <v>12.16</v>
      </c>
      <c r="J8">
        <v>0.75839999999999996</v>
      </c>
      <c r="K8">
        <v>60000</v>
      </c>
      <c r="L8" s="3">
        <v>45915</v>
      </c>
    </row>
    <row r="9" spans="1:12" x14ac:dyDescent="0.45">
      <c r="A9" t="s">
        <v>36</v>
      </c>
      <c r="B9" t="s">
        <v>37</v>
      </c>
      <c r="C9" s="2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>
        <v>10.09</v>
      </c>
      <c r="J9">
        <v>0.95250000000000001</v>
      </c>
      <c r="K9">
        <v>90000</v>
      </c>
      <c r="L9" s="3">
        <v>45901</v>
      </c>
    </row>
    <row r="10" spans="1:12" x14ac:dyDescent="0.45">
      <c r="A10" t="s">
        <v>38</v>
      </c>
      <c r="B10" t="s">
        <v>39</v>
      </c>
      <c r="C10" s="2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>
        <v>8.82</v>
      </c>
      <c r="J10">
        <v>0.87990000000000002</v>
      </c>
      <c r="K10">
        <v>50000</v>
      </c>
      <c r="L10" s="3">
        <v>45724</v>
      </c>
    </row>
    <row r="11" spans="1:12" x14ac:dyDescent="0.45">
      <c r="A11" t="s">
        <v>40</v>
      </c>
      <c r="B11" t="s">
        <v>41</v>
      </c>
      <c r="C11" s="2" t="s">
        <v>14</v>
      </c>
      <c r="D11" t="s">
        <v>35</v>
      </c>
      <c r="E11" t="s">
        <v>42</v>
      </c>
      <c r="F11">
        <v>14.93</v>
      </c>
      <c r="G11">
        <v>19.32</v>
      </c>
      <c r="H11">
        <v>17.170000000000002</v>
      </c>
      <c r="I11">
        <v>16.940000000000001</v>
      </c>
      <c r="J11">
        <v>0.74860000000000004</v>
      </c>
      <c r="K11">
        <v>80000</v>
      </c>
      <c r="L11" s="3">
        <v>45731</v>
      </c>
    </row>
    <row r="12" spans="1:12" x14ac:dyDescent="0.45">
      <c r="A12" t="s">
        <v>43</v>
      </c>
      <c r="B12" t="s">
        <v>44</v>
      </c>
      <c r="C12" s="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>
        <v>9.16</v>
      </c>
      <c r="J12">
        <v>0.78959999999999997</v>
      </c>
      <c r="K12">
        <v>50000</v>
      </c>
      <c r="L12" s="3">
        <v>45834</v>
      </c>
    </row>
    <row r="13" spans="1:12" x14ac:dyDescent="0.45">
      <c r="A13" t="s">
        <v>45</v>
      </c>
      <c r="B13" t="s">
        <v>46</v>
      </c>
      <c r="C13" s="2" t="s">
        <v>19</v>
      </c>
      <c r="D13" t="s">
        <v>47</v>
      </c>
      <c r="E13" t="s">
        <v>16</v>
      </c>
      <c r="F13">
        <v>11.19</v>
      </c>
      <c r="G13">
        <v>7.93</v>
      </c>
      <c r="H13">
        <v>8.2100000000000009</v>
      </c>
      <c r="I13">
        <v>11.22</v>
      </c>
      <c r="J13">
        <v>0.9133</v>
      </c>
      <c r="K13">
        <v>75000</v>
      </c>
      <c r="L13" s="3">
        <v>45558</v>
      </c>
    </row>
    <row r="14" spans="1:12" x14ac:dyDescent="0.45">
      <c r="A14" t="s">
        <v>48</v>
      </c>
      <c r="B14" t="s">
        <v>49</v>
      </c>
      <c r="C14" s="2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>
        <v>14.9</v>
      </c>
      <c r="J14">
        <v>0.87109999999999999</v>
      </c>
      <c r="K14">
        <v>85000</v>
      </c>
      <c r="L14" s="3">
        <v>46015</v>
      </c>
    </row>
    <row r="15" spans="1:12" x14ac:dyDescent="0.45">
      <c r="A15" t="s">
        <v>50</v>
      </c>
      <c r="B15" t="s">
        <v>51</v>
      </c>
      <c r="C15" s="2" t="s">
        <v>19</v>
      </c>
      <c r="D15" t="s">
        <v>32</v>
      </c>
      <c r="E15" t="s">
        <v>42</v>
      </c>
      <c r="F15">
        <v>17.22</v>
      </c>
      <c r="G15">
        <v>16.38</v>
      </c>
      <c r="H15">
        <v>14.95</v>
      </c>
      <c r="I15">
        <v>15.12</v>
      </c>
      <c r="J15">
        <v>0.73260000000000003</v>
      </c>
      <c r="K15">
        <v>75000</v>
      </c>
      <c r="L15" s="3">
        <v>45966</v>
      </c>
    </row>
    <row r="16" spans="1:12" x14ac:dyDescent="0.45">
      <c r="A16" t="s">
        <v>52</v>
      </c>
      <c r="B16" t="s">
        <v>53</v>
      </c>
      <c r="C16" s="2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>
        <v>12.28</v>
      </c>
      <c r="J16">
        <v>0.95089999999999997</v>
      </c>
      <c r="K16">
        <v>80000</v>
      </c>
      <c r="L16" s="3">
        <v>45750</v>
      </c>
    </row>
    <row r="17" spans="1:12" x14ac:dyDescent="0.45">
      <c r="A17" t="s">
        <v>54</v>
      </c>
      <c r="B17" t="s">
        <v>55</v>
      </c>
      <c r="C17" s="2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>
        <v>13.08</v>
      </c>
      <c r="J17">
        <v>0.79810000000000003</v>
      </c>
      <c r="K17">
        <v>60000</v>
      </c>
      <c r="L17" s="3">
        <v>45797</v>
      </c>
    </row>
    <row r="18" spans="1:12" x14ac:dyDescent="0.45">
      <c r="A18" t="s">
        <v>56</v>
      </c>
      <c r="B18" t="s">
        <v>57</v>
      </c>
      <c r="C18" s="2" t="s">
        <v>19</v>
      </c>
      <c r="D18" t="s">
        <v>15</v>
      </c>
      <c r="E18" t="s">
        <v>42</v>
      </c>
      <c r="F18">
        <v>18.2</v>
      </c>
      <c r="G18">
        <v>16.52</v>
      </c>
      <c r="H18">
        <v>13.29</v>
      </c>
      <c r="I18">
        <v>13.86</v>
      </c>
      <c r="J18">
        <v>0.84589999999999999</v>
      </c>
      <c r="K18">
        <v>100000</v>
      </c>
      <c r="L18" s="3">
        <v>45766</v>
      </c>
    </row>
    <row r="19" spans="1:12" x14ac:dyDescent="0.45">
      <c r="A19" t="s">
        <v>58</v>
      </c>
      <c r="B19" t="s">
        <v>59</v>
      </c>
      <c r="C19" s="2" t="s">
        <v>14</v>
      </c>
      <c r="D19" t="s">
        <v>15</v>
      </c>
      <c r="E19" t="s">
        <v>42</v>
      </c>
      <c r="F19">
        <v>15.58</v>
      </c>
      <c r="G19">
        <v>11.27</v>
      </c>
      <c r="H19">
        <v>16.43</v>
      </c>
      <c r="I19">
        <v>13.24</v>
      </c>
      <c r="J19">
        <v>0.55000000000000004</v>
      </c>
      <c r="K19">
        <v>110000</v>
      </c>
      <c r="L19" s="3">
        <v>45991</v>
      </c>
    </row>
    <row r="20" spans="1:12" x14ac:dyDescent="0.45">
      <c r="A20" t="s">
        <v>60</v>
      </c>
      <c r="B20" t="s">
        <v>61</v>
      </c>
      <c r="C20" s="2" t="s">
        <v>19</v>
      </c>
      <c r="D20" t="s">
        <v>15</v>
      </c>
      <c r="E20" t="s">
        <v>42</v>
      </c>
      <c r="F20">
        <v>15.42</v>
      </c>
      <c r="G20">
        <v>17.21</v>
      </c>
      <c r="H20">
        <v>16.010000000000002</v>
      </c>
      <c r="I20">
        <v>14.75</v>
      </c>
      <c r="J20">
        <v>0.55000000000000004</v>
      </c>
      <c r="K20">
        <v>85000</v>
      </c>
      <c r="L20" s="3">
        <v>46067</v>
      </c>
    </row>
    <row r="21" spans="1:12" x14ac:dyDescent="0.45">
      <c r="A21" t="s">
        <v>62</v>
      </c>
      <c r="B21" t="s">
        <v>63</v>
      </c>
      <c r="C21" s="2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>
        <v>9.27</v>
      </c>
      <c r="J21">
        <v>0.82350000000000001</v>
      </c>
      <c r="K21">
        <v>50000</v>
      </c>
      <c r="L21" s="3">
        <v>45612</v>
      </c>
    </row>
    <row r="22" spans="1:12" x14ac:dyDescent="0.45">
      <c r="A22" t="s">
        <v>64</v>
      </c>
      <c r="B22" t="s">
        <v>65</v>
      </c>
      <c r="C22" s="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>
        <v>12.5</v>
      </c>
      <c r="J22">
        <v>0.87709999999999999</v>
      </c>
      <c r="K22">
        <v>50000</v>
      </c>
      <c r="L22" s="3">
        <v>45825</v>
      </c>
    </row>
    <row r="23" spans="1:12" x14ac:dyDescent="0.45">
      <c r="A23" t="s">
        <v>66</v>
      </c>
      <c r="B23" t="s">
        <v>67</v>
      </c>
      <c r="C23" s="2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>
        <v>8.1</v>
      </c>
      <c r="J23">
        <v>0.83630000000000004</v>
      </c>
      <c r="K23">
        <v>100000</v>
      </c>
      <c r="L23" s="3">
        <v>45545</v>
      </c>
    </row>
    <row r="24" spans="1:12" x14ac:dyDescent="0.45">
      <c r="A24" t="s">
        <v>68</v>
      </c>
      <c r="B24" t="s">
        <v>69</v>
      </c>
      <c r="C24" s="2" t="s">
        <v>14</v>
      </c>
      <c r="D24" t="s">
        <v>47</v>
      </c>
      <c r="E24" t="s">
        <v>42</v>
      </c>
      <c r="F24">
        <v>10.3</v>
      </c>
      <c r="G24">
        <v>11.97</v>
      </c>
      <c r="H24">
        <v>13.81</v>
      </c>
      <c r="I24">
        <v>10.81</v>
      </c>
      <c r="J24">
        <v>0.94589999999999996</v>
      </c>
      <c r="K24">
        <v>130000</v>
      </c>
      <c r="L24" s="3">
        <v>45852</v>
      </c>
    </row>
    <row r="25" spans="1:12" x14ac:dyDescent="0.45">
      <c r="A25" t="s">
        <v>70</v>
      </c>
      <c r="B25" t="s">
        <v>71</v>
      </c>
      <c r="C25" s="2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>
        <v>16.63</v>
      </c>
      <c r="J25">
        <v>0.58579999999999999</v>
      </c>
      <c r="K25">
        <v>120000</v>
      </c>
      <c r="L25" s="3">
        <v>45709</v>
      </c>
    </row>
    <row r="26" spans="1:12" x14ac:dyDescent="0.45">
      <c r="A26" t="s">
        <v>72</v>
      </c>
      <c r="B26" t="s">
        <v>73</v>
      </c>
      <c r="C26" s="2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>
        <v>17.84</v>
      </c>
      <c r="J26">
        <v>0.9405</v>
      </c>
      <c r="K26">
        <v>80000</v>
      </c>
      <c r="L26" s="3">
        <v>45771</v>
      </c>
    </row>
    <row r="27" spans="1:12" x14ac:dyDescent="0.45">
      <c r="A27" t="s">
        <v>74</v>
      </c>
      <c r="B27" t="s">
        <v>75</v>
      </c>
      <c r="C27" s="2" t="s">
        <v>19</v>
      </c>
      <c r="D27" t="s">
        <v>32</v>
      </c>
      <c r="E27" t="s">
        <v>42</v>
      </c>
      <c r="F27">
        <v>18.41</v>
      </c>
      <c r="G27">
        <v>20</v>
      </c>
      <c r="H27">
        <v>14.71</v>
      </c>
      <c r="I27">
        <v>20</v>
      </c>
      <c r="J27">
        <v>0.81899999999999995</v>
      </c>
      <c r="K27">
        <v>85000</v>
      </c>
      <c r="L27" s="3">
        <v>45855</v>
      </c>
    </row>
    <row r="28" spans="1:12" x14ac:dyDescent="0.45">
      <c r="A28" t="s">
        <v>76</v>
      </c>
      <c r="B28" t="s">
        <v>77</v>
      </c>
      <c r="C28" s="2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>
        <v>20</v>
      </c>
      <c r="J28">
        <v>0.76739999999999997</v>
      </c>
      <c r="K28">
        <v>60000</v>
      </c>
      <c r="L28" s="3">
        <v>45762</v>
      </c>
    </row>
    <row r="29" spans="1:12" x14ac:dyDescent="0.45">
      <c r="A29" t="s">
        <v>78</v>
      </c>
      <c r="B29" t="s">
        <v>79</v>
      </c>
      <c r="C29" s="2" t="s">
        <v>19</v>
      </c>
      <c r="D29" t="s">
        <v>47</v>
      </c>
      <c r="E29" t="s">
        <v>29</v>
      </c>
      <c r="F29">
        <v>8.86</v>
      </c>
      <c r="G29">
        <v>14.37</v>
      </c>
      <c r="H29">
        <v>11.44</v>
      </c>
      <c r="I29">
        <v>14.76</v>
      </c>
      <c r="J29">
        <v>0.81159999999999999</v>
      </c>
      <c r="K29">
        <v>50000</v>
      </c>
      <c r="L29" s="3">
        <v>45811</v>
      </c>
    </row>
    <row r="30" spans="1:12" x14ac:dyDescent="0.45">
      <c r="A30" t="s">
        <v>80</v>
      </c>
      <c r="B30" t="s">
        <v>53</v>
      </c>
      <c r="C30" s="2" t="s">
        <v>19</v>
      </c>
      <c r="D30" t="s">
        <v>15</v>
      </c>
      <c r="E30" t="s">
        <v>42</v>
      </c>
      <c r="F30">
        <v>14.37</v>
      </c>
      <c r="G30">
        <v>14.83</v>
      </c>
      <c r="H30">
        <v>17</v>
      </c>
      <c r="I30">
        <v>17.43</v>
      </c>
      <c r="J30">
        <v>0.97089999999999999</v>
      </c>
      <c r="K30">
        <v>110000</v>
      </c>
      <c r="L30" s="3">
        <v>46071</v>
      </c>
    </row>
    <row r="31" spans="1:12" x14ac:dyDescent="0.45">
      <c r="A31" t="s">
        <v>81</v>
      </c>
      <c r="B31" t="s">
        <v>82</v>
      </c>
      <c r="C31" s="2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>
        <v>0.55000000000000004</v>
      </c>
      <c r="K31">
        <v>80000</v>
      </c>
      <c r="L31" s="3">
        <v>46103</v>
      </c>
    </row>
    <row r="32" spans="1:12" x14ac:dyDescent="0.45">
      <c r="A32" t="s">
        <v>83</v>
      </c>
      <c r="B32" t="s">
        <v>84</v>
      </c>
      <c r="C32" s="2" t="s">
        <v>14</v>
      </c>
      <c r="D32" t="s">
        <v>35</v>
      </c>
      <c r="E32" t="s">
        <v>21</v>
      </c>
      <c r="F32">
        <v>12.24</v>
      </c>
      <c r="G32">
        <v>16.73</v>
      </c>
      <c r="H32">
        <v>9.0399999999999991</v>
      </c>
      <c r="I32">
        <v>17.5</v>
      </c>
      <c r="J32">
        <v>0.98560000000000003</v>
      </c>
      <c r="K32">
        <v>85000</v>
      </c>
      <c r="L32" s="3">
        <v>45540</v>
      </c>
    </row>
    <row r="33" spans="1:12" x14ac:dyDescent="0.45">
      <c r="A33" t="s">
        <v>85</v>
      </c>
      <c r="B33" t="s">
        <v>86</v>
      </c>
      <c r="C33" s="2" t="s">
        <v>14</v>
      </c>
      <c r="D33" t="s">
        <v>35</v>
      </c>
      <c r="E33" t="s">
        <v>16</v>
      </c>
      <c r="F33">
        <v>19.11</v>
      </c>
      <c r="G33">
        <v>12.44</v>
      </c>
      <c r="H33">
        <v>15.6</v>
      </c>
      <c r="I33">
        <v>17.84</v>
      </c>
      <c r="J33">
        <v>0.93830000000000002</v>
      </c>
      <c r="K33">
        <v>75000</v>
      </c>
      <c r="L33" s="3">
        <v>45800</v>
      </c>
    </row>
    <row r="34" spans="1:12" x14ac:dyDescent="0.45">
      <c r="A34" t="s">
        <v>87</v>
      </c>
      <c r="B34" t="s">
        <v>88</v>
      </c>
      <c r="C34" s="2" t="s">
        <v>14</v>
      </c>
      <c r="D34" t="s">
        <v>47</v>
      </c>
      <c r="E34" t="s">
        <v>29</v>
      </c>
      <c r="F34">
        <v>15.66</v>
      </c>
      <c r="G34">
        <v>16.04</v>
      </c>
      <c r="H34">
        <v>12.03</v>
      </c>
      <c r="I34">
        <v>17.8</v>
      </c>
      <c r="J34">
        <v>0.79310000000000003</v>
      </c>
      <c r="K34">
        <v>75000</v>
      </c>
      <c r="L34" s="3">
        <v>46128</v>
      </c>
    </row>
    <row r="35" spans="1:12" x14ac:dyDescent="0.45">
      <c r="A35" t="s">
        <v>89</v>
      </c>
      <c r="B35" t="s">
        <v>90</v>
      </c>
      <c r="C35" s="2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>
        <v>14.79</v>
      </c>
      <c r="J35">
        <v>0.85240000000000005</v>
      </c>
      <c r="K35">
        <v>130000</v>
      </c>
      <c r="L35" s="3">
        <v>45907</v>
      </c>
    </row>
    <row r="36" spans="1:12" x14ac:dyDescent="0.45">
      <c r="A36" t="s">
        <v>91</v>
      </c>
      <c r="B36" t="s">
        <v>92</v>
      </c>
      <c r="C36" s="2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>
        <v>10.91</v>
      </c>
      <c r="J36">
        <v>0.75270000000000004</v>
      </c>
      <c r="K36">
        <v>110000</v>
      </c>
      <c r="L36" s="3">
        <v>45679</v>
      </c>
    </row>
    <row r="37" spans="1:12" x14ac:dyDescent="0.45">
      <c r="A37" t="s">
        <v>93</v>
      </c>
      <c r="B37" t="s">
        <v>94</v>
      </c>
      <c r="C37" s="2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>
        <v>12.15</v>
      </c>
      <c r="J37">
        <v>0.7046</v>
      </c>
      <c r="K37">
        <v>100000</v>
      </c>
      <c r="L37" s="3">
        <v>45951</v>
      </c>
    </row>
    <row r="38" spans="1:12" x14ac:dyDescent="0.45">
      <c r="A38" t="s">
        <v>95</v>
      </c>
      <c r="B38" t="s">
        <v>96</v>
      </c>
      <c r="C38" s="2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>
        <v>14.43</v>
      </c>
      <c r="J38">
        <v>0.92279999999999995</v>
      </c>
      <c r="K38">
        <v>80000</v>
      </c>
      <c r="L38" s="3">
        <v>45637</v>
      </c>
    </row>
    <row r="39" spans="1:12" x14ac:dyDescent="0.45">
      <c r="A39" t="s">
        <v>97</v>
      </c>
      <c r="B39" t="s">
        <v>98</v>
      </c>
      <c r="C39" s="2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>
        <v>14.78</v>
      </c>
      <c r="J39">
        <v>0.82920000000000005</v>
      </c>
      <c r="K39">
        <v>100000</v>
      </c>
      <c r="L39" s="3">
        <v>45551</v>
      </c>
    </row>
    <row r="40" spans="1:12" x14ac:dyDescent="0.45">
      <c r="A40" t="s">
        <v>99</v>
      </c>
      <c r="B40" t="s">
        <v>100</v>
      </c>
      <c r="C40" s="2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>
        <v>12.77</v>
      </c>
      <c r="J40">
        <v>0.92720000000000002</v>
      </c>
      <c r="K40">
        <v>75000</v>
      </c>
      <c r="L40" s="3">
        <v>45978</v>
      </c>
    </row>
    <row r="41" spans="1:12" x14ac:dyDescent="0.45">
      <c r="A41" t="s">
        <v>101</v>
      </c>
      <c r="B41" t="s">
        <v>71</v>
      </c>
      <c r="C41" s="2" t="s">
        <v>19</v>
      </c>
      <c r="D41" t="s">
        <v>47</v>
      </c>
      <c r="E41" t="s">
        <v>16</v>
      </c>
      <c r="F41">
        <v>13.55</v>
      </c>
      <c r="G41">
        <v>13.79</v>
      </c>
      <c r="H41">
        <v>18.309999999999999</v>
      </c>
      <c r="I41">
        <v>14.86</v>
      </c>
      <c r="J41">
        <v>0.95599999999999996</v>
      </c>
      <c r="K41">
        <v>85000</v>
      </c>
      <c r="L41" s="3">
        <v>45896</v>
      </c>
    </row>
    <row r="42" spans="1:12" x14ac:dyDescent="0.45">
      <c r="A42" t="s">
        <v>102</v>
      </c>
      <c r="B42" t="s">
        <v>103</v>
      </c>
      <c r="C42" s="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>
        <v>7.17</v>
      </c>
      <c r="J42">
        <v>0.77600000000000002</v>
      </c>
      <c r="K42">
        <v>60000</v>
      </c>
      <c r="L42" s="3">
        <v>46065</v>
      </c>
    </row>
    <row r="43" spans="1:12" x14ac:dyDescent="0.45">
      <c r="A43" t="s">
        <v>104</v>
      </c>
      <c r="B43" t="s">
        <v>105</v>
      </c>
      <c r="C43" s="2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>
        <v>19.309999999999999</v>
      </c>
      <c r="J43">
        <v>0.90200000000000002</v>
      </c>
      <c r="K43">
        <v>100000</v>
      </c>
      <c r="L43" s="3">
        <v>45777</v>
      </c>
    </row>
    <row r="44" spans="1:12" x14ac:dyDescent="0.45">
      <c r="A44" t="s">
        <v>106</v>
      </c>
      <c r="B44" t="s">
        <v>107</v>
      </c>
      <c r="C44" s="2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>
        <v>13.98</v>
      </c>
      <c r="J44">
        <v>0.94040000000000001</v>
      </c>
      <c r="K44">
        <v>50000</v>
      </c>
      <c r="L44" s="3">
        <v>46133</v>
      </c>
    </row>
    <row r="45" spans="1:12" x14ac:dyDescent="0.45">
      <c r="A45" t="s">
        <v>108</v>
      </c>
      <c r="B45" t="s">
        <v>109</v>
      </c>
      <c r="C45" s="2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>
        <v>10.94</v>
      </c>
      <c r="J45">
        <v>0.86899999999999999</v>
      </c>
      <c r="K45">
        <v>100000</v>
      </c>
      <c r="L45" s="3">
        <v>45830</v>
      </c>
    </row>
    <row r="46" spans="1:12" x14ac:dyDescent="0.45">
      <c r="A46" t="s">
        <v>110</v>
      </c>
      <c r="B46" t="s">
        <v>111</v>
      </c>
      <c r="C46" s="2" t="s">
        <v>14</v>
      </c>
      <c r="D46" t="s">
        <v>47</v>
      </c>
      <c r="E46" t="s">
        <v>42</v>
      </c>
      <c r="F46">
        <v>17.010000000000002</v>
      </c>
      <c r="G46">
        <v>16.510000000000002</v>
      </c>
      <c r="H46">
        <v>20</v>
      </c>
      <c r="I46">
        <v>20</v>
      </c>
      <c r="J46">
        <v>0.91449999999999998</v>
      </c>
      <c r="K46">
        <v>90000</v>
      </c>
      <c r="L46" s="3">
        <v>46052</v>
      </c>
    </row>
    <row r="47" spans="1:12" x14ac:dyDescent="0.45">
      <c r="A47" t="s">
        <v>112</v>
      </c>
      <c r="B47" t="s">
        <v>113</v>
      </c>
      <c r="C47" s="2" t="s">
        <v>19</v>
      </c>
      <c r="D47" t="s">
        <v>35</v>
      </c>
      <c r="E47" t="s">
        <v>42</v>
      </c>
      <c r="F47">
        <v>10.33</v>
      </c>
      <c r="G47">
        <v>12.77</v>
      </c>
      <c r="H47">
        <v>14.98</v>
      </c>
      <c r="I47">
        <v>12.66</v>
      </c>
      <c r="J47">
        <v>0.98260000000000003</v>
      </c>
      <c r="K47">
        <v>50000</v>
      </c>
      <c r="L47" s="3">
        <v>45606</v>
      </c>
    </row>
    <row r="48" spans="1:12" x14ac:dyDescent="0.45">
      <c r="A48" t="s">
        <v>114</v>
      </c>
      <c r="B48" t="s">
        <v>115</v>
      </c>
      <c r="C48" s="2" t="s">
        <v>14</v>
      </c>
      <c r="D48" t="s">
        <v>47</v>
      </c>
      <c r="E48" t="s">
        <v>29</v>
      </c>
      <c r="F48">
        <v>6.68</v>
      </c>
      <c r="G48">
        <v>8.36</v>
      </c>
      <c r="H48">
        <v>7.31</v>
      </c>
      <c r="I48">
        <v>11.94</v>
      </c>
      <c r="J48">
        <v>0.94130000000000003</v>
      </c>
      <c r="K48">
        <v>85000</v>
      </c>
      <c r="L48" s="3">
        <v>45604</v>
      </c>
    </row>
    <row r="49" spans="1:12" x14ac:dyDescent="0.45">
      <c r="A49" t="s">
        <v>116</v>
      </c>
      <c r="B49" t="s">
        <v>117</v>
      </c>
      <c r="C49" s="2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>
        <v>7.74</v>
      </c>
      <c r="J49">
        <v>0.93630000000000002</v>
      </c>
      <c r="K49">
        <v>70000</v>
      </c>
      <c r="L49" s="3">
        <v>46083</v>
      </c>
    </row>
    <row r="50" spans="1:12" x14ac:dyDescent="0.45">
      <c r="A50" t="s">
        <v>118</v>
      </c>
      <c r="B50" t="s">
        <v>119</v>
      </c>
      <c r="C50" s="2" t="s">
        <v>19</v>
      </c>
      <c r="D50" t="s">
        <v>20</v>
      </c>
      <c r="E50" t="s">
        <v>42</v>
      </c>
      <c r="F50">
        <v>9.2799999999999994</v>
      </c>
      <c r="G50">
        <v>10.31</v>
      </c>
      <c r="H50">
        <v>11.11</v>
      </c>
      <c r="I50">
        <v>15.82</v>
      </c>
      <c r="J50">
        <v>0.92930000000000001</v>
      </c>
      <c r="K50">
        <v>85000</v>
      </c>
      <c r="L50" s="3">
        <v>46119</v>
      </c>
    </row>
    <row r="51" spans="1:12" x14ac:dyDescent="0.45">
      <c r="A51" t="s">
        <v>120</v>
      </c>
      <c r="B51" t="s">
        <v>121</v>
      </c>
      <c r="C51" s="2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>
        <v>15.94</v>
      </c>
      <c r="J51">
        <v>0.77490000000000003</v>
      </c>
      <c r="K51">
        <v>50000</v>
      </c>
      <c r="L51" s="3">
        <v>46195</v>
      </c>
    </row>
    <row r="52" spans="1:12" x14ac:dyDescent="0.45">
      <c r="A52" t="s">
        <v>122</v>
      </c>
      <c r="B52" t="s">
        <v>123</v>
      </c>
      <c r="C52" s="2" t="s">
        <v>19</v>
      </c>
      <c r="D52" t="s">
        <v>35</v>
      </c>
      <c r="E52" t="s">
        <v>42</v>
      </c>
      <c r="F52">
        <v>9.2899999999999991</v>
      </c>
      <c r="G52">
        <v>12.74</v>
      </c>
      <c r="H52">
        <v>13.9</v>
      </c>
      <c r="I52">
        <v>13.09</v>
      </c>
      <c r="J52">
        <v>0.95179999999999998</v>
      </c>
      <c r="K52">
        <v>100000</v>
      </c>
      <c r="L52" s="3">
        <v>45763</v>
      </c>
    </row>
    <row r="53" spans="1:12" x14ac:dyDescent="0.45">
      <c r="A53" t="s">
        <v>124</v>
      </c>
      <c r="B53" t="s">
        <v>125</v>
      </c>
      <c r="C53" s="2" t="s">
        <v>14</v>
      </c>
      <c r="D53" t="s">
        <v>47</v>
      </c>
      <c r="E53" t="s">
        <v>42</v>
      </c>
      <c r="F53">
        <v>13.04</v>
      </c>
      <c r="G53">
        <v>9.85</v>
      </c>
      <c r="H53">
        <v>13.14</v>
      </c>
      <c r="I53">
        <v>15.59</v>
      </c>
      <c r="J53">
        <v>0.9385</v>
      </c>
      <c r="K53">
        <v>85000</v>
      </c>
      <c r="L53" s="3">
        <v>45551</v>
      </c>
    </row>
    <row r="54" spans="1:12" x14ac:dyDescent="0.45">
      <c r="A54" t="s">
        <v>126</v>
      </c>
      <c r="B54" t="s">
        <v>127</v>
      </c>
      <c r="C54" s="2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>
        <v>12.56</v>
      </c>
      <c r="J54">
        <v>0.92410000000000003</v>
      </c>
      <c r="K54">
        <v>75000</v>
      </c>
      <c r="L54" s="3">
        <v>46221</v>
      </c>
    </row>
    <row r="55" spans="1:12" x14ac:dyDescent="0.45">
      <c r="A55" t="s">
        <v>128</v>
      </c>
      <c r="B55" t="s">
        <v>129</v>
      </c>
      <c r="C55" s="2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>
        <v>13.72</v>
      </c>
      <c r="J55">
        <v>0.79700000000000004</v>
      </c>
      <c r="K55">
        <v>120000</v>
      </c>
      <c r="L55" s="3">
        <v>45956</v>
      </c>
    </row>
    <row r="56" spans="1:12" x14ac:dyDescent="0.45">
      <c r="A56" t="s">
        <v>130</v>
      </c>
      <c r="B56" t="s">
        <v>131</v>
      </c>
      <c r="C56" s="2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>
        <v>17.46</v>
      </c>
      <c r="J56">
        <v>0.80020000000000002</v>
      </c>
      <c r="K56">
        <v>100000</v>
      </c>
      <c r="L56" s="3">
        <v>45708</v>
      </c>
    </row>
    <row r="57" spans="1:12" x14ac:dyDescent="0.45">
      <c r="A57" t="s">
        <v>132</v>
      </c>
      <c r="B57" t="s">
        <v>133</v>
      </c>
      <c r="C57" s="2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>
        <v>10.44</v>
      </c>
      <c r="J57">
        <v>0.89</v>
      </c>
      <c r="K57">
        <v>90000</v>
      </c>
      <c r="L57" s="3">
        <v>46070</v>
      </c>
    </row>
    <row r="58" spans="1:12" x14ac:dyDescent="0.45">
      <c r="A58" t="s">
        <v>134</v>
      </c>
      <c r="B58" t="s">
        <v>135</v>
      </c>
      <c r="C58" s="2" t="s">
        <v>19</v>
      </c>
      <c r="D58" t="s">
        <v>35</v>
      </c>
      <c r="E58" t="s">
        <v>29</v>
      </c>
      <c r="F58">
        <v>15.91</v>
      </c>
      <c r="G58">
        <v>15.95</v>
      </c>
      <c r="H58">
        <v>14.56</v>
      </c>
      <c r="I58">
        <v>16.36</v>
      </c>
      <c r="J58">
        <v>0.74680000000000002</v>
      </c>
      <c r="K58">
        <v>60000</v>
      </c>
      <c r="L58" s="3">
        <v>46168</v>
      </c>
    </row>
    <row r="59" spans="1:12" x14ac:dyDescent="0.45">
      <c r="A59" t="s">
        <v>136</v>
      </c>
      <c r="B59" t="s">
        <v>103</v>
      </c>
      <c r="C59" s="2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>
        <v>8.67</v>
      </c>
      <c r="J59">
        <v>0.6895</v>
      </c>
      <c r="K59">
        <v>85000</v>
      </c>
      <c r="L59" s="3">
        <v>45735</v>
      </c>
    </row>
    <row r="60" spans="1:12" x14ac:dyDescent="0.45">
      <c r="A60" t="s">
        <v>137</v>
      </c>
      <c r="B60" t="s">
        <v>138</v>
      </c>
      <c r="C60" s="2" t="s">
        <v>19</v>
      </c>
      <c r="D60" t="s">
        <v>32</v>
      </c>
      <c r="E60" t="s">
        <v>42</v>
      </c>
      <c r="F60">
        <v>14.12</v>
      </c>
      <c r="G60">
        <v>15.36</v>
      </c>
      <c r="H60">
        <v>11.46</v>
      </c>
      <c r="I60">
        <v>16.71</v>
      </c>
      <c r="J60">
        <v>0.9617</v>
      </c>
      <c r="K60">
        <v>100000</v>
      </c>
      <c r="L60" s="3">
        <v>46074</v>
      </c>
    </row>
    <row r="61" spans="1:12" x14ac:dyDescent="0.45">
      <c r="A61" t="s">
        <v>139</v>
      </c>
      <c r="B61" t="s">
        <v>140</v>
      </c>
      <c r="C61" s="2" t="s">
        <v>19</v>
      </c>
      <c r="D61" t="s">
        <v>35</v>
      </c>
      <c r="E61" t="s">
        <v>42</v>
      </c>
      <c r="F61">
        <v>9.1</v>
      </c>
      <c r="G61">
        <v>6.23</v>
      </c>
      <c r="H61">
        <v>4.51</v>
      </c>
      <c r="I61">
        <v>3.81</v>
      </c>
      <c r="J61">
        <v>0.91279999999999994</v>
      </c>
      <c r="K61">
        <v>130000</v>
      </c>
      <c r="L61" s="3">
        <v>46087</v>
      </c>
    </row>
    <row r="62" spans="1:12" x14ac:dyDescent="0.45">
      <c r="A62" t="s">
        <v>141</v>
      </c>
      <c r="B62" t="s">
        <v>142</v>
      </c>
      <c r="C62" s="2" t="s">
        <v>19</v>
      </c>
      <c r="D62" t="s">
        <v>20</v>
      </c>
      <c r="E62" t="s">
        <v>42</v>
      </c>
      <c r="F62">
        <v>14.32</v>
      </c>
      <c r="G62">
        <v>15.29</v>
      </c>
      <c r="H62">
        <v>12.15</v>
      </c>
      <c r="I62">
        <v>17.04</v>
      </c>
      <c r="J62">
        <v>0.55000000000000004</v>
      </c>
      <c r="K62">
        <v>90000</v>
      </c>
      <c r="L62" s="3">
        <v>45887</v>
      </c>
    </row>
    <row r="63" spans="1:12" x14ac:dyDescent="0.45">
      <c r="A63" t="s">
        <v>143</v>
      </c>
      <c r="B63" t="s">
        <v>144</v>
      </c>
      <c r="C63" s="2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>
        <v>12.16</v>
      </c>
      <c r="J63">
        <v>0.95489999999999997</v>
      </c>
      <c r="K63">
        <v>60000</v>
      </c>
      <c r="L63" s="3">
        <v>45978</v>
      </c>
    </row>
    <row r="64" spans="1:12" x14ac:dyDescent="0.45">
      <c r="A64" t="s">
        <v>145</v>
      </c>
      <c r="B64" t="s">
        <v>146</v>
      </c>
      <c r="C64" s="2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>
        <v>15.34</v>
      </c>
      <c r="J64">
        <v>0.84250000000000003</v>
      </c>
      <c r="K64">
        <v>100000</v>
      </c>
      <c r="L64" s="3">
        <v>45724</v>
      </c>
    </row>
    <row r="65" spans="1:12" x14ac:dyDescent="0.45">
      <c r="A65" t="s">
        <v>147</v>
      </c>
      <c r="B65" t="s">
        <v>46</v>
      </c>
      <c r="C65" s="2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>
        <v>14.04</v>
      </c>
      <c r="J65">
        <v>0.9204</v>
      </c>
      <c r="K65">
        <v>50000</v>
      </c>
      <c r="L65" s="3">
        <v>46186</v>
      </c>
    </row>
    <row r="66" spans="1:12" x14ac:dyDescent="0.45">
      <c r="A66" t="s">
        <v>148</v>
      </c>
      <c r="B66" t="s">
        <v>149</v>
      </c>
      <c r="C66" s="2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>
        <v>11.57</v>
      </c>
      <c r="J66">
        <v>0.80159999999999998</v>
      </c>
      <c r="K66">
        <v>75000</v>
      </c>
      <c r="L66" s="3">
        <v>46224</v>
      </c>
    </row>
    <row r="67" spans="1:12" x14ac:dyDescent="0.45">
      <c r="A67" t="s">
        <v>150</v>
      </c>
      <c r="B67" t="s">
        <v>151</v>
      </c>
      <c r="C67" s="2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>
        <v>12.89</v>
      </c>
      <c r="J67">
        <v>0.87060000000000004</v>
      </c>
      <c r="K67">
        <v>130000</v>
      </c>
      <c r="L67" s="3">
        <v>46222</v>
      </c>
    </row>
    <row r="68" spans="1:12" x14ac:dyDescent="0.45">
      <c r="A68" t="s">
        <v>152</v>
      </c>
      <c r="B68" t="s">
        <v>153</v>
      </c>
      <c r="C68" s="2" t="s">
        <v>19</v>
      </c>
      <c r="D68" t="s">
        <v>32</v>
      </c>
      <c r="E68" t="s">
        <v>42</v>
      </c>
      <c r="F68">
        <v>12.39</v>
      </c>
      <c r="G68">
        <v>16.12</v>
      </c>
      <c r="H68">
        <v>14.7</v>
      </c>
      <c r="I68">
        <v>12.31</v>
      </c>
      <c r="J68">
        <v>0.84919999999999995</v>
      </c>
      <c r="K68">
        <v>110000</v>
      </c>
      <c r="L68" s="3">
        <v>46051</v>
      </c>
    </row>
    <row r="69" spans="1:12" x14ac:dyDescent="0.45">
      <c r="A69" t="s">
        <v>154</v>
      </c>
      <c r="B69" t="s">
        <v>155</v>
      </c>
      <c r="C69" s="2" t="s">
        <v>14</v>
      </c>
      <c r="D69" t="s">
        <v>35</v>
      </c>
      <c r="E69" t="s">
        <v>29</v>
      </c>
      <c r="F69">
        <v>12.99</v>
      </c>
      <c r="G69">
        <v>13.03</v>
      </c>
      <c r="H69">
        <v>11.16</v>
      </c>
      <c r="I69">
        <v>13.55</v>
      </c>
      <c r="J69">
        <v>0.80720000000000003</v>
      </c>
      <c r="K69">
        <v>120000</v>
      </c>
      <c r="L69" s="3">
        <v>45565</v>
      </c>
    </row>
    <row r="70" spans="1:12" x14ac:dyDescent="0.45">
      <c r="A70" t="s">
        <v>156</v>
      </c>
      <c r="B70" t="s">
        <v>109</v>
      </c>
      <c r="C70" s="2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>
        <v>11.94</v>
      </c>
      <c r="J70">
        <v>0.86950000000000005</v>
      </c>
      <c r="K70">
        <v>75000</v>
      </c>
      <c r="L70" s="3">
        <v>45792</v>
      </c>
    </row>
    <row r="71" spans="1:12" x14ac:dyDescent="0.45">
      <c r="A71" t="s">
        <v>157</v>
      </c>
      <c r="B71" t="s">
        <v>158</v>
      </c>
      <c r="C71" s="2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>
        <v>13.49</v>
      </c>
      <c r="J71">
        <v>0.72430000000000005</v>
      </c>
      <c r="K71">
        <v>100000</v>
      </c>
      <c r="L71" s="3">
        <v>45847</v>
      </c>
    </row>
    <row r="72" spans="1:12" x14ac:dyDescent="0.45">
      <c r="A72" t="s">
        <v>159</v>
      </c>
      <c r="B72" t="s">
        <v>160</v>
      </c>
      <c r="C72" s="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>
        <v>10.68</v>
      </c>
      <c r="J72">
        <v>0.7157</v>
      </c>
      <c r="K72">
        <v>100000</v>
      </c>
      <c r="L72" s="3">
        <v>46207</v>
      </c>
    </row>
    <row r="73" spans="1:12" x14ac:dyDescent="0.45">
      <c r="A73" t="s">
        <v>161</v>
      </c>
      <c r="B73" t="s">
        <v>162</v>
      </c>
      <c r="C73" s="2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>
        <v>16.399999999999999</v>
      </c>
      <c r="J73">
        <v>0.88990000000000002</v>
      </c>
      <c r="K73">
        <v>70000</v>
      </c>
      <c r="L73" s="3">
        <v>45918</v>
      </c>
    </row>
    <row r="74" spans="1:12" x14ac:dyDescent="0.45">
      <c r="A74" t="s">
        <v>163</v>
      </c>
      <c r="B74" t="s">
        <v>164</v>
      </c>
      <c r="C74" s="2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>
        <v>14.69</v>
      </c>
      <c r="J74">
        <v>0.76880000000000004</v>
      </c>
      <c r="K74">
        <v>130000</v>
      </c>
      <c r="L74" s="3">
        <v>45911</v>
      </c>
    </row>
    <row r="75" spans="1:12" x14ac:dyDescent="0.45">
      <c r="A75" t="s">
        <v>165</v>
      </c>
      <c r="B75" t="s">
        <v>127</v>
      </c>
      <c r="C75" s="2" t="s">
        <v>14</v>
      </c>
      <c r="D75" t="s">
        <v>35</v>
      </c>
      <c r="E75" t="s">
        <v>16</v>
      </c>
      <c r="F75">
        <v>9.31</v>
      </c>
      <c r="G75">
        <v>9.74</v>
      </c>
      <c r="H75">
        <v>10.34</v>
      </c>
      <c r="I75">
        <v>10.8</v>
      </c>
      <c r="J75">
        <v>0.90290000000000004</v>
      </c>
      <c r="K75">
        <v>130000</v>
      </c>
      <c r="L75" s="3">
        <v>45638</v>
      </c>
    </row>
    <row r="76" spans="1:12" x14ac:dyDescent="0.45">
      <c r="A76" t="s">
        <v>166</v>
      </c>
      <c r="B76" t="s">
        <v>167</v>
      </c>
      <c r="C76" s="2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>
        <v>17.66</v>
      </c>
      <c r="J76">
        <v>0.96130000000000004</v>
      </c>
      <c r="K76">
        <v>60000</v>
      </c>
      <c r="L76" s="3">
        <v>46091</v>
      </c>
    </row>
    <row r="77" spans="1:12" x14ac:dyDescent="0.45">
      <c r="A77" t="s">
        <v>168</v>
      </c>
      <c r="B77" t="s">
        <v>169</v>
      </c>
      <c r="C77" s="2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>
        <v>17.739999999999998</v>
      </c>
      <c r="J77">
        <v>0.65480000000000005</v>
      </c>
      <c r="K77">
        <v>110000</v>
      </c>
      <c r="L77" s="3">
        <v>45771</v>
      </c>
    </row>
    <row r="78" spans="1:12" x14ac:dyDescent="0.45">
      <c r="A78" t="s">
        <v>170</v>
      </c>
      <c r="B78" t="s">
        <v>103</v>
      </c>
      <c r="C78" s="2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>
        <v>13</v>
      </c>
      <c r="J78">
        <v>0.92200000000000004</v>
      </c>
      <c r="K78">
        <v>80000</v>
      </c>
      <c r="L78" s="3">
        <v>45600</v>
      </c>
    </row>
    <row r="79" spans="1:12" x14ac:dyDescent="0.45">
      <c r="A79" t="s">
        <v>171</v>
      </c>
      <c r="B79" t="s">
        <v>172</v>
      </c>
      <c r="C79" s="2" t="s">
        <v>14</v>
      </c>
      <c r="D79" t="s">
        <v>35</v>
      </c>
      <c r="E79" t="s">
        <v>21</v>
      </c>
      <c r="F79">
        <v>10.82</v>
      </c>
      <c r="G79">
        <v>13.48</v>
      </c>
      <c r="H79">
        <v>15.12</v>
      </c>
      <c r="I79">
        <v>8.9700000000000006</v>
      </c>
      <c r="J79">
        <v>0.83409999999999995</v>
      </c>
      <c r="K79">
        <v>100000</v>
      </c>
      <c r="L79" s="3">
        <v>46227</v>
      </c>
    </row>
    <row r="80" spans="1:12" x14ac:dyDescent="0.45">
      <c r="A80" t="s">
        <v>173</v>
      </c>
      <c r="B80" t="s">
        <v>174</v>
      </c>
      <c r="C80" s="2" t="s">
        <v>19</v>
      </c>
      <c r="D80" t="s">
        <v>15</v>
      </c>
      <c r="E80" t="s">
        <v>42</v>
      </c>
      <c r="F80">
        <v>9.67</v>
      </c>
      <c r="G80">
        <v>11.6</v>
      </c>
      <c r="H80">
        <v>11.74</v>
      </c>
      <c r="I80">
        <v>11.16</v>
      </c>
      <c r="J80">
        <v>0.87749999999999995</v>
      </c>
      <c r="K80">
        <v>90000</v>
      </c>
      <c r="L80" s="3">
        <v>45669</v>
      </c>
    </row>
    <row r="81" spans="1:12" x14ac:dyDescent="0.45">
      <c r="A81" t="s">
        <v>175</v>
      </c>
      <c r="B81" t="s">
        <v>176</v>
      </c>
      <c r="C81" s="2" t="s">
        <v>19</v>
      </c>
      <c r="D81" t="s">
        <v>47</v>
      </c>
      <c r="E81" t="s">
        <v>42</v>
      </c>
      <c r="F81">
        <v>9.24</v>
      </c>
      <c r="G81">
        <v>10.43</v>
      </c>
      <c r="H81">
        <v>9.15</v>
      </c>
      <c r="I81">
        <v>12.93</v>
      </c>
      <c r="J81">
        <v>0.95140000000000002</v>
      </c>
      <c r="K81">
        <v>70000</v>
      </c>
      <c r="L81" s="3">
        <v>45547</v>
      </c>
    </row>
    <row r="82" spans="1:12" x14ac:dyDescent="0.45">
      <c r="A82" t="s">
        <v>177</v>
      </c>
      <c r="B82" t="s">
        <v>178</v>
      </c>
      <c r="C82" s="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>
        <v>11.71</v>
      </c>
      <c r="J82">
        <v>0.84179999999999999</v>
      </c>
      <c r="K82">
        <v>60000</v>
      </c>
      <c r="L82" s="3">
        <v>45590</v>
      </c>
    </row>
    <row r="83" spans="1:12" x14ac:dyDescent="0.45">
      <c r="A83" t="s">
        <v>179</v>
      </c>
      <c r="B83" t="s">
        <v>180</v>
      </c>
      <c r="C83" s="2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>
        <v>8.76</v>
      </c>
      <c r="J83">
        <v>0.93310000000000004</v>
      </c>
      <c r="K83">
        <v>85000</v>
      </c>
      <c r="L83" s="3">
        <v>45852</v>
      </c>
    </row>
    <row r="84" spans="1:12" x14ac:dyDescent="0.45">
      <c r="A84" t="s">
        <v>181</v>
      </c>
      <c r="B84" t="s">
        <v>182</v>
      </c>
      <c r="C84" s="2" t="s">
        <v>14</v>
      </c>
      <c r="D84" t="s">
        <v>47</v>
      </c>
      <c r="E84" t="s">
        <v>16</v>
      </c>
      <c r="F84">
        <v>15.33</v>
      </c>
      <c r="G84">
        <v>13.59</v>
      </c>
      <c r="H84">
        <v>16.829999999999998</v>
      </c>
      <c r="I84">
        <v>13.04</v>
      </c>
      <c r="J84">
        <v>0.93730000000000002</v>
      </c>
      <c r="K84">
        <v>120000</v>
      </c>
      <c r="L84" s="3">
        <v>45608</v>
      </c>
    </row>
    <row r="85" spans="1:12" x14ac:dyDescent="0.45">
      <c r="A85" t="s">
        <v>183</v>
      </c>
      <c r="B85" t="s">
        <v>53</v>
      </c>
      <c r="C85" s="2" t="s">
        <v>19</v>
      </c>
      <c r="D85" t="s">
        <v>20</v>
      </c>
      <c r="E85" t="s">
        <v>42</v>
      </c>
      <c r="F85">
        <v>14.95</v>
      </c>
      <c r="G85">
        <v>11.37</v>
      </c>
      <c r="H85">
        <v>11.56</v>
      </c>
      <c r="I85">
        <v>9.4700000000000006</v>
      </c>
      <c r="J85">
        <v>0.83599999999999997</v>
      </c>
      <c r="K85">
        <v>120000</v>
      </c>
      <c r="L85" s="3">
        <v>46125</v>
      </c>
    </row>
    <row r="86" spans="1:12" x14ac:dyDescent="0.45">
      <c r="A86" t="s">
        <v>184</v>
      </c>
      <c r="B86" t="s">
        <v>185</v>
      </c>
      <c r="C86" s="2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>
        <v>11.15</v>
      </c>
      <c r="J86">
        <v>0.84530000000000005</v>
      </c>
      <c r="K86">
        <v>75000</v>
      </c>
      <c r="L86" s="3">
        <v>45894</v>
      </c>
    </row>
    <row r="87" spans="1:12" x14ac:dyDescent="0.45">
      <c r="A87" t="s">
        <v>186</v>
      </c>
      <c r="B87" t="s">
        <v>73</v>
      </c>
      <c r="C87" s="2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>
        <v>15.26</v>
      </c>
      <c r="J87">
        <v>0.74470000000000003</v>
      </c>
      <c r="K87">
        <v>120000</v>
      </c>
      <c r="L87" s="3">
        <v>45762</v>
      </c>
    </row>
    <row r="88" spans="1:12" x14ac:dyDescent="0.45">
      <c r="A88" t="s">
        <v>187</v>
      </c>
      <c r="B88" t="s">
        <v>188</v>
      </c>
      <c r="C88" s="2" t="s">
        <v>14</v>
      </c>
      <c r="D88" t="s">
        <v>35</v>
      </c>
      <c r="E88" t="s">
        <v>16</v>
      </c>
      <c r="F88">
        <v>19.649999999999999</v>
      </c>
      <c r="G88">
        <v>17.11</v>
      </c>
      <c r="H88">
        <v>18.34</v>
      </c>
      <c r="I88">
        <v>16.72</v>
      </c>
      <c r="J88">
        <v>0.67400000000000004</v>
      </c>
      <c r="K88">
        <v>75000</v>
      </c>
      <c r="L88" s="3">
        <v>45538</v>
      </c>
    </row>
    <row r="89" spans="1:12" x14ac:dyDescent="0.45">
      <c r="A89" t="s">
        <v>189</v>
      </c>
      <c r="B89" t="s">
        <v>190</v>
      </c>
      <c r="C89" s="2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>
        <v>6.07</v>
      </c>
      <c r="J89">
        <v>0.76039999999999996</v>
      </c>
      <c r="K89">
        <v>90000</v>
      </c>
      <c r="L89" s="3">
        <v>45871</v>
      </c>
    </row>
    <row r="90" spans="1:12" x14ac:dyDescent="0.45">
      <c r="A90" t="s">
        <v>191</v>
      </c>
      <c r="B90" t="s">
        <v>192</v>
      </c>
      <c r="C90" s="2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>
        <v>16.79</v>
      </c>
      <c r="J90">
        <v>0.84550000000000003</v>
      </c>
      <c r="K90">
        <v>75000</v>
      </c>
      <c r="L90" s="3">
        <v>45641</v>
      </c>
    </row>
    <row r="91" spans="1:12" x14ac:dyDescent="0.45">
      <c r="A91" t="s">
        <v>193</v>
      </c>
      <c r="B91" t="s">
        <v>194</v>
      </c>
      <c r="C91" s="2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>
        <v>13.43</v>
      </c>
      <c r="J91">
        <v>0.67589999999999995</v>
      </c>
      <c r="K91">
        <v>85000</v>
      </c>
      <c r="L91" s="3">
        <v>46220</v>
      </c>
    </row>
    <row r="92" spans="1:12" x14ac:dyDescent="0.45">
      <c r="A92" t="s">
        <v>195</v>
      </c>
      <c r="B92" t="s">
        <v>196</v>
      </c>
      <c r="C92" s="2" t="s">
        <v>14</v>
      </c>
      <c r="D92" t="s">
        <v>32</v>
      </c>
      <c r="E92" t="s">
        <v>42</v>
      </c>
      <c r="F92">
        <v>15.45</v>
      </c>
      <c r="G92">
        <v>16.77</v>
      </c>
      <c r="H92">
        <v>11.24</v>
      </c>
      <c r="I92">
        <v>11.35</v>
      </c>
      <c r="J92">
        <v>0.89300000000000002</v>
      </c>
      <c r="K92">
        <v>85000</v>
      </c>
      <c r="L92" s="3">
        <v>45739</v>
      </c>
    </row>
    <row r="93" spans="1:12" x14ac:dyDescent="0.45">
      <c r="A93" t="s">
        <v>197</v>
      </c>
      <c r="B93" t="s">
        <v>198</v>
      </c>
      <c r="C93" s="2" t="s">
        <v>19</v>
      </c>
      <c r="D93" t="s">
        <v>47</v>
      </c>
      <c r="E93" t="s">
        <v>21</v>
      </c>
      <c r="F93">
        <v>14.4</v>
      </c>
      <c r="G93">
        <v>11.44</v>
      </c>
      <c r="H93">
        <v>15.58</v>
      </c>
      <c r="I93">
        <v>12.4</v>
      </c>
      <c r="J93">
        <v>0.94669999999999999</v>
      </c>
      <c r="K93">
        <v>100000</v>
      </c>
      <c r="L93" s="3">
        <v>45868</v>
      </c>
    </row>
    <row r="94" spans="1:12" x14ac:dyDescent="0.45">
      <c r="A94" t="s">
        <v>199</v>
      </c>
      <c r="B94" t="s">
        <v>73</v>
      </c>
      <c r="C94" s="2" t="s">
        <v>19</v>
      </c>
      <c r="D94" t="s">
        <v>35</v>
      </c>
      <c r="E94" t="s">
        <v>42</v>
      </c>
      <c r="F94">
        <v>16.260000000000002</v>
      </c>
      <c r="G94">
        <v>12.04</v>
      </c>
      <c r="H94">
        <v>16.62</v>
      </c>
      <c r="I94">
        <v>13.76</v>
      </c>
      <c r="J94">
        <v>0.82809999999999995</v>
      </c>
      <c r="K94">
        <v>85000</v>
      </c>
      <c r="L94" s="3">
        <v>45549</v>
      </c>
    </row>
    <row r="95" spans="1:12" x14ac:dyDescent="0.45">
      <c r="A95" t="s">
        <v>200</v>
      </c>
      <c r="B95" t="s">
        <v>201</v>
      </c>
      <c r="C95" s="2" t="s">
        <v>14</v>
      </c>
      <c r="D95" t="s">
        <v>32</v>
      </c>
      <c r="E95" t="s">
        <v>42</v>
      </c>
      <c r="F95">
        <v>16.86</v>
      </c>
      <c r="G95">
        <v>17.149999999999999</v>
      </c>
      <c r="H95">
        <v>13.37</v>
      </c>
      <c r="I95">
        <v>12.1</v>
      </c>
      <c r="J95">
        <v>0.73799999999999999</v>
      </c>
      <c r="K95">
        <v>85000</v>
      </c>
      <c r="L95" s="3">
        <v>45627</v>
      </c>
    </row>
    <row r="96" spans="1:12" x14ac:dyDescent="0.45">
      <c r="A96" t="s">
        <v>202</v>
      </c>
      <c r="B96" t="s">
        <v>90</v>
      </c>
      <c r="C96" s="2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>
        <v>17.809999999999999</v>
      </c>
      <c r="J96">
        <v>0.88939999999999997</v>
      </c>
      <c r="K96">
        <v>100000</v>
      </c>
      <c r="L96" s="3">
        <v>45681</v>
      </c>
    </row>
    <row r="97" spans="1:12" x14ac:dyDescent="0.45">
      <c r="A97" t="s">
        <v>203</v>
      </c>
      <c r="B97" t="s">
        <v>204</v>
      </c>
      <c r="C97" s="2" t="s">
        <v>14</v>
      </c>
      <c r="D97" t="s">
        <v>32</v>
      </c>
      <c r="E97" t="s">
        <v>42</v>
      </c>
      <c r="F97">
        <v>11.97</v>
      </c>
      <c r="G97">
        <v>11.7</v>
      </c>
      <c r="H97">
        <v>10.27</v>
      </c>
      <c r="I97">
        <v>10.67</v>
      </c>
      <c r="J97">
        <v>0.83150000000000002</v>
      </c>
      <c r="K97">
        <v>80000</v>
      </c>
      <c r="L97" s="3">
        <v>45572</v>
      </c>
    </row>
    <row r="98" spans="1:12" x14ac:dyDescent="0.45">
      <c r="A98" t="s">
        <v>205</v>
      </c>
      <c r="B98" t="s">
        <v>13</v>
      </c>
      <c r="C98" s="2" t="s">
        <v>14</v>
      </c>
      <c r="D98" t="s">
        <v>32</v>
      </c>
      <c r="E98" t="s">
        <v>42</v>
      </c>
      <c r="F98">
        <v>19.989999999999998</v>
      </c>
      <c r="G98">
        <v>15.02</v>
      </c>
      <c r="H98">
        <v>19.13</v>
      </c>
      <c r="I98">
        <v>19.82</v>
      </c>
      <c r="J98">
        <v>0.92949999999999999</v>
      </c>
      <c r="K98">
        <v>85000</v>
      </c>
      <c r="L98" s="3">
        <v>46044</v>
      </c>
    </row>
    <row r="99" spans="1:12" x14ac:dyDescent="0.45">
      <c r="A99" t="s">
        <v>206</v>
      </c>
      <c r="B99" t="s">
        <v>207</v>
      </c>
      <c r="C99" s="2" t="s">
        <v>19</v>
      </c>
      <c r="D99" t="s">
        <v>28</v>
      </c>
      <c r="E99" t="s">
        <v>42</v>
      </c>
      <c r="F99">
        <v>13.82</v>
      </c>
      <c r="G99">
        <v>10.97</v>
      </c>
      <c r="H99">
        <v>8.57</v>
      </c>
      <c r="I99">
        <v>12.67</v>
      </c>
      <c r="J99">
        <v>0.94189999999999996</v>
      </c>
      <c r="K99">
        <v>50000</v>
      </c>
      <c r="L99" s="3">
        <v>46197</v>
      </c>
    </row>
    <row r="100" spans="1:12" x14ac:dyDescent="0.45">
      <c r="A100" t="s">
        <v>208</v>
      </c>
      <c r="B100" t="s">
        <v>98</v>
      </c>
      <c r="C100" s="2" t="s">
        <v>19</v>
      </c>
      <c r="D100" t="s">
        <v>20</v>
      </c>
      <c r="E100" t="s">
        <v>42</v>
      </c>
      <c r="F100">
        <v>12.63</v>
      </c>
      <c r="G100">
        <v>11.11</v>
      </c>
      <c r="H100">
        <v>15.87</v>
      </c>
      <c r="I100">
        <v>11.46</v>
      </c>
      <c r="J100">
        <v>0.92549999999999999</v>
      </c>
      <c r="K100">
        <v>120000</v>
      </c>
      <c r="L100" s="3">
        <v>46225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TCD_Effectifs_Dept</vt:lpstr>
      <vt:lpstr>Dashboard_RH</vt:lpstr>
      <vt:lpstr>TCD_Salaire_Dept</vt:lpstr>
      <vt:lpstr>TCD_Sexe</vt:lpstr>
      <vt:lpstr>TCD_Ville</vt:lpstr>
      <vt:lpstr>Employes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2026-09-04T20:49:18Z</dcterms:created>
  <dcterms:modified xsi:type="dcterms:W3CDTF">2026-09-04T21:51:50Z</dcterms:modified>
</cp:coreProperties>
</file>