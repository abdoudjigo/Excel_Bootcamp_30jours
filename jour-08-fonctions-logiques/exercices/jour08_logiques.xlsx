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8-fonctions-logiques\exercices\"/>
    </mc:Choice>
  </mc:AlternateContent>
  <xr:revisionPtr revIDLastSave="0" documentId="13_ncr:1_{74CDC48F-1C93-4848-9C7F-33721CF1DC97}" xr6:coauthVersionLast="47" xr6:coauthVersionMax="47" xr10:uidLastSave="{00000000-0000-0000-0000-000000000000}"/>
  <bookViews>
    <workbookView xWindow="-98" yWindow="-98" windowWidth="19396" windowHeight="10276" activeTab="2" xr2:uid="{00000000-000D-0000-FFFF-FFFF00000000}"/>
  </bookViews>
  <sheets>
    <sheet name="Pratique_Logique" sheetId="1" r:id="rId1"/>
    <sheet name="Erreurs" sheetId="2" r:id="rId2"/>
    <sheet name="Systeme_Admis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22" i="3" l="1"/>
  <c r="L922" i="3" a="1"/>
  <c r="L922" i="3" s="1"/>
  <c r="M922" i="3"/>
  <c r="N922" i="3"/>
  <c r="K923" i="3"/>
  <c r="L923" i="3" a="1"/>
  <c r="L923" i="3"/>
  <c r="M923" i="3"/>
  <c r="N923" i="3"/>
  <c r="K924" i="3"/>
  <c r="L924" i="3" a="1"/>
  <c r="L924" i="3" s="1"/>
  <c r="M924" i="3"/>
  <c r="N924" i="3"/>
  <c r="K925" i="3"/>
  <c r="L925" i="3" a="1"/>
  <c r="L925" i="3" s="1"/>
  <c r="M925" i="3"/>
  <c r="N925" i="3"/>
  <c r="K926" i="3"/>
  <c r="L926" i="3" a="1"/>
  <c r="L926" i="3" s="1"/>
  <c r="M926" i="3"/>
  <c r="N926" i="3"/>
  <c r="K927" i="3"/>
  <c r="L927" i="3" a="1"/>
  <c r="L927" i="3"/>
  <c r="M927" i="3"/>
  <c r="N927" i="3"/>
  <c r="K928" i="3"/>
  <c r="L928" i="3" a="1"/>
  <c r="L928" i="3" s="1"/>
  <c r="M928" i="3"/>
  <c r="N928" i="3"/>
  <c r="K929" i="3"/>
  <c r="L929" i="3" a="1"/>
  <c r="L929" i="3" s="1"/>
  <c r="M929" i="3"/>
  <c r="N929" i="3"/>
  <c r="K930" i="3"/>
  <c r="L930" i="3" a="1"/>
  <c r="L930" i="3" s="1"/>
  <c r="M930" i="3"/>
  <c r="N930" i="3"/>
  <c r="K931" i="3"/>
  <c r="L931" i="3" a="1"/>
  <c r="L931" i="3"/>
  <c r="M931" i="3"/>
  <c r="N931" i="3"/>
  <c r="K932" i="3"/>
  <c r="L932" i="3" a="1"/>
  <c r="L932" i="3" s="1"/>
  <c r="M932" i="3"/>
  <c r="N932" i="3"/>
  <c r="K933" i="3"/>
  <c r="L933" i="3" a="1"/>
  <c r="L933" i="3"/>
  <c r="M933" i="3"/>
  <c r="N933" i="3"/>
  <c r="K934" i="3"/>
  <c r="L934" i="3" a="1"/>
  <c r="L934" i="3" s="1"/>
  <c r="M934" i="3"/>
  <c r="N934" i="3"/>
  <c r="K935" i="3"/>
  <c r="L935" i="3" a="1"/>
  <c r="L935" i="3"/>
  <c r="M935" i="3"/>
  <c r="N935" i="3"/>
  <c r="K936" i="3"/>
  <c r="L936" i="3" a="1"/>
  <c r="L936" i="3" s="1"/>
  <c r="M936" i="3"/>
  <c r="N936" i="3"/>
  <c r="K937" i="3"/>
  <c r="L937" i="3" a="1"/>
  <c r="L937" i="3"/>
  <c r="M937" i="3"/>
  <c r="N937" i="3"/>
  <c r="K938" i="3"/>
  <c r="L938" i="3" a="1"/>
  <c r="L938" i="3" s="1"/>
  <c r="M938" i="3"/>
  <c r="N938" i="3"/>
  <c r="K939" i="3"/>
  <c r="L939" i="3" a="1"/>
  <c r="L939" i="3"/>
  <c r="M939" i="3"/>
  <c r="N939" i="3"/>
  <c r="K940" i="3"/>
  <c r="L940" i="3" a="1"/>
  <c r="L940" i="3" s="1"/>
  <c r="M940" i="3"/>
  <c r="N940" i="3"/>
  <c r="K941" i="3"/>
  <c r="L941" i="3" a="1"/>
  <c r="L941" i="3"/>
  <c r="M941" i="3"/>
  <c r="N941" i="3"/>
  <c r="K942" i="3"/>
  <c r="L942" i="3" a="1"/>
  <c r="L942" i="3" s="1"/>
  <c r="M942" i="3"/>
  <c r="N942" i="3"/>
  <c r="K943" i="3"/>
  <c r="L943" i="3" a="1"/>
  <c r="L943" i="3"/>
  <c r="M943" i="3"/>
  <c r="N943" i="3"/>
  <c r="K944" i="3"/>
  <c r="L944" i="3" a="1"/>
  <c r="L944" i="3" s="1"/>
  <c r="M944" i="3"/>
  <c r="N944" i="3"/>
  <c r="K945" i="3"/>
  <c r="L945" i="3" a="1"/>
  <c r="L945" i="3"/>
  <c r="M945" i="3"/>
  <c r="N945" i="3"/>
  <c r="K946" i="3"/>
  <c r="L946" i="3" a="1"/>
  <c r="L946" i="3" s="1"/>
  <c r="M946" i="3"/>
  <c r="N946" i="3"/>
  <c r="K947" i="3"/>
  <c r="L947" i="3" a="1"/>
  <c r="L947" i="3"/>
  <c r="M947" i="3"/>
  <c r="N947" i="3"/>
  <c r="K948" i="3"/>
  <c r="L948" i="3" a="1"/>
  <c r="L948" i="3" s="1"/>
  <c r="M948" i="3"/>
  <c r="N948" i="3"/>
  <c r="K949" i="3"/>
  <c r="L949" i="3" a="1"/>
  <c r="L949" i="3"/>
  <c r="M949" i="3"/>
  <c r="N949" i="3"/>
  <c r="K950" i="3"/>
  <c r="L950" i="3" a="1"/>
  <c r="L950" i="3" s="1"/>
  <c r="M950" i="3"/>
  <c r="N950" i="3"/>
  <c r="K951" i="3"/>
  <c r="L951" i="3" a="1"/>
  <c r="L951" i="3"/>
  <c r="M951" i="3"/>
  <c r="N951" i="3"/>
  <c r="K952" i="3"/>
  <c r="L952" i="3" a="1"/>
  <c r="L952" i="3" s="1"/>
  <c r="M952" i="3"/>
  <c r="N952" i="3"/>
  <c r="K953" i="3"/>
  <c r="L953" i="3" a="1"/>
  <c r="L953" i="3"/>
  <c r="M953" i="3"/>
  <c r="N953" i="3"/>
  <c r="K954" i="3"/>
  <c r="L954" i="3" a="1"/>
  <c r="L954" i="3" s="1"/>
  <c r="M954" i="3"/>
  <c r="N954" i="3"/>
  <c r="K955" i="3"/>
  <c r="L955" i="3" a="1"/>
  <c r="L955" i="3"/>
  <c r="M955" i="3"/>
  <c r="N955" i="3"/>
  <c r="K956" i="3"/>
  <c r="L956" i="3" a="1"/>
  <c r="L956" i="3" s="1"/>
  <c r="M956" i="3"/>
  <c r="N956" i="3"/>
  <c r="K957" i="3"/>
  <c r="L957" i="3" a="1"/>
  <c r="L957" i="3"/>
  <c r="M957" i="3"/>
  <c r="N957" i="3"/>
  <c r="K958" i="3"/>
  <c r="L958" i="3" a="1"/>
  <c r="L958" i="3" s="1"/>
  <c r="M958" i="3"/>
  <c r="N958" i="3"/>
  <c r="K959" i="3"/>
  <c r="L959" i="3" a="1"/>
  <c r="L959" i="3"/>
  <c r="M959" i="3"/>
  <c r="N959" i="3"/>
  <c r="K960" i="3"/>
  <c r="L960" i="3" a="1"/>
  <c r="L960" i="3" s="1"/>
  <c r="M960" i="3"/>
  <c r="N960" i="3"/>
  <c r="K961" i="3"/>
  <c r="L961" i="3" a="1"/>
  <c r="L961" i="3"/>
  <c r="M961" i="3"/>
  <c r="N961" i="3"/>
  <c r="K962" i="3"/>
  <c r="L962" i="3" a="1"/>
  <c r="L962" i="3" s="1"/>
  <c r="M962" i="3"/>
  <c r="N962" i="3"/>
  <c r="K963" i="3"/>
  <c r="L963" i="3" a="1"/>
  <c r="L963" i="3"/>
  <c r="M963" i="3"/>
  <c r="N963" i="3"/>
  <c r="K964" i="3"/>
  <c r="L964" i="3" a="1"/>
  <c r="L964" i="3" s="1"/>
  <c r="M964" i="3"/>
  <c r="N964" i="3"/>
  <c r="K965" i="3"/>
  <c r="L965" i="3" a="1"/>
  <c r="L965" i="3"/>
  <c r="M965" i="3"/>
  <c r="N965" i="3"/>
  <c r="K966" i="3"/>
  <c r="L966" i="3" a="1"/>
  <c r="L966" i="3"/>
  <c r="M966" i="3"/>
  <c r="N966" i="3"/>
  <c r="K967" i="3"/>
  <c r="L967" i="3" a="1"/>
  <c r="L967" i="3"/>
  <c r="M967" i="3"/>
  <c r="N967" i="3"/>
  <c r="K968" i="3"/>
  <c r="L968" i="3" a="1"/>
  <c r="L968" i="3" s="1"/>
  <c r="M968" i="3"/>
  <c r="N968" i="3"/>
  <c r="K969" i="3"/>
  <c r="L969" i="3" a="1"/>
  <c r="L969" i="3"/>
  <c r="M969" i="3"/>
  <c r="N969" i="3"/>
  <c r="K970" i="3"/>
  <c r="L970" i="3" a="1"/>
  <c r="L970" i="3" s="1"/>
  <c r="M970" i="3"/>
  <c r="N970" i="3"/>
  <c r="K971" i="3"/>
  <c r="L971" i="3" a="1"/>
  <c r="L971" i="3"/>
  <c r="M971" i="3"/>
  <c r="N971" i="3"/>
  <c r="K972" i="3"/>
  <c r="L972" i="3" a="1"/>
  <c r="L972" i="3" s="1"/>
  <c r="M972" i="3"/>
  <c r="N972" i="3"/>
  <c r="K973" i="3"/>
  <c r="L973" i="3" a="1"/>
  <c r="L973" i="3"/>
  <c r="M973" i="3"/>
  <c r="N973" i="3"/>
  <c r="K974" i="3"/>
  <c r="L974" i="3" a="1"/>
  <c r="L974" i="3"/>
  <c r="M974" i="3"/>
  <c r="N974" i="3"/>
  <c r="K975" i="3"/>
  <c r="L975" i="3" a="1"/>
  <c r="L975" i="3"/>
  <c r="M975" i="3"/>
  <c r="N975" i="3"/>
  <c r="K976" i="3"/>
  <c r="L976" i="3" a="1"/>
  <c r="L976" i="3" s="1"/>
  <c r="M976" i="3"/>
  <c r="N976" i="3"/>
  <c r="K977" i="3"/>
  <c r="L977" i="3" a="1"/>
  <c r="L977" i="3"/>
  <c r="M977" i="3"/>
  <c r="N977" i="3"/>
  <c r="K978" i="3"/>
  <c r="L978" i="3" a="1"/>
  <c r="L978" i="3" s="1"/>
  <c r="M978" i="3"/>
  <c r="N978" i="3"/>
  <c r="K979" i="3"/>
  <c r="L979" i="3" a="1"/>
  <c r="L979" i="3"/>
  <c r="M979" i="3"/>
  <c r="N979" i="3"/>
  <c r="K980" i="3"/>
  <c r="L980" i="3" a="1"/>
  <c r="L980" i="3" s="1"/>
  <c r="M980" i="3"/>
  <c r="N980" i="3"/>
  <c r="K981" i="3"/>
  <c r="L981" i="3" a="1"/>
  <c r="L981" i="3"/>
  <c r="M981" i="3"/>
  <c r="N981" i="3"/>
  <c r="K982" i="3"/>
  <c r="L982" i="3" a="1"/>
  <c r="L982" i="3"/>
  <c r="M982" i="3"/>
  <c r="N982" i="3"/>
  <c r="K983" i="3"/>
  <c r="L983" i="3" a="1"/>
  <c r="L983" i="3"/>
  <c r="M983" i="3"/>
  <c r="N983" i="3"/>
  <c r="K984" i="3"/>
  <c r="L984" i="3" a="1"/>
  <c r="L984" i="3" s="1"/>
  <c r="M984" i="3"/>
  <c r="N984" i="3"/>
  <c r="K985" i="3"/>
  <c r="L985" i="3" a="1"/>
  <c r="L985" i="3"/>
  <c r="M985" i="3"/>
  <c r="N985" i="3"/>
  <c r="K986" i="3"/>
  <c r="L986" i="3" a="1"/>
  <c r="L986" i="3"/>
  <c r="M986" i="3"/>
  <c r="N986" i="3"/>
  <c r="K987" i="3"/>
  <c r="L987" i="3" a="1"/>
  <c r="L987" i="3"/>
  <c r="M987" i="3"/>
  <c r="N987" i="3"/>
  <c r="K988" i="3"/>
  <c r="L988" i="3" a="1"/>
  <c r="L988" i="3" s="1"/>
  <c r="M988" i="3"/>
  <c r="N988" i="3"/>
  <c r="K989" i="3"/>
  <c r="L989" i="3" a="1"/>
  <c r="L989" i="3"/>
  <c r="M989" i="3"/>
  <c r="N989" i="3"/>
  <c r="K990" i="3"/>
  <c r="L990" i="3" a="1"/>
  <c r="L990" i="3"/>
  <c r="M990" i="3"/>
  <c r="N990" i="3"/>
  <c r="K991" i="3"/>
  <c r="L991" i="3" a="1"/>
  <c r="L991" i="3"/>
  <c r="M991" i="3"/>
  <c r="N991" i="3"/>
  <c r="K992" i="3"/>
  <c r="L992" i="3" a="1"/>
  <c r="L992" i="3" s="1"/>
  <c r="M992" i="3"/>
  <c r="N992" i="3"/>
  <c r="K993" i="3"/>
  <c r="L993" i="3" a="1"/>
  <c r="L993" i="3"/>
  <c r="M993" i="3"/>
  <c r="N993" i="3"/>
  <c r="K994" i="3"/>
  <c r="L994" i="3" a="1"/>
  <c r="L994" i="3"/>
  <c r="M994" i="3"/>
  <c r="N994" i="3"/>
  <c r="K995" i="3"/>
  <c r="L995" i="3" a="1"/>
  <c r="L995" i="3"/>
  <c r="M995" i="3"/>
  <c r="N995" i="3"/>
  <c r="K996" i="3"/>
  <c r="L996" i="3" a="1"/>
  <c r="L996" i="3" s="1"/>
  <c r="M996" i="3"/>
  <c r="N996" i="3"/>
  <c r="K997" i="3"/>
  <c r="L997" i="3" a="1"/>
  <c r="L997" i="3"/>
  <c r="M997" i="3"/>
  <c r="N997" i="3"/>
  <c r="K998" i="3"/>
  <c r="L998" i="3" a="1"/>
  <c r="L998" i="3"/>
  <c r="M998" i="3"/>
  <c r="N998" i="3"/>
  <c r="K999" i="3"/>
  <c r="L999" i="3" a="1"/>
  <c r="L999" i="3"/>
  <c r="M999" i="3"/>
  <c r="N999" i="3"/>
  <c r="K1000" i="3"/>
  <c r="L1000" i="3" a="1"/>
  <c r="L1000" i="3" s="1"/>
  <c r="M1000" i="3"/>
  <c r="N1000" i="3"/>
  <c r="K1001" i="3"/>
  <c r="L1001" i="3" a="1"/>
  <c r="L1001" i="3"/>
  <c r="M1001" i="3"/>
  <c r="N1001" i="3"/>
  <c r="K376" i="3"/>
  <c r="L376" i="3" a="1"/>
  <c r="L376" i="3" s="1"/>
  <c r="M376" i="3"/>
  <c r="N376" i="3"/>
  <c r="K377" i="3"/>
  <c r="L377" i="3" a="1"/>
  <c r="L377" i="3"/>
  <c r="M377" i="3"/>
  <c r="N377" i="3"/>
  <c r="K378" i="3"/>
  <c r="L378" i="3" a="1"/>
  <c r="L378" i="3" s="1"/>
  <c r="M378" i="3"/>
  <c r="N378" i="3"/>
  <c r="K379" i="3"/>
  <c r="L379" i="3" a="1"/>
  <c r="L379" i="3" s="1"/>
  <c r="M379" i="3"/>
  <c r="N379" i="3"/>
  <c r="K380" i="3"/>
  <c r="L380" i="3" a="1"/>
  <c r="L380" i="3" s="1"/>
  <c r="M380" i="3"/>
  <c r="N380" i="3"/>
  <c r="K381" i="3"/>
  <c r="L381" i="3" a="1"/>
  <c r="L381" i="3"/>
  <c r="M381" i="3"/>
  <c r="N381" i="3"/>
  <c r="K382" i="3"/>
  <c r="L382" i="3" a="1"/>
  <c r="L382" i="3" s="1"/>
  <c r="M382" i="3"/>
  <c r="N382" i="3"/>
  <c r="K383" i="3"/>
  <c r="L383" i="3" a="1"/>
  <c r="L383" i="3"/>
  <c r="M383" i="3"/>
  <c r="N383" i="3"/>
  <c r="K384" i="3"/>
  <c r="L384" i="3" a="1"/>
  <c r="L384" i="3" s="1"/>
  <c r="M384" i="3"/>
  <c r="N384" i="3"/>
  <c r="K385" i="3"/>
  <c r="L385" i="3" a="1"/>
  <c r="L385" i="3"/>
  <c r="M385" i="3"/>
  <c r="N385" i="3"/>
  <c r="K386" i="3"/>
  <c r="L386" i="3" a="1"/>
  <c r="L386" i="3" s="1"/>
  <c r="M386" i="3"/>
  <c r="N386" i="3"/>
  <c r="K387" i="3"/>
  <c r="L387" i="3" a="1"/>
  <c r="L387" i="3"/>
  <c r="M387" i="3"/>
  <c r="N387" i="3"/>
  <c r="K388" i="3"/>
  <c r="L388" i="3" a="1"/>
  <c r="L388" i="3" s="1"/>
  <c r="M388" i="3"/>
  <c r="N388" i="3"/>
  <c r="K389" i="3"/>
  <c r="L389" i="3" a="1"/>
  <c r="L389" i="3"/>
  <c r="M389" i="3"/>
  <c r="N389" i="3"/>
  <c r="K390" i="3"/>
  <c r="L390" i="3" a="1"/>
  <c r="L390" i="3" s="1"/>
  <c r="M390" i="3"/>
  <c r="N390" i="3"/>
  <c r="K391" i="3"/>
  <c r="L391" i="3" a="1"/>
  <c r="L391" i="3"/>
  <c r="M391" i="3"/>
  <c r="N391" i="3"/>
  <c r="K392" i="3"/>
  <c r="L392" i="3" a="1"/>
  <c r="L392" i="3" s="1"/>
  <c r="M392" i="3"/>
  <c r="N392" i="3"/>
  <c r="K393" i="3"/>
  <c r="L393" i="3" a="1"/>
  <c r="L393" i="3"/>
  <c r="M393" i="3"/>
  <c r="N393" i="3"/>
  <c r="K394" i="3"/>
  <c r="L394" i="3" a="1"/>
  <c r="L394" i="3" s="1"/>
  <c r="M394" i="3"/>
  <c r="N394" i="3"/>
  <c r="K395" i="3"/>
  <c r="L395" i="3" a="1"/>
  <c r="L395" i="3"/>
  <c r="M395" i="3"/>
  <c r="N395" i="3"/>
  <c r="K396" i="3"/>
  <c r="L396" i="3" a="1"/>
  <c r="L396" i="3" s="1"/>
  <c r="M396" i="3"/>
  <c r="N396" i="3"/>
  <c r="K397" i="3"/>
  <c r="L397" i="3" a="1"/>
  <c r="L397" i="3"/>
  <c r="M397" i="3"/>
  <c r="N397" i="3"/>
  <c r="K398" i="3"/>
  <c r="L398" i="3" a="1"/>
  <c r="L398" i="3" s="1"/>
  <c r="M398" i="3"/>
  <c r="N398" i="3"/>
  <c r="K399" i="3"/>
  <c r="L399" i="3" a="1"/>
  <c r="L399" i="3"/>
  <c r="M399" i="3"/>
  <c r="N399" i="3"/>
  <c r="K400" i="3"/>
  <c r="L400" i="3" a="1"/>
  <c r="L400" i="3" s="1"/>
  <c r="M400" i="3"/>
  <c r="N400" i="3"/>
  <c r="K401" i="3"/>
  <c r="L401" i="3" a="1"/>
  <c r="L401" i="3"/>
  <c r="M401" i="3"/>
  <c r="N401" i="3"/>
  <c r="K402" i="3"/>
  <c r="L402" i="3" a="1"/>
  <c r="L402" i="3" s="1"/>
  <c r="M402" i="3"/>
  <c r="N402" i="3"/>
  <c r="K403" i="3"/>
  <c r="L403" i="3" a="1"/>
  <c r="L403" i="3"/>
  <c r="M403" i="3"/>
  <c r="N403" i="3"/>
  <c r="K404" i="3"/>
  <c r="L404" i="3" a="1"/>
  <c r="L404" i="3" s="1"/>
  <c r="M404" i="3"/>
  <c r="N404" i="3"/>
  <c r="K405" i="3"/>
  <c r="L405" i="3" a="1"/>
  <c r="L405" i="3"/>
  <c r="M405" i="3"/>
  <c r="N405" i="3"/>
  <c r="K406" i="3"/>
  <c r="L406" i="3" a="1"/>
  <c r="L406" i="3" s="1"/>
  <c r="M406" i="3"/>
  <c r="N406" i="3"/>
  <c r="K407" i="3"/>
  <c r="L407" i="3" a="1"/>
  <c r="L407" i="3"/>
  <c r="M407" i="3"/>
  <c r="N407" i="3"/>
  <c r="K408" i="3"/>
  <c r="L408" i="3" a="1"/>
  <c r="L408" i="3" s="1"/>
  <c r="M408" i="3"/>
  <c r="N408" i="3"/>
  <c r="K409" i="3"/>
  <c r="L409" i="3" a="1"/>
  <c r="L409" i="3"/>
  <c r="M409" i="3"/>
  <c r="N409" i="3"/>
  <c r="K410" i="3"/>
  <c r="L410" i="3" a="1"/>
  <c r="L410" i="3" s="1"/>
  <c r="M410" i="3"/>
  <c r="N410" i="3"/>
  <c r="K411" i="3"/>
  <c r="L411" i="3" a="1"/>
  <c r="L411" i="3"/>
  <c r="M411" i="3"/>
  <c r="N411" i="3"/>
  <c r="K412" i="3"/>
  <c r="L412" i="3" a="1"/>
  <c r="L412" i="3" s="1"/>
  <c r="M412" i="3"/>
  <c r="N412" i="3"/>
  <c r="K413" i="3"/>
  <c r="L413" i="3" a="1"/>
  <c r="L413" i="3"/>
  <c r="M413" i="3"/>
  <c r="N413" i="3"/>
  <c r="K414" i="3"/>
  <c r="L414" i="3" a="1"/>
  <c r="L414" i="3" s="1"/>
  <c r="M414" i="3"/>
  <c r="N414" i="3"/>
  <c r="K415" i="3"/>
  <c r="L415" i="3" a="1"/>
  <c r="L415" i="3"/>
  <c r="M415" i="3"/>
  <c r="N415" i="3"/>
  <c r="K416" i="3"/>
  <c r="L416" i="3" a="1"/>
  <c r="L416" i="3" s="1"/>
  <c r="M416" i="3"/>
  <c r="N416" i="3"/>
  <c r="K417" i="3"/>
  <c r="L417" i="3" a="1"/>
  <c r="L417" i="3"/>
  <c r="M417" i="3"/>
  <c r="N417" i="3"/>
  <c r="K418" i="3"/>
  <c r="L418" i="3" a="1"/>
  <c r="L418" i="3" s="1"/>
  <c r="M418" i="3"/>
  <c r="N418" i="3"/>
  <c r="K419" i="3"/>
  <c r="L419" i="3" a="1"/>
  <c r="L419" i="3"/>
  <c r="M419" i="3"/>
  <c r="N419" i="3"/>
  <c r="K420" i="3"/>
  <c r="L420" i="3" a="1"/>
  <c r="L420" i="3" s="1"/>
  <c r="M420" i="3"/>
  <c r="N420" i="3"/>
  <c r="K421" i="3"/>
  <c r="L421" i="3" a="1"/>
  <c r="L421" i="3"/>
  <c r="M421" i="3"/>
  <c r="N421" i="3"/>
  <c r="K422" i="3"/>
  <c r="L422" i="3" a="1"/>
  <c r="L422" i="3" s="1"/>
  <c r="M422" i="3"/>
  <c r="N422" i="3"/>
  <c r="K423" i="3"/>
  <c r="L423" i="3" a="1"/>
  <c r="L423" i="3"/>
  <c r="M423" i="3"/>
  <c r="N423" i="3"/>
  <c r="K424" i="3"/>
  <c r="L424" i="3" a="1"/>
  <c r="L424" i="3" s="1"/>
  <c r="M424" i="3"/>
  <c r="N424" i="3"/>
  <c r="K425" i="3"/>
  <c r="L425" i="3" a="1"/>
  <c r="L425" i="3"/>
  <c r="M425" i="3"/>
  <c r="N425" i="3"/>
  <c r="K426" i="3"/>
  <c r="L426" i="3" a="1"/>
  <c r="L426" i="3" s="1"/>
  <c r="M426" i="3"/>
  <c r="N426" i="3"/>
  <c r="K427" i="3"/>
  <c r="L427" i="3" a="1"/>
  <c r="L427" i="3"/>
  <c r="M427" i="3"/>
  <c r="N427" i="3"/>
  <c r="K428" i="3"/>
  <c r="L428" i="3" a="1"/>
  <c r="L428" i="3" s="1"/>
  <c r="M428" i="3"/>
  <c r="N428" i="3"/>
  <c r="K429" i="3"/>
  <c r="L429" i="3" a="1"/>
  <c r="L429" i="3"/>
  <c r="M429" i="3"/>
  <c r="N429" i="3"/>
  <c r="K430" i="3"/>
  <c r="L430" i="3" a="1"/>
  <c r="L430" i="3" s="1"/>
  <c r="M430" i="3"/>
  <c r="N430" i="3"/>
  <c r="K431" i="3"/>
  <c r="L431" i="3" a="1"/>
  <c r="L431" i="3"/>
  <c r="M431" i="3"/>
  <c r="N431" i="3"/>
  <c r="K432" i="3"/>
  <c r="L432" i="3" a="1"/>
  <c r="L432" i="3" s="1"/>
  <c r="M432" i="3"/>
  <c r="N432" i="3"/>
  <c r="K433" i="3"/>
  <c r="L433" i="3" a="1"/>
  <c r="L433" i="3"/>
  <c r="M433" i="3"/>
  <c r="N433" i="3"/>
  <c r="K434" i="3"/>
  <c r="L434" i="3" a="1"/>
  <c r="L434" i="3" s="1"/>
  <c r="M434" i="3"/>
  <c r="N434" i="3"/>
  <c r="K435" i="3"/>
  <c r="L435" i="3" a="1"/>
  <c r="L435" i="3"/>
  <c r="M435" i="3"/>
  <c r="N435" i="3"/>
  <c r="K436" i="3"/>
  <c r="L436" i="3" a="1"/>
  <c r="L436" i="3" s="1"/>
  <c r="M436" i="3"/>
  <c r="N436" i="3"/>
  <c r="K437" i="3"/>
  <c r="L437" i="3" a="1"/>
  <c r="L437" i="3"/>
  <c r="M437" i="3"/>
  <c r="N437" i="3"/>
  <c r="K438" i="3"/>
  <c r="L438" i="3" a="1"/>
  <c r="L438" i="3" s="1"/>
  <c r="M438" i="3"/>
  <c r="N438" i="3"/>
  <c r="K439" i="3"/>
  <c r="L439" i="3" a="1"/>
  <c r="L439" i="3"/>
  <c r="M439" i="3"/>
  <c r="N439" i="3"/>
  <c r="K440" i="3"/>
  <c r="L440" i="3" a="1"/>
  <c r="L440" i="3" s="1"/>
  <c r="M440" i="3"/>
  <c r="N440" i="3"/>
  <c r="K441" i="3"/>
  <c r="L441" i="3" a="1"/>
  <c r="L441" i="3"/>
  <c r="M441" i="3"/>
  <c r="N441" i="3"/>
  <c r="K442" i="3"/>
  <c r="L442" i="3" a="1"/>
  <c r="L442" i="3" s="1"/>
  <c r="M442" i="3"/>
  <c r="N442" i="3"/>
  <c r="K443" i="3"/>
  <c r="L443" i="3" a="1"/>
  <c r="L443" i="3"/>
  <c r="M443" i="3"/>
  <c r="N443" i="3"/>
  <c r="K444" i="3"/>
  <c r="L444" i="3" a="1"/>
  <c r="L444" i="3" s="1"/>
  <c r="M444" i="3"/>
  <c r="N444" i="3"/>
  <c r="K445" i="3"/>
  <c r="L445" i="3" a="1"/>
  <c r="L445" i="3"/>
  <c r="M445" i="3"/>
  <c r="N445" i="3"/>
  <c r="K446" i="3"/>
  <c r="L446" i="3" a="1"/>
  <c r="L446" i="3" s="1"/>
  <c r="M446" i="3"/>
  <c r="N446" i="3"/>
  <c r="K447" i="3"/>
  <c r="L447" i="3" a="1"/>
  <c r="L447" i="3"/>
  <c r="M447" i="3"/>
  <c r="N447" i="3"/>
  <c r="K448" i="3"/>
  <c r="L448" i="3" a="1"/>
  <c r="L448" i="3" s="1"/>
  <c r="M448" i="3"/>
  <c r="N448" i="3"/>
  <c r="K449" i="3"/>
  <c r="L449" i="3" a="1"/>
  <c r="L449" i="3"/>
  <c r="M449" i="3"/>
  <c r="N449" i="3"/>
  <c r="K450" i="3"/>
  <c r="L450" i="3" a="1"/>
  <c r="L450" i="3" s="1"/>
  <c r="M450" i="3"/>
  <c r="N450" i="3"/>
  <c r="K451" i="3"/>
  <c r="L451" i="3" a="1"/>
  <c r="L451" i="3"/>
  <c r="M451" i="3"/>
  <c r="N451" i="3"/>
  <c r="K452" i="3"/>
  <c r="L452" i="3" a="1"/>
  <c r="L452" i="3" s="1"/>
  <c r="M452" i="3"/>
  <c r="N452" i="3"/>
  <c r="K453" i="3"/>
  <c r="L453" i="3" a="1"/>
  <c r="L453" i="3"/>
  <c r="M453" i="3"/>
  <c r="N453" i="3"/>
  <c r="K454" i="3"/>
  <c r="L454" i="3" a="1"/>
  <c r="L454" i="3" s="1"/>
  <c r="M454" i="3"/>
  <c r="N454" i="3"/>
  <c r="K455" i="3"/>
  <c r="L455" i="3" a="1"/>
  <c r="L455" i="3"/>
  <c r="M455" i="3"/>
  <c r="N455" i="3"/>
  <c r="K456" i="3"/>
  <c r="L456" i="3" a="1"/>
  <c r="L456" i="3" s="1"/>
  <c r="M456" i="3"/>
  <c r="N456" i="3"/>
  <c r="K457" i="3"/>
  <c r="L457" i="3" a="1"/>
  <c r="L457" i="3"/>
  <c r="M457" i="3"/>
  <c r="N457" i="3"/>
  <c r="K458" i="3"/>
  <c r="L458" i="3" a="1"/>
  <c r="L458" i="3" s="1"/>
  <c r="M458" i="3"/>
  <c r="N458" i="3"/>
  <c r="K459" i="3"/>
  <c r="L459" i="3" a="1"/>
  <c r="L459" i="3"/>
  <c r="M459" i="3"/>
  <c r="N459" i="3"/>
  <c r="K460" i="3"/>
  <c r="L460" i="3" a="1"/>
  <c r="L460" i="3" s="1"/>
  <c r="M460" i="3"/>
  <c r="N460" i="3"/>
  <c r="K461" i="3"/>
  <c r="L461" i="3" a="1"/>
  <c r="L461" i="3"/>
  <c r="M461" i="3"/>
  <c r="N461" i="3"/>
  <c r="K462" i="3"/>
  <c r="L462" i="3" a="1"/>
  <c r="L462" i="3" s="1"/>
  <c r="M462" i="3"/>
  <c r="N462" i="3"/>
  <c r="K463" i="3"/>
  <c r="L463" i="3" a="1"/>
  <c r="L463" i="3"/>
  <c r="M463" i="3"/>
  <c r="N463" i="3"/>
  <c r="K464" i="3"/>
  <c r="L464" i="3" a="1"/>
  <c r="L464" i="3"/>
  <c r="M464" i="3"/>
  <c r="N464" i="3"/>
  <c r="K465" i="3"/>
  <c r="L465" i="3" a="1"/>
  <c r="L465" i="3"/>
  <c r="M465" i="3"/>
  <c r="N465" i="3"/>
  <c r="K466" i="3"/>
  <c r="L466" i="3" a="1"/>
  <c r="L466" i="3" s="1"/>
  <c r="M466" i="3"/>
  <c r="N466" i="3"/>
  <c r="K467" i="3"/>
  <c r="L467" i="3" a="1"/>
  <c r="L467" i="3"/>
  <c r="M467" i="3"/>
  <c r="N467" i="3"/>
  <c r="K468" i="3"/>
  <c r="L468" i="3" a="1"/>
  <c r="L468" i="3" s="1"/>
  <c r="M468" i="3"/>
  <c r="N468" i="3"/>
  <c r="K469" i="3"/>
  <c r="L469" i="3" a="1"/>
  <c r="L469" i="3"/>
  <c r="M469" i="3"/>
  <c r="N469" i="3"/>
  <c r="K470" i="3"/>
  <c r="L470" i="3" a="1"/>
  <c r="L470" i="3" s="1"/>
  <c r="M470" i="3"/>
  <c r="N470" i="3"/>
  <c r="K471" i="3"/>
  <c r="L471" i="3" a="1"/>
  <c r="L471" i="3"/>
  <c r="M471" i="3"/>
  <c r="N471" i="3"/>
  <c r="K472" i="3"/>
  <c r="L472" i="3" a="1"/>
  <c r="L472" i="3" s="1"/>
  <c r="M472" i="3"/>
  <c r="N472" i="3"/>
  <c r="K473" i="3"/>
  <c r="L473" i="3" a="1"/>
  <c r="L473" i="3"/>
  <c r="M473" i="3"/>
  <c r="N473" i="3"/>
  <c r="K474" i="3"/>
  <c r="L474" i="3" a="1"/>
  <c r="L474" i="3" s="1"/>
  <c r="M474" i="3"/>
  <c r="N474" i="3"/>
  <c r="K475" i="3"/>
  <c r="L475" i="3" a="1"/>
  <c r="L475" i="3"/>
  <c r="M475" i="3"/>
  <c r="N475" i="3"/>
  <c r="K476" i="3"/>
  <c r="L476" i="3" a="1"/>
  <c r="L476" i="3" s="1"/>
  <c r="M476" i="3"/>
  <c r="N476" i="3"/>
  <c r="K477" i="3"/>
  <c r="L477" i="3" a="1"/>
  <c r="L477" i="3"/>
  <c r="M477" i="3"/>
  <c r="N477" i="3"/>
  <c r="K478" i="3"/>
  <c r="L478" i="3" a="1"/>
  <c r="L478" i="3" s="1"/>
  <c r="M478" i="3"/>
  <c r="N478" i="3"/>
  <c r="K479" i="3"/>
  <c r="L479" i="3" a="1"/>
  <c r="L479" i="3"/>
  <c r="M479" i="3"/>
  <c r="N479" i="3"/>
  <c r="K480" i="3"/>
  <c r="L480" i="3" a="1"/>
  <c r="L480" i="3" s="1"/>
  <c r="M480" i="3"/>
  <c r="N480" i="3"/>
  <c r="K481" i="3"/>
  <c r="L481" i="3" a="1"/>
  <c r="L481" i="3"/>
  <c r="M481" i="3"/>
  <c r="N481" i="3"/>
  <c r="K482" i="3"/>
  <c r="L482" i="3" a="1"/>
  <c r="L482" i="3" s="1"/>
  <c r="M482" i="3"/>
  <c r="N482" i="3"/>
  <c r="K483" i="3"/>
  <c r="L483" i="3" a="1"/>
  <c r="L483" i="3"/>
  <c r="M483" i="3"/>
  <c r="N483" i="3"/>
  <c r="K484" i="3"/>
  <c r="L484" i="3" a="1"/>
  <c r="L484" i="3" s="1"/>
  <c r="M484" i="3"/>
  <c r="N484" i="3"/>
  <c r="K485" i="3"/>
  <c r="L485" i="3" a="1"/>
  <c r="L485" i="3"/>
  <c r="M485" i="3"/>
  <c r="N485" i="3"/>
  <c r="K486" i="3"/>
  <c r="L486" i="3" a="1"/>
  <c r="L486" i="3" s="1"/>
  <c r="M486" i="3"/>
  <c r="N486" i="3"/>
  <c r="K487" i="3"/>
  <c r="L487" i="3" a="1"/>
  <c r="L487" i="3"/>
  <c r="M487" i="3"/>
  <c r="N487" i="3"/>
  <c r="K488" i="3"/>
  <c r="L488" i="3" a="1"/>
  <c r="L488" i="3" s="1"/>
  <c r="M488" i="3"/>
  <c r="N488" i="3"/>
  <c r="K489" i="3"/>
  <c r="L489" i="3" a="1"/>
  <c r="L489" i="3"/>
  <c r="M489" i="3"/>
  <c r="N489" i="3"/>
  <c r="K490" i="3"/>
  <c r="L490" i="3" a="1"/>
  <c r="L490" i="3" s="1"/>
  <c r="M490" i="3"/>
  <c r="N490" i="3"/>
  <c r="K491" i="3"/>
  <c r="L491" i="3" a="1"/>
  <c r="L491" i="3"/>
  <c r="M491" i="3"/>
  <c r="N491" i="3"/>
  <c r="K492" i="3"/>
  <c r="L492" i="3" a="1"/>
  <c r="L492" i="3" s="1"/>
  <c r="M492" i="3"/>
  <c r="N492" i="3"/>
  <c r="K493" i="3"/>
  <c r="L493" i="3" a="1"/>
  <c r="L493" i="3"/>
  <c r="M493" i="3"/>
  <c r="N493" i="3"/>
  <c r="K494" i="3"/>
  <c r="L494" i="3" a="1"/>
  <c r="L494" i="3" s="1"/>
  <c r="M494" i="3"/>
  <c r="N494" i="3"/>
  <c r="K495" i="3"/>
  <c r="L495" i="3" a="1"/>
  <c r="L495" i="3"/>
  <c r="M495" i="3"/>
  <c r="N495" i="3"/>
  <c r="K496" i="3"/>
  <c r="L496" i="3" a="1"/>
  <c r="L496" i="3" s="1"/>
  <c r="M496" i="3"/>
  <c r="N496" i="3"/>
  <c r="K497" i="3"/>
  <c r="L497" i="3" a="1"/>
  <c r="L497" i="3"/>
  <c r="M497" i="3"/>
  <c r="N497" i="3"/>
  <c r="K498" i="3"/>
  <c r="L498" i="3" a="1"/>
  <c r="L498" i="3" s="1"/>
  <c r="M498" i="3"/>
  <c r="N498" i="3"/>
  <c r="K499" i="3"/>
  <c r="L499" i="3" a="1"/>
  <c r="L499" i="3"/>
  <c r="M499" i="3"/>
  <c r="N499" i="3"/>
  <c r="K500" i="3"/>
  <c r="L500" i="3" a="1"/>
  <c r="L500" i="3" s="1"/>
  <c r="M500" i="3"/>
  <c r="N500" i="3"/>
  <c r="K501" i="3"/>
  <c r="L501" i="3" a="1"/>
  <c r="L501" i="3"/>
  <c r="M501" i="3"/>
  <c r="N501" i="3"/>
  <c r="K502" i="3"/>
  <c r="L502" i="3" a="1"/>
  <c r="L502" i="3" s="1"/>
  <c r="M502" i="3"/>
  <c r="N502" i="3"/>
  <c r="K503" i="3"/>
  <c r="L503" i="3" a="1"/>
  <c r="L503" i="3"/>
  <c r="M503" i="3"/>
  <c r="N503" i="3"/>
  <c r="K504" i="3"/>
  <c r="L504" i="3" a="1"/>
  <c r="L504" i="3" s="1"/>
  <c r="M504" i="3"/>
  <c r="N504" i="3"/>
  <c r="K505" i="3"/>
  <c r="L505" i="3" a="1"/>
  <c r="L505" i="3"/>
  <c r="M505" i="3"/>
  <c r="N505" i="3"/>
  <c r="K506" i="3"/>
  <c r="L506" i="3" a="1"/>
  <c r="L506" i="3" s="1"/>
  <c r="M506" i="3"/>
  <c r="N506" i="3"/>
  <c r="K507" i="3"/>
  <c r="L507" i="3" a="1"/>
  <c r="L507" i="3"/>
  <c r="M507" i="3"/>
  <c r="N507" i="3"/>
  <c r="K508" i="3"/>
  <c r="L508" i="3" a="1"/>
  <c r="L508" i="3" s="1"/>
  <c r="M508" i="3"/>
  <c r="N508" i="3"/>
  <c r="K509" i="3"/>
  <c r="L509" i="3" a="1"/>
  <c r="L509" i="3"/>
  <c r="M509" i="3"/>
  <c r="N509" i="3"/>
  <c r="K510" i="3"/>
  <c r="L510" i="3" a="1"/>
  <c r="L510" i="3" s="1"/>
  <c r="M510" i="3"/>
  <c r="N510" i="3"/>
  <c r="K511" i="3"/>
  <c r="L511" i="3" a="1"/>
  <c r="L511" i="3"/>
  <c r="M511" i="3"/>
  <c r="N511" i="3"/>
  <c r="K512" i="3"/>
  <c r="L512" i="3" a="1"/>
  <c r="L512" i="3" s="1"/>
  <c r="M512" i="3"/>
  <c r="N512" i="3"/>
  <c r="K513" i="3"/>
  <c r="L513" i="3" a="1"/>
  <c r="L513" i="3"/>
  <c r="M513" i="3"/>
  <c r="N513" i="3"/>
  <c r="K514" i="3"/>
  <c r="L514" i="3" a="1"/>
  <c r="L514" i="3" s="1"/>
  <c r="M514" i="3"/>
  <c r="N514" i="3"/>
  <c r="K515" i="3"/>
  <c r="L515" i="3" a="1"/>
  <c r="L515" i="3"/>
  <c r="M515" i="3"/>
  <c r="N515" i="3"/>
  <c r="K516" i="3"/>
  <c r="L516" i="3" a="1"/>
  <c r="L516" i="3" s="1"/>
  <c r="M516" i="3"/>
  <c r="N516" i="3"/>
  <c r="K517" i="3"/>
  <c r="L517" i="3" a="1"/>
  <c r="L517" i="3"/>
  <c r="M517" i="3"/>
  <c r="N517" i="3"/>
  <c r="K518" i="3"/>
  <c r="L518" i="3" a="1"/>
  <c r="L518" i="3" s="1"/>
  <c r="M518" i="3"/>
  <c r="N518" i="3"/>
  <c r="K519" i="3"/>
  <c r="L519" i="3" a="1"/>
  <c r="L519" i="3"/>
  <c r="M519" i="3"/>
  <c r="N519" i="3"/>
  <c r="K520" i="3"/>
  <c r="L520" i="3" a="1"/>
  <c r="L520" i="3" s="1"/>
  <c r="M520" i="3"/>
  <c r="N520" i="3"/>
  <c r="K521" i="3"/>
  <c r="L521" i="3" a="1"/>
  <c r="L521" i="3"/>
  <c r="M521" i="3"/>
  <c r="N521" i="3"/>
  <c r="K522" i="3"/>
  <c r="L522" i="3" a="1"/>
  <c r="L522" i="3" s="1"/>
  <c r="M522" i="3"/>
  <c r="N522" i="3"/>
  <c r="K523" i="3"/>
  <c r="L523" i="3" a="1"/>
  <c r="L523" i="3"/>
  <c r="M523" i="3"/>
  <c r="N523" i="3"/>
  <c r="K524" i="3"/>
  <c r="L524" i="3" a="1"/>
  <c r="L524" i="3" s="1"/>
  <c r="M524" i="3"/>
  <c r="N524" i="3"/>
  <c r="K525" i="3"/>
  <c r="L525" i="3" a="1"/>
  <c r="L525" i="3"/>
  <c r="M525" i="3"/>
  <c r="N525" i="3"/>
  <c r="K526" i="3"/>
  <c r="L526" i="3" a="1"/>
  <c r="L526" i="3" s="1"/>
  <c r="M526" i="3"/>
  <c r="N526" i="3"/>
  <c r="K527" i="3"/>
  <c r="L527" i="3" a="1"/>
  <c r="L527" i="3"/>
  <c r="M527" i="3"/>
  <c r="N527" i="3"/>
  <c r="K528" i="3"/>
  <c r="L528" i="3" a="1"/>
  <c r="L528" i="3" s="1"/>
  <c r="M528" i="3"/>
  <c r="N528" i="3"/>
  <c r="K529" i="3"/>
  <c r="L529" i="3" a="1"/>
  <c r="L529" i="3"/>
  <c r="M529" i="3"/>
  <c r="N529" i="3"/>
  <c r="K530" i="3"/>
  <c r="L530" i="3" a="1"/>
  <c r="L530" i="3" s="1"/>
  <c r="M530" i="3"/>
  <c r="N530" i="3"/>
  <c r="K531" i="3"/>
  <c r="L531" i="3" a="1"/>
  <c r="L531" i="3"/>
  <c r="M531" i="3"/>
  <c r="N531" i="3"/>
  <c r="K532" i="3"/>
  <c r="L532" i="3" a="1"/>
  <c r="L532" i="3" s="1"/>
  <c r="M532" i="3"/>
  <c r="N532" i="3"/>
  <c r="K533" i="3"/>
  <c r="L533" i="3" a="1"/>
  <c r="L533" i="3"/>
  <c r="M533" i="3"/>
  <c r="N533" i="3"/>
  <c r="K534" i="3"/>
  <c r="L534" i="3" a="1"/>
  <c r="L534" i="3" s="1"/>
  <c r="M534" i="3"/>
  <c r="N534" i="3"/>
  <c r="K535" i="3"/>
  <c r="L535" i="3" a="1"/>
  <c r="L535" i="3"/>
  <c r="M535" i="3"/>
  <c r="N535" i="3"/>
  <c r="K536" i="3"/>
  <c r="L536" i="3" a="1"/>
  <c r="L536" i="3" s="1"/>
  <c r="M536" i="3"/>
  <c r="N536" i="3"/>
  <c r="K537" i="3"/>
  <c r="L537" i="3" a="1"/>
  <c r="L537" i="3"/>
  <c r="M537" i="3"/>
  <c r="N537" i="3"/>
  <c r="K538" i="3"/>
  <c r="L538" i="3" a="1"/>
  <c r="L538" i="3" s="1"/>
  <c r="M538" i="3"/>
  <c r="N538" i="3"/>
  <c r="K539" i="3"/>
  <c r="L539" i="3" a="1"/>
  <c r="L539" i="3"/>
  <c r="M539" i="3"/>
  <c r="N539" i="3"/>
  <c r="K540" i="3"/>
  <c r="L540" i="3" a="1"/>
  <c r="L540" i="3" s="1"/>
  <c r="M540" i="3"/>
  <c r="N540" i="3"/>
  <c r="K541" i="3"/>
  <c r="L541" i="3" a="1"/>
  <c r="L541" i="3"/>
  <c r="M541" i="3"/>
  <c r="N541" i="3"/>
  <c r="K542" i="3"/>
  <c r="L542" i="3" a="1"/>
  <c r="L542" i="3" s="1"/>
  <c r="M542" i="3"/>
  <c r="N542" i="3"/>
  <c r="K543" i="3"/>
  <c r="L543" i="3" a="1"/>
  <c r="L543" i="3"/>
  <c r="M543" i="3"/>
  <c r="N543" i="3"/>
  <c r="K544" i="3"/>
  <c r="L544" i="3" a="1"/>
  <c r="L544" i="3" s="1"/>
  <c r="M544" i="3"/>
  <c r="N544" i="3"/>
  <c r="K545" i="3"/>
  <c r="L545" i="3" a="1"/>
  <c r="L545" i="3"/>
  <c r="M545" i="3"/>
  <c r="N545" i="3"/>
  <c r="K546" i="3"/>
  <c r="L546" i="3" a="1"/>
  <c r="L546" i="3" s="1"/>
  <c r="M546" i="3"/>
  <c r="N546" i="3"/>
  <c r="K547" i="3"/>
  <c r="L547" i="3" a="1"/>
  <c r="L547" i="3"/>
  <c r="M547" i="3"/>
  <c r="N547" i="3"/>
  <c r="K548" i="3"/>
  <c r="L548" i="3" a="1"/>
  <c r="L548" i="3" s="1"/>
  <c r="M548" i="3"/>
  <c r="N548" i="3"/>
  <c r="K549" i="3"/>
  <c r="L549" i="3" a="1"/>
  <c r="L549" i="3"/>
  <c r="M549" i="3"/>
  <c r="N549" i="3"/>
  <c r="K550" i="3"/>
  <c r="L550" i="3" a="1"/>
  <c r="L550" i="3" s="1"/>
  <c r="M550" i="3"/>
  <c r="N550" i="3"/>
  <c r="K551" i="3"/>
  <c r="L551" i="3" a="1"/>
  <c r="L551" i="3"/>
  <c r="M551" i="3"/>
  <c r="N551" i="3"/>
  <c r="K552" i="3"/>
  <c r="L552" i="3" a="1"/>
  <c r="L552" i="3" s="1"/>
  <c r="M552" i="3"/>
  <c r="N552" i="3"/>
  <c r="K553" i="3"/>
  <c r="L553" i="3" a="1"/>
  <c r="L553" i="3"/>
  <c r="M553" i="3"/>
  <c r="N553" i="3"/>
  <c r="K554" i="3"/>
  <c r="L554" i="3" a="1"/>
  <c r="L554" i="3" s="1"/>
  <c r="M554" i="3"/>
  <c r="N554" i="3"/>
  <c r="K555" i="3"/>
  <c r="L555" i="3" a="1"/>
  <c r="L555" i="3"/>
  <c r="M555" i="3"/>
  <c r="N555" i="3"/>
  <c r="K556" i="3"/>
  <c r="L556" i="3" a="1"/>
  <c r="L556" i="3" s="1"/>
  <c r="M556" i="3"/>
  <c r="N556" i="3"/>
  <c r="K557" i="3"/>
  <c r="L557" i="3" a="1"/>
  <c r="L557" i="3"/>
  <c r="M557" i="3"/>
  <c r="N557" i="3"/>
  <c r="K558" i="3"/>
  <c r="L558" i="3" a="1"/>
  <c r="L558" i="3" s="1"/>
  <c r="M558" i="3"/>
  <c r="N558" i="3"/>
  <c r="K559" i="3"/>
  <c r="L559" i="3" a="1"/>
  <c r="L559" i="3"/>
  <c r="M559" i="3"/>
  <c r="N559" i="3"/>
  <c r="K560" i="3"/>
  <c r="L560" i="3" a="1"/>
  <c r="L560" i="3" s="1"/>
  <c r="M560" i="3"/>
  <c r="N560" i="3"/>
  <c r="K561" i="3"/>
  <c r="L561" i="3" a="1"/>
  <c r="L561" i="3"/>
  <c r="M561" i="3"/>
  <c r="N561" i="3"/>
  <c r="K562" i="3"/>
  <c r="L562" i="3" a="1"/>
  <c r="L562" i="3" s="1"/>
  <c r="M562" i="3"/>
  <c r="N562" i="3"/>
  <c r="K563" i="3"/>
  <c r="L563" i="3" a="1"/>
  <c r="L563" i="3"/>
  <c r="M563" i="3"/>
  <c r="N563" i="3"/>
  <c r="K564" i="3"/>
  <c r="L564" i="3" a="1"/>
  <c r="L564" i="3" s="1"/>
  <c r="M564" i="3"/>
  <c r="N564" i="3"/>
  <c r="K565" i="3"/>
  <c r="L565" i="3" a="1"/>
  <c r="L565" i="3"/>
  <c r="M565" i="3"/>
  <c r="N565" i="3"/>
  <c r="K566" i="3"/>
  <c r="L566" i="3" a="1"/>
  <c r="L566" i="3" s="1"/>
  <c r="M566" i="3"/>
  <c r="N566" i="3"/>
  <c r="K567" i="3"/>
  <c r="L567" i="3" a="1"/>
  <c r="L567" i="3"/>
  <c r="M567" i="3"/>
  <c r="N567" i="3"/>
  <c r="K568" i="3"/>
  <c r="L568" i="3" a="1"/>
  <c r="L568" i="3" s="1"/>
  <c r="M568" i="3"/>
  <c r="N568" i="3"/>
  <c r="K569" i="3"/>
  <c r="L569" i="3" a="1"/>
  <c r="L569" i="3"/>
  <c r="M569" i="3"/>
  <c r="N569" i="3"/>
  <c r="K570" i="3"/>
  <c r="L570" i="3" a="1"/>
  <c r="L570" i="3" s="1"/>
  <c r="M570" i="3"/>
  <c r="N570" i="3"/>
  <c r="K571" i="3"/>
  <c r="L571" i="3" a="1"/>
  <c r="L571" i="3"/>
  <c r="M571" i="3"/>
  <c r="N571" i="3"/>
  <c r="K572" i="3"/>
  <c r="L572" i="3" a="1"/>
  <c r="L572" i="3" s="1"/>
  <c r="M572" i="3"/>
  <c r="N572" i="3"/>
  <c r="K573" i="3"/>
  <c r="L573" i="3" a="1"/>
  <c r="L573" i="3"/>
  <c r="M573" i="3"/>
  <c r="N573" i="3"/>
  <c r="K574" i="3"/>
  <c r="L574" i="3" a="1"/>
  <c r="L574" i="3" s="1"/>
  <c r="M574" i="3"/>
  <c r="N574" i="3"/>
  <c r="K575" i="3"/>
  <c r="L575" i="3" a="1"/>
  <c r="L575" i="3"/>
  <c r="M575" i="3"/>
  <c r="N575" i="3"/>
  <c r="K576" i="3"/>
  <c r="L576" i="3" a="1"/>
  <c r="L576" i="3" s="1"/>
  <c r="M576" i="3"/>
  <c r="N576" i="3"/>
  <c r="K577" i="3"/>
  <c r="L577" i="3" a="1"/>
  <c r="L577" i="3"/>
  <c r="M577" i="3"/>
  <c r="N577" i="3"/>
  <c r="K578" i="3"/>
  <c r="L578" i="3" a="1"/>
  <c r="L578" i="3" s="1"/>
  <c r="M578" i="3"/>
  <c r="N578" i="3"/>
  <c r="K579" i="3"/>
  <c r="L579" i="3" a="1"/>
  <c r="L579" i="3"/>
  <c r="M579" i="3"/>
  <c r="N579" i="3"/>
  <c r="K580" i="3"/>
  <c r="L580" i="3" a="1"/>
  <c r="L580" i="3" s="1"/>
  <c r="M580" i="3"/>
  <c r="N580" i="3"/>
  <c r="K581" i="3"/>
  <c r="L581" i="3" a="1"/>
  <c r="L581" i="3"/>
  <c r="M581" i="3"/>
  <c r="N581" i="3"/>
  <c r="K582" i="3"/>
  <c r="L582" i="3" a="1"/>
  <c r="L582" i="3" s="1"/>
  <c r="M582" i="3"/>
  <c r="N582" i="3"/>
  <c r="K583" i="3"/>
  <c r="L583" i="3" a="1"/>
  <c r="L583" i="3"/>
  <c r="M583" i="3"/>
  <c r="N583" i="3"/>
  <c r="K584" i="3"/>
  <c r="L584" i="3" a="1"/>
  <c r="L584" i="3" s="1"/>
  <c r="M584" i="3"/>
  <c r="N584" i="3"/>
  <c r="K585" i="3"/>
  <c r="L585" i="3" a="1"/>
  <c r="L585" i="3"/>
  <c r="M585" i="3"/>
  <c r="N585" i="3"/>
  <c r="K586" i="3"/>
  <c r="L586" i="3" a="1"/>
  <c r="L586" i="3" s="1"/>
  <c r="M586" i="3"/>
  <c r="N586" i="3"/>
  <c r="K587" i="3"/>
  <c r="L587" i="3" a="1"/>
  <c r="L587" i="3"/>
  <c r="M587" i="3"/>
  <c r="N587" i="3"/>
  <c r="K588" i="3"/>
  <c r="L588" i="3" a="1"/>
  <c r="L588" i="3" s="1"/>
  <c r="M588" i="3"/>
  <c r="N588" i="3"/>
  <c r="K589" i="3"/>
  <c r="L589" i="3" a="1"/>
  <c r="L589" i="3"/>
  <c r="M589" i="3"/>
  <c r="N589" i="3"/>
  <c r="K590" i="3"/>
  <c r="L590" i="3" a="1"/>
  <c r="L590" i="3" s="1"/>
  <c r="M590" i="3"/>
  <c r="N590" i="3"/>
  <c r="K591" i="3"/>
  <c r="L591" i="3" a="1"/>
  <c r="L591" i="3"/>
  <c r="M591" i="3"/>
  <c r="N591" i="3"/>
  <c r="K592" i="3"/>
  <c r="L592" i="3" a="1"/>
  <c r="L592" i="3" s="1"/>
  <c r="M592" i="3"/>
  <c r="N592" i="3"/>
  <c r="K593" i="3"/>
  <c r="L593" i="3" a="1"/>
  <c r="L593" i="3"/>
  <c r="M593" i="3"/>
  <c r="N593" i="3"/>
  <c r="K594" i="3"/>
  <c r="L594" i="3" a="1"/>
  <c r="L594" i="3" s="1"/>
  <c r="M594" i="3"/>
  <c r="N594" i="3"/>
  <c r="K595" i="3"/>
  <c r="L595" i="3" a="1"/>
  <c r="L595" i="3"/>
  <c r="M595" i="3"/>
  <c r="N595" i="3"/>
  <c r="K596" i="3"/>
  <c r="L596" i="3" a="1"/>
  <c r="L596" i="3" s="1"/>
  <c r="M596" i="3"/>
  <c r="N596" i="3"/>
  <c r="K597" i="3"/>
  <c r="L597" i="3" a="1"/>
  <c r="L597" i="3"/>
  <c r="M597" i="3"/>
  <c r="N597" i="3"/>
  <c r="K598" i="3"/>
  <c r="L598" i="3" a="1"/>
  <c r="L598" i="3" s="1"/>
  <c r="M598" i="3"/>
  <c r="N598" i="3"/>
  <c r="K599" i="3"/>
  <c r="L599" i="3" a="1"/>
  <c r="L599" i="3"/>
  <c r="M599" i="3"/>
  <c r="N599" i="3"/>
  <c r="K600" i="3"/>
  <c r="L600" i="3" a="1"/>
  <c r="L600" i="3" s="1"/>
  <c r="M600" i="3"/>
  <c r="N600" i="3"/>
  <c r="K601" i="3"/>
  <c r="L601" i="3" a="1"/>
  <c r="L601" i="3"/>
  <c r="M601" i="3"/>
  <c r="N601" i="3"/>
  <c r="K602" i="3"/>
  <c r="L602" i="3" a="1"/>
  <c r="L602" i="3" s="1"/>
  <c r="M602" i="3"/>
  <c r="N602" i="3"/>
  <c r="K603" i="3"/>
  <c r="L603" i="3" a="1"/>
  <c r="L603" i="3"/>
  <c r="M603" i="3"/>
  <c r="N603" i="3"/>
  <c r="K604" i="3"/>
  <c r="L604" i="3" a="1"/>
  <c r="L604" i="3" s="1"/>
  <c r="M604" i="3"/>
  <c r="N604" i="3"/>
  <c r="K605" i="3"/>
  <c r="L605" i="3" a="1"/>
  <c r="L605" i="3"/>
  <c r="M605" i="3"/>
  <c r="N605" i="3"/>
  <c r="K606" i="3"/>
  <c r="L606" i="3" a="1"/>
  <c r="L606" i="3" s="1"/>
  <c r="M606" i="3"/>
  <c r="N606" i="3"/>
  <c r="K607" i="3"/>
  <c r="L607" i="3" a="1"/>
  <c r="L607" i="3"/>
  <c r="M607" i="3"/>
  <c r="N607" i="3"/>
  <c r="K608" i="3"/>
  <c r="L608" i="3" a="1"/>
  <c r="L608" i="3" s="1"/>
  <c r="M608" i="3"/>
  <c r="N608" i="3"/>
  <c r="K609" i="3"/>
  <c r="L609" i="3" a="1"/>
  <c r="L609" i="3"/>
  <c r="M609" i="3"/>
  <c r="N609" i="3"/>
  <c r="K610" i="3"/>
  <c r="L610" i="3" a="1"/>
  <c r="L610" i="3" s="1"/>
  <c r="M610" i="3"/>
  <c r="N610" i="3"/>
  <c r="K611" i="3"/>
  <c r="L611" i="3" a="1"/>
  <c r="L611" i="3"/>
  <c r="M611" i="3"/>
  <c r="N611" i="3"/>
  <c r="K612" i="3"/>
  <c r="L612" i="3" a="1"/>
  <c r="L612" i="3" s="1"/>
  <c r="M612" i="3"/>
  <c r="N612" i="3"/>
  <c r="K613" i="3"/>
  <c r="L613" i="3" a="1"/>
  <c r="L613" i="3"/>
  <c r="M613" i="3"/>
  <c r="N613" i="3"/>
  <c r="K614" i="3"/>
  <c r="L614" i="3" a="1"/>
  <c r="L614" i="3" s="1"/>
  <c r="M614" i="3"/>
  <c r="N614" i="3"/>
  <c r="K615" i="3"/>
  <c r="L615" i="3" a="1"/>
  <c r="L615" i="3"/>
  <c r="M615" i="3"/>
  <c r="N615" i="3"/>
  <c r="K616" i="3"/>
  <c r="L616" i="3" a="1"/>
  <c r="L616" i="3" s="1"/>
  <c r="M616" i="3"/>
  <c r="N616" i="3"/>
  <c r="K617" i="3"/>
  <c r="L617" i="3" a="1"/>
  <c r="L617" i="3"/>
  <c r="M617" i="3"/>
  <c r="N617" i="3"/>
  <c r="K618" i="3"/>
  <c r="L618" i="3" a="1"/>
  <c r="L618" i="3" s="1"/>
  <c r="M618" i="3"/>
  <c r="N618" i="3"/>
  <c r="K619" i="3"/>
  <c r="L619" i="3" a="1"/>
  <c r="L619" i="3"/>
  <c r="M619" i="3"/>
  <c r="N619" i="3"/>
  <c r="K620" i="3"/>
  <c r="L620" i="3" a="1"/>
  <c r="L620" i="3" s="1"/>
  <c r="M620" i="3"/>
  <c r="N620" i="3"/>
  <c r="K621" i="3"/>
  <c r="L621" i="3" a="1"/>
  <c r="L621" i="3"/>
  <c r="M621" i="3"/>
  <c r="N621" i="3"/>
  <c r="K622" i="3"/>
  <c r="L622" i="3" a="1"/>
  <c r="L622" i="3" s="1"/>
  <c r="M622" i="3"/>
  <c r="N622" i="3"/>
  <c r="K623" i="3"/>
  <c r="L623" i="3" a="1"/>
  <c r="L623" i="3"/>
  <c r="M623" i="3"/>
  <c r="N623" i="3"/>
  <c r="K624" i="3"/>
  <c r="L624" i="3" a="1"/>
  <c r="L624" i="3" s="1"/>
  <c r="M624" i="3"/>
  <c r="N624" i="3"/>
  <c r="K625" i="3"/>
  <c r="L625" i="3" a="1"/>
  <c r="L625" i="3"/>
  <c r="M625" i="3"/>
  <c r="N625" i="3"/>
  <c r="K626" i="3"/>
  <c r="L626" i="3" a="1"/>
  <c r="L626" i="3" s="1"/>
  <c r="M626" i="3"/>
  <c r="N626" i="3"/>
  <c r="K627" i="3"/>
  <c r="L627" i="3" a="1"/>
  <c r="L627" i="3"/>
  <c r="M627" i="3"/>
  <c r="N627" i="3"/>
  <c r="K628" i="3"/>
  <c r="L628" i="3" a="1"/>
  <c r="L628" i="3" s="1"/>
  <c r="M628" i="3"/>
  <c r="N628" i="3"/>
  <c r="K629" i="3"/>
  <c r="L629" i="3" a="1"/>
  <c r="L629" i="3"/>
  <c r="M629" i="3"/>
  <c r="N629" i="3"/>
  <c r="K630" i="3"/>
  <c r="L630" i="3" a="1"/>
  <c r="L630" i="3" s="1"/>
  <c r="M630" i="3"/>
  <c r="N630" i="3"/>
  <c r="K631" i="3"/>
  <c r="L631" i="3" a="1"/>
  <c r="L631" i="3"/>
  <c r="M631" i="3"/>
  <c r="N631" i="3"/>
  <c r="K632" i="3"/>
  <c r="L632" i="3" a="1"/>
  <c r="L632" i="3" s="1"/>
  <c r="M632" i="3"/>
  <c r="N632" i="3"/>
  <c r="K633" i="3"/>
  <c r="L633" i="3" a="1"/>
  <c r="L633" i="3"/>
  <c r="M633" i="3"/>
  <c r="N633" i="3"/>
  <c r="K634" i="3"/>
  <c r="L634" i="3" a="1"/>
  <c r="L634" i="3" s="1"/>
  <c r="M634" i="3"/>
  <c r="N634" i="3"/>
  <c r="K635" i="3"/>
  <c r="L635" i="3" a="1"/>
  <c r="L635" i="3"/>
  <c r="M635" i="3"/>
  <c r="N635" i="3"/>
  <c r="K636" i="3"/>
  <c r="L636" i="3" a="1"/>
  <c r="L636" i="3" s="1"/>
  <c r="M636" i="3"/>
  <c r="N636" i="3"/>
  <c r="K637" i="3"/>
  <c r="L637" i="3" a="1"/>
  <c r="L637" i="3"/>
  <c r="M637" i="3"/>
  <c r="N637" i="3"/>
  <c r="K638" i="3"/>
  <c r="L638" i="3" a="1"/>
  <c r="L638" i="3" s="1"/>
  <c r="M638" i="3"/>
  <c r="N638" i="3"/>
  <c r="K639" i="3"/>
  <c r="L639" i="3" a="1"/>
  <c r="L639" i="3"/>
  <c r="M639" i="3"/>
  <c r="N639" i="3"/>
  <c r="K640" i="3"/>
  <c r="L640" i="3" a="1"/>
  <c r="L640" i="3" s="1"/>
  <c r="M640" i="3"/>
  <c r="N640" i="3"/>
  <c r="K641" i="3"/>
  <c r="L641" i="3" a="1"/>
  <c r="L641" i="3"/>
  <c r="M641" i="3"/>
  <c r="N641" i="3"/>
  <c r="K642" i="3"/>
  <c r="L642" i="3" a="1"/>
  <c r="L642" i="3" s="1"/>
  <c r="M642" i="3"/>
  <c r="N642" i="3"/>
  <c r="K643" i="3"/>
  <c r="L643" i="3" a="1"/>
  <c r="L643" i="3"/>
  <c r="M643" i="3"/>
  <c r="N643" i="3"/>
  <c r="K644" i="3"/>
  <c r="L644" i="3" a="1"/>
  <c r="L644" i="3" s="1"/>
  <c r="M644" i="3"/>
  <c r="N644" i="3"/>
  <c r="K645" i="3"/>
  <c r="L645" i="3" a="1"/>
  <c r="L645" i="3"/>
  <c r="M645" i="3"/>
  <c r="N645" i="3"/>
  <c r="K646" i="3"/>
  <c r="L646" i="3" a="1"/>
  <c r="L646" i="3" s="1"/>
  <c r="M646" i="3"/>
  <c r="N646" i="3"/>
  <c r="K647" i="3"/>
  <c r="L647" i="3" a="1"/>
  <c r="L647" i="3"/>
  <c r="M647" i="3"/>
  <c r="N647" i="3"/>
  <c r="K648" i="3"/>
  <c r="L648" i="3" a="1"/>
  <c r="L648" i="3" s="1"/>
  <c r="M648" i="3"/>
  <c r="N648" i="3"/>
  <c r="K649" i="3"/>
  <c r="L649" i="3" a="1"/>
  <c r="L649" i="3"/>
  <c r="M649" i="3"/>
  <c r="N649" i="3"/>
  <c r="K650" i="3"/>
  <c r="L650" i="3" a="1"/>
  <c r="L650" i="3" s="1"/>
  <c r="M650" i="3"/>
  <c r="N650" i="3"/>
  <c r="K651" i="3"/>
  <c r="L651" i="3" a="1"/>
  <c r="L651" i="3"/>
  <c r="M651" i="3"/>
  <c r="N651" i="3"/>
  <c r="K652" i="3"/>
  <c r="L652" i="3" a="1"/>
  <c r="L652" i="3" s="1"/>
  <c r="M652" i="3"/>
  <c r="N652" i="3"/>
  <c r="K653" i="3"/>
  <c r="L653" i="3" a="1"/>
  <c r="L653" i="3"/>
  <c r="M653" i="3"/>
  <c r="N653" i="3"/>
  <c r="K654" i="3"/>
  <c r="L654" i="3" a="1"/>
  <c r="L654" i="3" s="1"/>
  <c r="M654" i="3"/>
  <c r="N654" i="3"/>
  <c r="K655" i="3"/>
  <c r="L655" i="3" a="1"/>
  <c r="L655" i="3"/>
  <c r="M655" i="3"/>
  <c r="N655" i="3"/>
  <c r="K656" i="3"/>
  <c r="L656" i="3" a="1"/>
  <c r="L656" i="3" s="1"/>
  <c r="M656" i="3"/>
  <c r="N656" i="3"/>
  <c r="K657" i="3"/>
  <c r="L657" i="3" a="1"/>
  <c r="L657" i="3"/>
  <c r="M657" i="3"/>
  <c r="N657" i="3"/>
  <c r="K658" i="3"/>
  <c r="L658" i="3" a="1"/>
  <c r="L658" i="3" s="1"/>
  <c r="M658" i="3"/>
  <c r="N658" i="3"/>
  <c r="K659" i="3"/>
  <c r="L659" i="3" a="1"/>
  <c r="L659" i="3"/>
  <c r="M659" i="3"/>
  <c r="N659" i="3"/>
  <c r="K660" i="3"/>
  <c r="L660" i="3" a="1"/>
  <c r="L660" i="3" s="1"/>
  <c r="M660" i="3"/>
  <c r="N660" i="3"/>
  <c r="K661" i="3"/>
  <c r="L661" i="3" a="1"/>
  <c r="L661" i="3"/>
  <c r="M661" i="3"/>
  <c r="N661" i="3"/>
  <c r="K662" i="3"/>
  <c r="L662" i="3" a="1"/>
  <c r="L662" i="3" s="1"/>
  <c r="M662" i="3"/>
  <c r="N662" i="3"/>
  <c r="K663" i="3"/>
  <c r="L663" i="3" a="1"/>
  <c r="L663" i="3"/>
  <c r="M663" i="3"/>
  <c r="N663" i="3"/>
  <c r="K664" i="3"/>
  <c r="L664" i="3" a="1"/>
  <c r="L664" i="3" s="1"/>
  <c r="M664" i="3"/>
  <c r="N664" i="3"/>
  <c r="K665" i="3"/>
  <c r="L665" i="3" a="1"/>
  <c r="L665" i="3"/>
  <c r="M665" i="3"/>
  <c r="N665" i="3"/>
  <c r="K666" i="3"/>
  <c r="L666" i="3" a="1"/>
  <c r="L666" i="3" s="1"/>
  <c r="M666" i="3"/>
  <c r="N666" i="3"/>
  <c r="K667" i="3"/>
  <c r="L667" i="3" a="1"/>
  <c r="L667" i="3"/>
  <c r="M667" i="3"/>
  <c r="N667" i="3"/>
  <c r="K668" i="3"/>
  <c r="L668" i="3" a="1"/>
  <c r="L668" i="3" s="1"/>
  <c r="M668" i="3"/>
  <c r="N668" i="3"/>
  <c r="K669" i="3"/>
  <c r="L669" i="3" a="1"/>
  <c r="L669" i="3"/>
  <c r="M669" i="3"/>
  <c r="N669" i="3"/>
  <c r="K670" i="3"/>
  <c r="L670" i="3" a="1"/>
  <c r="L670" i="3" s="1"/>
  <c r="M670" i="3"/>
  <c r="N670" i="3"/>
  <c r="K671" i="3"/>
  <c r="L671" i="3" a="1"/>
  <c r="L671" i="3"/>
  <c r="M671" i="3"/>
  <c r="N671" i="3"/>
  <c r="K672" i="3"/>
  <c r="L672" i="3" a="1"/>
  <c r="L672" i="3" s="1"/>
  <c r="M672" i="3"/>
  <c r="N672" i="3"/>
  <c r="K673" i="3"/>
  <c r="L673" i="3" a="1"/>
  <c r="L673" i="3"/>
  <c r="M673" i="3"/>
  <c r="N673" i="3"/>
  <c r="K674" i="3"/>
  <c r="L674" i="3" a="1"/>
  <c r="L674" i="3" s="1"/>
  <c r="M674" i="3"/>
  <c r="N674" i="3"/>
  <c r="K675" i="3"/>
  <c r="L675" i="3" a="1"/>
  <c r="L675" i="3"/>
  <c r="M675" i="3"/>
  <c r="N675" i="3"/>
  <c r="K676" i="3"/>
  <c r="L676" i="3" a="1"/>
  <c r="L676" i="3" s="1"/>
  <c r="M676" i="3"/>
  <c r="N676" i="3"/>
  <c r="K677" i="3"/>
  <c r="L677" i="3" a="1"/>
  <c r="L677" i="3"/>
  <c r="M677" i="3"/>
  <c r="N677" i="3"/>
  <c r="K678" i="3"/>
  <c r="L678" i="3" a="1"/>
  <c r="L678" i="3" s="1"/>
  <c r="M678" i="3"/>
  <c r="N678" i="3"/>
  <c r="K679" i="3"/>
  <c r="L679" i="3" a="1"/>
  <c r="L679" i="3"/>
  <c r="M679" i="3"/>
  <c r="N679" i="3"/>
  <c r="K680" i="3"/>
  <c r="L680" i="3" a="1"/>
  <c r="L680" i="3" s="1"/>
  <c r="M680" i="3"/>
  <c r="N680" i="3"/>
  <c r="K681" i="3"/>
  <c r="L681" i="3" a="1"/>
  <c r="L681" i="3"/>
  <c r="M681" i="3"/>
  <c r="N681" i="3"/>
  <c r="K682" i="3"/>
  <c r="L682" i="3" a="1"/>
  <c r="L682" i="3" s="1"/>
  <c r="M682" i="3"/>
  <c r="N682" i="3"/>
  <c r="K683" i="3"/>
  <c r="L683" i="3" a="1"/>
  <c r="L683" i="3"/>
  <c r="M683" i="3"/>
  <c r="N683" i="3"/>
  <c r="K684" i="3"/>
  <c r="L684" i="3" a="1"/>
  <c r="L684" i="3" s="1"/>
  <c r="M684" i="3"/>
  <c r="N684" i="3"/>
  <c r="K685" i="3"/>
  <c r="L685" i="3" a="1"/>
  <c r="L685" i="3"/>
  <c r="M685" i="3"/>
  <c r="N685" i="3"/>
  <c r="K686" i="3"/>
  <c r="L686" i="3" a="1"/>
  <c r="L686" i="3" s="1"/>
  <c r="M686" i="3"/>
  <c r="N686" i="3"/>
  <c r="K687" i="3"/>
  <c r="L687" i="3" a="1"/>
  <c r="L687" i="3"/>
  <c r="M687" i="3"/>
  <c r="N687" i="3"/>
  <c r="K688" i="3"/>
  <c r="L688" i="3" a="1"/>
  <c r="L688" i="3" s="1"/>
  <c r="M688" i="3"/>
  <c r="N688" i="3"/>
  <c r="K689" i="3"/>
  <c r="L689" i="3" a="1"/>
  <c r="L689" i="3"/>
  <c r="M689" i="3"/>
  <c r="N689" i="3"/>
  <c r="K690" i="3"/>
  <c r="L690" i="3" a="1"/>
  <c r="L690" i="3" s="1"/>
  <c r="M690" i="3"/>
  <c r="N690" i="3"/>
  <c r="K691" i="3"/>
  <c r="L691" i="3" a="1"/>
  <c r="L691" i="3"/>
  <c r="M691" i="3"/>
  <c r="N691" i="3"/>
  <c r="K692" i="3"/>
  <c r="L692" i="3" a="1"/>
  <c r="L692" i="3" s="1"/>
  <c r="M692" i="3"/>
  <c r="N692" i="3"/>
  <c r="K693" i="3"/>
  <c r="L693" i="3" a="1"/>
  <c r="L693" i="3"/>
  <c r="M693" i="3"/>
  <c r="N693" i="3"/>
  <c r="K694" i="3"/>
  <c r="L694" i="3" a="1"/>
  <c r="L694" i="3" s="1"/>
  <c r="M694" i="3"/>
  <c r="N694" i="3"/>
  <c r="K695" i="3"/>
  <c r="L695" i="3" a="1"/>
  <c r="L695" i="3"/>
  <c r="M695" i="3"/>
  <c r="N695" i="3"/>
  <c r="K696" i="3"/>
  <c r="L696" i="3" a="1"/>
  <c r="L696" i="3" s="1"/>
  <c r="M696" i="3"/>
  <c r="N696" i="3"/>
  <c r="K697" i="3"/>
  <c r="L697" i="3" a="1"/>
  <c r="L697" i="3"/>
  <c r="M697" i="3"/>
  <c r="N697" i="3"/>
  <c r="K698" i="3"/>
  <c r="L698" i="3" a="1"/>
  <c r="L698" i="3" s="1"/>
  <c r="M698" i="3"/>
  <c r="N698" i="3"/>
  <c r="K699" i="3"/>
  <c r="L699" i="3" a="1"/>
  <c r="L699" i="3"/>
  <c r="M699" i="3"/>
  <c r="N699" i="3"/>
  <c r="K700" i="3"/>
  <c r="L700" i="3" a="1"/>
  <c r="L700" i="3" s="1"/>
  <c r="M700" i="3"/>
  <c r="N700" i="3"/>
  <c r="K701" i="3"/>
  <c r="L701" i="3" a="1"/>
  <c r="L701" i="3"/>
  <c r="M701" i="3"/>
  <c r="N701" i="3"/>
  <c r="K702" i="3"/>
  <c r="L702" i="3" a="1"/>
  <c r="L702" i="3" s="1"/>
  <c r="M702" i="3"/>
  <c r="N702" i="3"/>
  <c r="K703" i="3"/>
  <c r="L703" i="3" a="1"/>
  <c r="L703" i="3"/>
  <c r="M703" i="3"/>
  <c r="N703" i="3"/>
  <c r="K704" i="3"/>
  <c r="L704" i="3" a="1"/>
  <c r="L704" i="3" s="1"/>
  <c r="M704" i="3"/>
  <c r="N704" i="3"/>
  <c r="K705" i="3"/>
  <c r="L705" i="3" a="1"/>
  <c r="L705" i="3"/>
  <c r="M705" i="3"/>
  <c r="N705" i="3"/>
  <c r="K706" i="3"/>
  <c r="L706" i="3" a="1"/>
  <c r="L706" i="3" s="1"/>
  <c r="M706" i="3"/>
  <c r="N706" i="3"/>
  <c r="K707" i="3"/>
  <c r="L707" i="3" a="1"/>
  <c r="L707" i="3"/>
  <c r="M707" i="3"/>
  <c r="N707" i="3"/>
  <c r="K708" i="3"/>
  <c r="L708" i="3" a="1"/>
  <c r="L708" i="3" s="1"/>
  <c r="M708" i="3"/>
  <c r="N708" i="3"/>
  <c r="K709" i="3"/>
  <c r="L709" i="3" a="1"/>
  <c r="L709" i="3"/>
  <c r="M709" i="3"/>
  <c r="N709" i="3"/>
  <c r="K710" i="3"/>
  <c r="L710" i="3" a="1"/>
  <c r="L710" i="3" s="1"/>
  <c r="M710" i="3"/>
  <c r="N710" i="3"/>
  <c r="K711" i="3"/>
  <c r="L711" i="3" a="1"/>
  <c r="L711" i="3"/>
  <c r="M711" i="3"/>
  <c r="N711" i="3"/>
  <c r="K712" i="3"/>
  <c r="L712" i="3" a="1"/>
  <c r="L712" i="3" s="1"/>
  <c r="M712" i="3"/>
  <c r="N712" i="3"/>
  <c r="K713" i="3"/>
  <c r="L713" i="3" a="1"/>
  <c r="L713" i="3"/>
  <c r="M713" i="3"/>
  <c r="N713" i="3"/>
  <c r="K714" i="3"/>
  <c r="L714" i="3" a="1"/>
  <c r="L714" i="3" s="1"/>
  <c r="M714" i="3"/>
  <c r="N714" i="3"/>
  <c r="K715" i="3"/>
  <c r="L715" i="3" a="1"/>
  <c r="L715" i="3" s="1"/>
  <c r="M715" i="3"/>
  <c r="N715" i="3"/>
  <c r="K716" i="3"/>
  <c r="L716" i="3" a="1"/>
  <c r="L716" i="3"/>
  <c r="M716" i="3"/>
  <c r="N716" i="3"/>
  <c r="K717" i="3"/>
  <c r="L717" i="3" a="1"/>
  <c r="L717" i="3" s="1"/>
  <c r="M717" i="3"/>
  <c r="N717" i="3"/>
  <c r="K718" i="3"/>
  <c r="L718" i="3" a="1"/>
  <c r="L718" i="3"/>
  <c r="M718" i="3"/>
  <c r="N718" i="3"/>
  <c r="K719" i="3"/>
  <c r="L719" i="3" a="1"/>
  <c r="L719" i="3" s="1"/>
  <c r="M719" i="3"/>
  <c r="N719" i="3"/>
  <c r="K720" i="3"/>
  <c r="L720" i="3" a="1"/>
  <c r="L720" i="3"/>
  <c r="M720" i="3"/>
  <c r="N720" i="3"/>
  <c r="K721" i="3"/>
  <c r="L721" i="3" a="1"/>
  <c r="L721" i="3" s="1"/>
  <c r="M721" i="3"/>
  <c r="N721" i="3"/>
  <c r="K722" i="3"/>
  <c r="L722" i="3" a="1"/>
  <c r="L722" i="3"/>
  <c r="M722" i="3"/>
  <c r="N722" i="3"/>
  <c r="K723" i="3"/>
  <c r="L723" i="3" a="1"/>
  <c r="L723" i="3" s="1"/>
  <c r="M723" i="3"/>
  <c r="N723" i="3"/>
  <c r="K724" i="3"/>
  <c r="L724" i="3" a="1"/>
  <c r="L724" i="3"/>
  <c r="M724" i="3"/>
  <c r="N724" i="3"/>
  <c r="K725" i="3"/>
  <c r="L725" i="3" a="1"/>
  <c r="L725" i="3" s="1"/>
  <c r="M725" i="3"/>
  <c r="N725" i="3"/>
  <c r="K726" i="3"/>
  <c r="L726" i="3" a="1"/>
  <c r="L726" i="3"/>
  <c r="M726" i="3"/>
  <c r="N726" i="3"/>
  <c r="K727" i="3"/>
  <c r="L727" i="3" a="1"/>
  <c r="L727" i="3" s="1"/>
  <c r="M727" i="3"/>
  <c r="N727" i="3"/>
  <c r="K728" i="3"/>
  <c r="L728" i="3" a="1"/>
  <c r="L728" i="3"/>
  <c r="M728" i="3"/>
  <c r="N728" i="3"/>
  <c r="K729" i="3"/>
  <c r="L729" i="3" a="1"/>
  <c r="L729" i="3" s="1"/>
  <c r="M729" i="3"/>
  <c r="N729" i="3"/>
  <c r="K730" i="3"/>
  <c r="L730" i="3" a="1"/>
  <c r="L730" i="3"/>
  <c r="M730" i="3"/>
  <c r="N730" i="3"/>
  <c r="K731" i="3"/>
  <c r="L731" i="3" a="1"/>
  <c r="L731" i="3" s="1"/>
  <c r="M731" i="3"/>
  <c r="N731" i="3"/>
  <c r="K732" i="3"/>
  <c r="L732" i="3" a="1"/>
  <c r="L732" i="3"/>
  <c r="M732" i="3"/>
  <c r="N732" i="3"/>
  <c r="K733" i="3"/>
  <c r="L733" i="3" a="1"/>
  <c r="L733" i="3" s="1"/>
  <c r="M733" i="3"/>
  <c r="N733" i="3"/>
  <c r="K734" i="3"/>
  <c r="L734" i="3" a="1"/>
  <c r="L734" i="3"/>
  <c r="M734" i="3"/>
  <c r="N734" i="3"/>
  <c r="K735" i="3"/>
  <c r="L735" i="3" a="1"/>
  <c r="L735" i="3" s="1"/>
  <c r="M735" i="3"/>
  <c r="N735" i="3"/>
  <c r="K736" i="3"/>
  <c r="L736" i="3" a="1"/>
  <c r="L736" i="3"/>
  <c r="M736" i="3"/>
  <c r="N736" i="3"/>
  <c r="K737" i="3"/>
  <c r="L737" i="3" a="1"/>
  <c r="L737" i="3" s="1"/>
  <c r="M737" i="3"/>
  <c r="N737" i="3"/>
  <c r="K738" i="3"/>
  <c r="L738" i="3" a="1"/>
  <c r="L738" i="3"/>
  <c r="M738" i="3"/>
  <c r="N738" i="3"/>
  <c r="K739" i="3"/>
  <c r="L739" i="3" a="1"/>
  <c r="L739" i="3" s="1"/>
  <c r="M739" i="3"/>
  <c r="N739" i="3"/>
  <c r="K740" i="3"/>
  <c r="L740" i="3" a="1"/>
  <c r="L740" i="3"/>
  <c r="M740" i="3"/>
  <c r="N740" i="3"/>
  <c r="K741" i="3"/>
  <c r="L741" i="3" a="1"/>
  <c r="L741" i="3" s="1"/>
  <c r="M741" i="3"/>
  <c r="N741" i="3"/>
  <c r="K742" i="3"/>
  <c r="L742" i="3" a="1"/>
  <c r="L742" i="3"/>
  <c r="M742" i="3"/>
  <c r="N742" i="3"/>
  <c r="K743" i="3"/>
  <c r="L743" i="3" a="1"/>
  <c r="L743" i="3" s="1"/>
  <c r="M743" i="3"/>
  <c r="N743" i="3"/>
  <c r="K744" i="3"/>
  <c r="L744" i="3" a="1"/>
  <c r="L744" i="3"/>
  <c r="M744" i="3"/>
  <c r="N744" i="3"/>
  <c r="K745" i="3"/>
  <c r="L745" i="3" a="1"/>
  <c r="L745" i="3" s="1"/>
  <c r="M745" i="3"/>
  <c r="N745" i="3"/>
  <c r="K746" i="3"/>
  <c r="L746" i="3" a="1"/>
  <c r="L746" i="3"/>
  <c r="M746" i="3"/>
  <c r="N746" i="3"/>
  <c r="K747" i="3"/>
  <c r="L747" i="3" a="1"/>
  <c r="L747" i="3" s="1"/>
  <c r="M747" i="3"/>
  <c r="N747" i="3"/>
  <c r="K748" i="3"/>
  <c r="L748" i="3" a="1"/>
  <c r="L748" i="3"/>
  <c r="M748" i="3"/>
  <c r="N748" i="3"/>
  <c r="K749" i="3"/>
  <c r="L749" i="3" a="1"/>
  <c r="L749" i="3" s="1"/>
  <c r="M749" i="3"/>
  <c r="N749" i="3"/>
  <c r="K750" i="3"/>
  <c r="L750" i="3" a="1"/>
  <c r="L750" i="3"/>
  <c r="M750" i="3"/>
  <c r="N750" i="3"/>
  <c r="K751" i="3"/>
  <c r="L751" i="3" a="1"/>
  <c r="L751" i="3" s="1"/>
  <c r="M751" i="3"/>
  <c r="N751" i="3"/>
  <c r="K752" i="3"/>
  <c r="L752" i="3" a="1"/>
  <c r="L752" i="3"/>
  <c r="M752" i="3"/>
  <c r="N752" i="3"/>
  <c r="K753" i="3"/>
  <c r="L753" i="3" a="1"/>
  <c r="L753" i="3" s="1"/>
  <c r="M753" i="3"/>
  <c r="N753" i="3"/>
  <c r="K754" i="3"/>
  <c r="L754" i="3" a="1"/>
  <c r="L754" i="3"/>
  <c r="M754" i="3"/>
  <c r="N754" i="3"/>
  <c r="K755" i="3"/>
  <c r="L755" i="3" a="1"/>
  <c r="L755" i="3" s="1"/>
  <c r="M755" i="3"/>
  <c r="N755" i="3"/>
  <c r="K756" i="3"/>
  <c r="L756" i="3" a="1"/>
  <c r="L756" i="3"/>
  <c r="M756" i="3"/>
  <c r="N756" i="3"/>
  <c r="K757" i="3"/>
  <c r="L757" i="3" a="1"/>
  <c r="L757" i="3" s="1"/>
  <c r="M757" i="3"/>
  <c r="N757" i="3"/>
  <c r="K758" i="3"/>
  <c r="L758" i="3" a="1"/>
  <c r="L758" i="3"/>
  <c r="M758" i="3"/>
  <c r="N758" i="3"/>
  <c r="K759" i="3"/>
  <c r="L759" i="3" a="1"/>
  <c r="L759" i="3" s="1"/>
  <c r="M759" i="3"/>
  <c r="N759" i="3"/>
  <c r="K760" i="3"/>
  <c r="L760" i="3" a="1"/>
  <c r="L760" i="3"/>
  <c r="M760" i="3"/>
  <c r="N760" i="3"/>
  <c r="K761" i="3"/>
  <c r="L761" i="3" a="1"/>
  <c r="L761" i="3" s="1"/>
  <c r="M761" i="3"/>
  <c r="N761" i="3"/>
  <c r="K762" i="3"/>
  <c r="L762" i="3" a="1"/>
  <c r="L762" i="3"/>
  <c r="M762" i="3"/>
  <c r="N762" i="3"/>
  <c r="K763" i="3"/>
  <c r="L763" i="3" a="1"/>
  <c r="L763" i="3" s="1"/>
  <c r="M763" i="3"/>
  <c r="N763" i="3"/>
  <c r="K764" i="3"/>
  <c r="L764" i="3" a="1"/>
  <c r="L764" i="3"/>
  <c r="M764" i="3"/>
  <c r="N764" i="3"/>
  <c r="K765" i="3"/>
  <c r="L765" i="3" a="1"/>
  <c r="L765" i="3" s="1"/>
  <c r="M765" i="3"/>
  <c r="N765" i="3"/>
  <c r="K766" i="3"/>
  <c r="L766" i="3" a="1"/>
  <c r="L766" i="3"/>
  <c r="M766" i="3"/>
  <c r="N766" i="3"/>
  <c r="K767" i="3"/>
  <c r="L767" i="3" a="1"/>
  <c r="L767" i="3" s="1"/>
  <c r="M767" i="3"/>
  <c r="N767" i="3"/>
  <c r="K768" i="3"/>
  <c r="L768" i="3" a="1"/>
  <c r="L768" i="3"/>
  <c r="M768" i="3"/>
  <c r="N768" i="3"/>
  <c r="K769" i="3"/>
  <c r="L769" i="3" a="1"/>
  <c r="L769" i="3" s="1"/>
  <c r="M769" i="3"/>
  <c r="N769" i="3"/>
  <c r="K770" i="3"/>
  <c r="L770" i="3" a="1"/>
  <c r="L770" i="3"/>
  <c r="M770" i="3"/>
  <c r="N770" i="3"/>
  <c r="K771" i="3"/>
  <c r="L771" i="3" a="1"/>
  <c r="L771" i="3" s="1"/>
  <c r="M771" i="3"/>
  <c r="N771" i="3"/>
  <c r="K772" i="3"/>
  <c r="L772" i="3" a="1"/>
  <c r="L772" i="3"/>
  <c r="M772" i="3"/>
  <c r="N772" i="3"/>
  <c r="K773" i="3"/>
  <c r="L773" i="3" a="1"/>
  <c r="L773" i="3" s="1"/>
  <c r="M773" i="3"/>
  <c r="N773" i="3"/>
  <c r="K774" i="3"/>
  <c r="L774" i="3" a="1"/>
  <c r="L774" i="3"/>
  <c r="M774" i="3"/>
  <c r="N774" i="3"/>
  <c r="K775" i="3"/>
  <c r="L775" i="3" a="1"/>
  <c r="L775" i="3" s="1"/>
  <c r="M775" i="3"/>
  <c r="N775" i="3"/>
  <c r="K776" i="3"/>
  <c r="L776" i="3" a="1"/>
  <c r="L776" i="3"/>
  <c r="M776" i="3"/>
  <c r="N776" i="3"/>
  <c r="K777" i="3"/>
  <c r="L777" i="3" a="1"/>
  <c r="L777" i="3" s="1"/>
  <c r="M777" i="3"/>
  <c r="N777" i="3"/>
  <c r="K778" i="3"/>
  <c r="L778" i="3" a="1"/>
  <c r="L778" i="3"/>
  <c r="M778" i="3"/>
  <c r="N778" i="3"/>
  <c r="K779" i="3"/>
  <c r="L779" i="3" a="1"/>
  <c r="L779" i="3" s="1"/>
  <c r="M779" i="3"/>
  <c r="N779" i="3"/>
  <c r="K780" i="3"/>
  <c r="L780" i="3" a="1"/>
  <c r="L780" i="3"/>
  <c r="M780" i="3"/>
  <c r="N780" i="3"/>
  <c r="K781" i="3"/>
  <c r="L781" i="3" a="1"/>
  <c r="L781" i="3" s="1"/>
  <c r="M781" i="3"/>
  <c r="N781" i="3"/>
  <c r="K782" i="3"/>
  <c r="L782" i="3" a="1"/>
  <c r="L782" i="3"/>
  <c r="M782" i="3"/>
  <c r="N782" i="3"/>
  <c r="K783" i="3"/>
  <c r="L783" i="3" a="1"/>
  <c r="L783" i="3" s="1"/>
  <c r="M783" i="3"/>
  <c r="N783" i="3"/>
  <c r="K784" i="3"/>
  <c r="L784" i="3" a="1"/>
  <c r="L784" i="3"/>
  <c r="M784" i="3"/>
  <c r="N784" i="3"/>
  <c r="K785" i="3"/>
  <c r="L785" i="3" a="1"/>
  <c r="L785" i="3" s="1"/>
  <c r="M785" i="3"/>
  <c r="N785" i="3"/>
  <c r="K786" i="3"/>
  <c r="L786" i="3" a="1"/>
  <c r="L786" i="3"/>
  <c r="M786" i="3"/>
  <c r="N786" i="3"/>
  <c r="K787" i="3"/>
  <c r="L787" i="3" a="1"/>
  <c r="L787" i="3" s="1"/>
  <c r="M787" i="3"/>
  <c r="N787" i="3"/>
  <c r="K788" i="3"/>
  <c r="L788" i="3" a="1"/>
  <c r="L788" i="3"/>
  <c r="M788" i="3"/>
  <c r="N788" i="3"/>
  <c r="K789" i="3"/>
  <c r="L789" i="3" a="1"/>
  <c r="L789" i="3" s="1"/>
  <c r="M789" i="3"/>
  <c r="N789" i="3"/>
  <c r="K790" i="3"/>
  <c r="L790" i="3" a="1"/>
  <c r="L790" i="3"/>
  <c r="M790" i="3"/>
  <c r="N790" i="3"/>
  <c r="K791" i="3"/>
  <c r="L791" i="3" a="1"/>
  <c r="L791" i="3" s="1"/>
  <c r="M791" i="3"/>
  <c r="N791" i="3"/>
  <c r="K792" i="3"/>
  <c r="L792" i="3" a="1"/>
  <c r="L792" i="3"/>
  <c r="M792" i="3"/>
  <c r="N792" i="3"/>
  <c r="K793" i="3"/>
  <c r="L793" i="3" a="1"/>
  <c r="L793" i="3" s="1"/>
  <c r="M793" i="3"/>
  <c r="N793" i="3"/>
  <c r="K794" i="3"/>
  <c r="L794" i="3" a="1"/>
  <c r="L794" i="3"/>
  <c r="M794" i="3"/>
  <c r="N794" i="3"/>
  <c r="K795" i="3"/>
  <c r="L795" i="3" a="1"/>
  <c r="L795" i="3" s="1"/>
  <c r="M795" i="3"/>
  <c r="N795" i="3"/>
  <c r="K796" i="3"/>
  <c r="L796" i="3" a="1"/>
  <c r="L796" i="3"/>
  <c r="M796" i="3"/>
  <c r="N796" i="3"/>
  <c r="K797" i="3"/>
  <c r="L797" i="3" a="1"/>
  <c r="L797" i="3" s="1"/>
  <c r="M797" i="3"/>
  <c r="N797" i="3"/>
  <c r="K798" i="3"/>
  <c r="L798" i="3" a="1"/>
  <c r="L798" i="3"/>
  <c r="M798" i="3"/>
  <c r="N798" i="3"/>
  <c r="K799" i="3"/>
  <c r="L799" i="3" a="1"/>
  <c r="L799" i="3" s="1"/>
  <c r="M799" i="3"/>
  <c r="N799" i="3"/>
  <c r="K800" i="3"/>
  <c r="L800" i="3" a="1"/>
  <c r="L800" i="3"/>
  <c r="M800" i="3"/>
  <c r="N800" i="3"/>
  <c r="K801" i="3"/>
  <c r="L801" i="3" a="1"/>
  <c r="L801" i="3" s="1"/>
  <c r="M801" i="3"/>
  <c r="N801" i="3"/>
  <c r="K802" i="3"/>
  <c r="L802" i="3" a="1"/>
  <c r="L802" i="3"/>
  <c r="M802" i="3"/>
  <c r="N802" i="3"/>
  <c r="K803" i="3"/>
  <c r="L803" i="3" a="1"/>
  <c r="L803" i="3" s="1"/>
  <c r="M803" i="3"/>
  <c r="N803" i="3"/>
  <c r="K804" i="3"/>
  <c r="L804" i="3" a="1"/>
  <c r="L804" i="3"/>
  <c r="M804" i="3"/>
  <c r="N804" i="3"/>
  <c r="K805" i="3"/>
  <c r="L805" i="3" a="1"/>
  <c r="L805" i="3" s="1"/>
  <c r="M805" i="3"/>
  <c r="N805" i="3"/>
  <c r="K806" i="3"/>
  <c r="L806" i="3" a="1"/>
  <c r="L806" i="3"/>
  <c r="M806" i="3"/>
  <c r="N806" i="3"/>
  <c r="K807" i="3"/>
  <c r="L807" i="3" a="1"/>
  <c r="L807" i="3" s="1"/>
  <c r="M807" i="3"/>
  <c r="N807" i="3"/>
  <c r="K808" i="3"/>
  <c r="L808" i="3" a="1"/>
  <c r="L808" i="3"/>
  <c r="M808" i="3"/>
  <c r="N808" i="3"/>
  <c r="K809" i="3"/>
  <c r="L809" i="3" a="1"/>
  <c r="L809" i="3" s="1"/>
  <c r="M809" i="3"/>
  <c r="N809" i="3"/>
  <c r="K810" i="3"/>
  <c r="L810" i="3" a="1"/>
  <c r="L810" i="3"/>
  <c r="M810" i="3"/>
  <c r="N810" i="3"/>
  <c r="K811" i="3"/>
  <c r="L811" i="3" a="1"/>
  <c r="L811" i="3" s="1"/>
  <c r="M811" i="3"/>
  <c r="N811" i="3"/>
  <c r="K812" i="3"/>
  <c r="L812" i="3" a="1"/>
  <c r="L812" i="3"/>
  <c r="M812" i="3"/>
  <c r="N812" i="3"/>
  <c r="K813" i="3"/>
  <c r="L813" i="3" a="1"/>
  <c r="L813" i="3" s="1"/>
  <c r="M813" i="3"/>
  <c r="N813" i="3"/>
  <c r="K814" i="3"/>
  <c r="L814" i="3" a="1"/>
  <c r="L814" i="3"/>
  <c r="M814" i="3"/>
  <c r="N814" i="3"/>
  <c r="K815" i="3"/>
  <c r="L815" i="3" a="1"/>
  <c r="L815" i="3" s="1"/>
  <c r="M815" i="3"/>
  <c r="N815" i="3"/>
  <c r="K816" i="3"/>
  <c r="L816" i="3" a="1"/>
  <c r="L816" i="3"/>
  <c r="M816" i="3"/>
  <c r="N816" i="3"/>
  <c r="K817" i="3"/>
  <c r="L817" i="3" a="1"/>
  <c r="L817" i="3" s="1"/>
  <c r="M817" i="3"/>
  <c r="N817" i="3"/>
  <c r="K818" i="3"/>
  <c r="L818" i="3" a="1"/>
  <c r="L818" i="3"/>
  <c r="M818" i="3"/>
  <c r="N818" i="3"/>
  <c r="K819" i="3"/>
  <c r="L819" i="3" a="1"/>
  <c r="L819" i="3" s="1"/>
  <c r="M819" i="3"/>
  <c r="N819" i="3"/>
  <c r="K820" i="3"/>
  <c r="L820" i="3" a="1"/>
  <c r="L820" i="3"/>
  <c r="M820" i="3"/>
  <c r="N820" i="3"/>
  <c r="K821" i="3"/>
  <c r="L821" i="3" a="1"/>
  <c r="L821" i="3" s="1"/>
  <c r="M821" i="3"/>
  <c r="N821" i="3"/>
  <c r="K822" i="3"/>
  <c r="L822" i="3" a="1"/>
  <c r="L822" i="3"/>
  <c r="M822" i="3"/>
  <c r="N822" i="3"/>
  <c r="K823" i="3"/>
  <c r="L823" i="3" a="1"/>
  <c r="L823" i="3" s="1"/>
  <c r="M823" i="3"/>
  <c r="N823" i="3"/>
  <c r="K824" i="3"/>
  <c r="L824" i="3" a="1"/>
  <c r="L824" i="3"/>
  <c r="M824" i="3"/>
  <c r="N824" i="3"/>
  <c r="K825" i="3"/>
  <c r="L825" i="3" a="1"/>
  <c r="L825" i="3" s="1"/>
  <c r="M825" i="3"/>
  <c r="N825" i="3"/>
  <c r="K826" i="3"/>
  <c r="L826" i="3" a="1"/>
  <c r="L826" i="3"/>
  <c r="M826" i="3"/>
  <c r="N826" i="3"/>
  <c r="K827" i="3"/>
  <c r="L827" i="3" a="1"/>
  <c r="L827" i="3" s="1"/>
  <c r="M827" i="3"/>
  <c r="N827" i="3"/>
  <c r="K828" i="3"/>
  <c r="L828" i="3" a="1"/>
  <c r="L828" i="3"/>
  <c r="M828" i="3"/>
  <c r="N828" i="3"/>
  <c r="K829" i="3"/>
  <c r="L829" i="3" a="1"/>
  <c r="L829" i="3" s="1"/>
  <c r="M829" i="3"/>
  <c r="N829" i="3"/>
  <c r="K830" i="3"/>
  <c r="L830" i="3" a="1"/>
  <c r="L830" i="3"/>
  <c r="M830" i="3"/>
  <c r="N830" i="3"/>
  <c r="K831" i="3"/>
  <c r="L831" i="3" a="1"/>
  <c r="L831" i="3" s="1"/>
  <c r="M831" i="3"/>
  <c r="N831" i="3"/>
  <c r="K832" i="3"/>
  <c r="L832" i="3" a="1"/>
  <c r="L832" i="3"/>
  <c r="M832" i="3"/>
  <c r="N832" i="3"/>
  <c r="K833" i="3"/>
  <c r="L833" i="3" a="1"/>
  <c r="L833" i="3" s="1"/>
  <c r="M833" i="3"/>
  <c r="N833" i="3"/>
  <c r="K834" i="3"/>
  <c r="L834" i="3" a="1"/>
  <c r="L834" i="3"/>
  <c r="M834" i="3"/>
  <c r="N834" i="3"/>
  <c r="K835" i="3"/>
  <c r="L835" i="3" a="1"/>
  <c r="L835" i="3" s="1"/>
  <c r="M835" i="3"/>
  <c r="N835" i="3"/>
  <c r="K836" i="3"/>
  <c r="L836" i="3" a="1"/>
  <c r="L836" i="3"/>
  <c r="M836" i="3"/>
  <c r="N836" i="3"/>
  <c r="K837" i="3"/>
  <c r="L837" i="3" a="1"/>
  <c r="L837" i="3" s="1"/>
  <c r="M837" i="3"/>
  <c r="N837" i="3"/>
  <c r="K838" i="3"/>
  <c r="L838" i="3" a="1"/>
  <c r="L838" i="3"/>
  <c r="M838" i="3"/>
  <c r="N838" i="3"/>
  <c r="K839" i="3"/>
  <c r="L839" i="3" a="1"/>
  <c r="L839" i="3" s="1"/>
  <c r="M839" i="3"/>
  <c r="N839" i="3"/>
  <c r="K840" i="3"/>
  <c r="L840" i="3" a="1"/>
  <c r="L840" i="3"/>
  <c r="M840" i="3"/>
  <c r="N840" i="3"/>
  <c r="K841" i="3"/>
  <c r="L841" i="3" a="1"/>
  <c r="L841" i="3" s="1"/>
  <c r="M841" i="3"/>
  <c r="N841" i="3"/>
  <c r="K842" i="3"/>
  <c r="L842" i="3" a="1"/>
  <c r="L842" i="3"/>
  <c r="M842" i="3"/>
  <c r="N842" i="3"/>
  <c r="K843" i="3"/>
  <c r="L843" i="3" a="1"/>
  <c r="L843" i="3" s="1"/>
  <c r="M843" i="3"/>
  <c r="N843" i="3"/>
  <c r="K844" i="3"/>
  <c r="L844" i="3" a="1"/>
  <c r="L844" i="3"/>
  <c r="M844" i="3"/>
  <c r="N844" i="3"/>
  <c r="K845" i="3"/>
  <c r="L845" i="3" a="1"/>
  <c r="L845" i="3" s="1"/>
  <c r="M845" i="3"/>
  <c r="N845" i="3"/>
  <c r="K846" i="3"/>
  <c r="L846" i="3" a="1"/>
  <c r="L846" i="3"/>
  <c r="M846" i="3"/>
  <c r="N846" i="3"/>
  <c r="K847" i="3"/>
  <c r="L847" i="3" a="1"/>
  <c r="L847" i="3" s="1"/>
  <c r="M847" i="3"/>
  <c r="N847" i="3"/>
  <c r="K848" i="3"/>
  <c r="L848" i="3" a="1"/>
  <c r="L848" i="3"/>
  <c r="M848" i="3"/>
  <c r="N848" i="3"/>
  <c r="K849" i="3"/>
  <c r="L849" i="3" a="1"/>
  <c r="L849" i="3" s="1"/>
  <c r="M849" i="3"/>
  <c r="N849" i="3"/>
  <c r="K850" i="3"/>
  <c r="L850" i="3" a="1"/>
  <c r="L850" i="3"/>
  <c r="M850" i="3"/>
  <c r="N850" i="3"/>
  <c r="K851" i="3"/>
  <c r="L851" i="3" a="1"/>
  <c r="L851" i="3" s="1"/>
  <c r="M851" i="3"/>
  <c r="N851" i="3"/>
  <c r="K852" i="3"/>
  <c r="L852" i="3" a="1"/>
  <c r="L852" i="3"/>
  <c r="M852" i="3"/>
  <c r="N852" i="3"/>
  <c r="K853" i="3"/>
  <c r="L853" i="3" a="1"/>
  <c r="L853" i="3" s="1"/>
  <c r="M853" i="3"/>
  <c r="N853" i="3"/>
  <c r="K854" i="3"/>
  <c r="L854" i="3" a="1"/>
  <c r="L854" i="3"/>
  <c r="M854" i="3"/>
  <c r="N854" i="3"/>
  <c r="K855" i="3"/>
  <c r="L855" i="3" a="1"/>
  <c r="L855" i="3" s="1"/>
  <c r="M855" i="3"/>
  <c r="N855" i="3"/>
  <c r="K856" i="3"/>
  <c r="L856" i="3" a="1"/>
  <c r="L856" i="3"/>
  <c r="M856" i="3"/>
  <c r="N856" i="3"/>
  <c r="K857" i="3"/>
  <c r="L857" i="3" a="1"/>
  <c r="L857" i="3" s="1"/>
  <c r="M857" i="3"/>
  <c r="N857" i="3"/>
  <c r="K858" i="3"/>
  <c r="L858" i="3" a="1"/>
  <c r="L858" i="3"/>
  <c r="M858" i="3"/>
  <c r="N858" i="3"/>
  <c r="K859" i="3"/>
  <c r="L859" i="3" a="1"/>
  <c r="L859" i="3" s="1"/>
  <c r="M859" i="3"/>
  <c r="N859" i="3"/>
  <c r="K860" i="3"/>
  <c r="L860" i="3" a="1"/>
  <c r="L860" i="3"/>
  <c r="M860" i="3"/>
  <c r="N860" i="3"/>
  <c r="K861" i="3"/>
  <c r="L861" i="3" a="1"/>
  <c r="L861" i="3" s="1"/>
  <c r="M861" i="3"/>
  <c r="N861" i="3"/>
  <c r="K862" i="3"/>
  <c r="L862" i="3" a="1"/>
  <c r="L862" i="3"/>
  <c r="M862" i="3"/>
  <c r="N862" i="3"/>
  <c r="K863" i="3"/>
  <c r="L863" i="3" a="1"/>
  <c r="L863" i="3" s="1"/>
  <c r="M863" i="3"/>
  <c r="N863" i="3"/>
  <c r="K864" i="3"/>
  <c r="L864" i="3" a="1"/>
  <c r="L864" i="3"/>
  <c r="M864" i="3"/>
  <c r="N864" i="3"/>
  <c r="K865" i="3"/>
  <c r="L865" i="3" a="1"/>
  <c r="L865" i="3" s="1"/>
  <c r="M865" i="3"/>
  <c r="N865" i="3"/>
  <c r="K866" i="3"/>
  <c r="L866" i="3" a="1"/>
  <c r="L866" i="3"/>
  <c r="M866" i="3"/>
  <c r="N866" i="3"/>
  <c r="K867" i="3"/>
  <c r="L867" i="3" a="1"/>
  <c r="L867" i="3" s="1"/>
  <c r="M867" i="3"/>
  <c r="N867" i="3"/>
  <c r="K868" i="3"/>
  <c r="L868" i="3" a="1"/>
  <c r="L868" i="3"/>
  <c r="M868" i="3"/>
  <c r="N868" i="3"/>
  <c r="K869" i="3"/>
  <c r="L869" i="3" a="1"/>
  <c r="L869" i="3" s="1"/>
  <c r="M869" i="3"/>
  <c r="N869" i="3"/>
  <c r="K870" i="3"/>
  <c r="L870" i="3" a="1"/>
  <c r="L870" i="3"/>
  <c r="M870" i="3"/>
  <c r="N870" i="3"/>
  <c r="K871" i="3"/>
  <c r="L871" i="3" a="1"/>
  <c r="L871" i="3" s="1"/>
  <c r="M871" i="3"/>
  <c r="N871" i="3"/>
  <c r="K872" i="3"/>
  <c r="L872" i="3" a="1"/>
  <c r="L872" i="3"/>
  <c r="M872" i="3"/>
  <c r="N872" i="3"/>
  <c r="K873" i="3"/>
  <c r="L873" i="3" a="1"/>
  <c r="L873" i="3" s="1"/>
  <c r="M873" i="3"/>
  <c r="N873" i="3"/>
  <c r="K874" i="3"/>
  <c r="L874" i="3" a="1"/>
  <c r="L874" i="3"/>
  <c r="M874" i="3"/>
  <c r="N874" i="3"/>
  <c r="K875" i="3"/>
  <c r="L875" i="3" a="1"/>
  <c r="L875" i="3" s="1"/>
  <c r="M875" i="3"/>
  <c r="N875" i="3"/>
  <c r="K876" i="3"/>
  <c r="L876" i="3" a="1"/>
  <c r="L876" i="3"/>
  <c r="M876" i="3"/>
  <c r="N876" i="3"/>
  <c r="K877" i="3"/>
  <c r="L877" i="3" a="1"/>
  <c r="L877" i="3" s="1"/>
  <c r="M877" i="3"/>
  <c r="N877" i="3"/>
  <c r="K878" i="3"/>
  <c r="L878" i="3" a="1"/>
  <c r="L878" i="3"/>
  <c r="M878" i="3"/>
  <c r="N878" i="3"/>
  <c r="K879" i="3"/>
  <c r="L879" i="3" a="1"/>
  <c r="L879" i="3" s="1"/>
  <c r="M879" i="3"/>
  <c r="N879" i="3"/>
  <c r="K880" i="3"/>
  <c r="L880" i="3" a="1"/>
  <c r="L880" i="3"/>
  <c r="M880" i="3"/>
  <c r="N880" i="3"/>
  <c r="K881" i="3"/>
  <c r="L881" i="3" a="1"/>
  <c r="L881" i="3" s="1"/>
  <c r="M881" i="3"/>
  <c r="N881" i="3"/>
  <c r="K882" i="3"/>
  <c r="L882" i="3" a="1"/>
  <c r="L882" i="3"/>
  <c r="M882" i="3"/>
  <c r="N882" i="3"/>
  <c r="K883" i="3"/>
  <c r="L883" i="3" a="1"/>
  <c r="L883" i="3" s="1"/>
  <c r="M883" i="3"/>
  <c r="N883" i="3"/>
  <c r="K884" i="3"/>
  <c r="L884" i="3" a="1"/>
  <c r="L884" i="3"/>
  <c r="M884" i="3"/>
  <c r="N884" i="3"/>
  <c r="K885" i="3"/>
  <c r="L885" i="3" a="1"/>
  <c r="L885" i="3" s="1"/>
  <c r="M885" i="3"/>
  <c r="N885" i="3"/>
  <c r="K886" i="3"/>
  <c r="L886" i="3" a="1"/>
  <c r="L886" i="3"/>
  <c r="M886" i="3"/>
  <c r="N886" i="3"/>
  <c r="K887" i="3"/>
  <c r="L887" i="3" a="1"/>
  <c r="L887" i="3" s="1"/>
  <c r="M887" i="3"/>
  <c r="N887" i="3"/>
  <c r="K888" i="3"/>
  <c r="L888" i="3" a="1"/>
  <c r="L888" i="3"/>
  <c r="M888" i="3"/>
  <c r="N888" i="3"/>
  <c r="K889" i="3"/>
  <c r="L889" i="3" a="1"/>
  <c r="L889" i="3" s="1"/>
  <c r="M889" i="3"/>
  <c r="N889" i="3"/>
  <c r="K890" i="3"/>
  <c r="L890" i="3" a="1"/>
  <c r="L890" i="3"/>
  <c r="M890" i="3"/>
  <c r="N890" i="3"/>
  <c r="K891" i="3"/>
  <c r="L891" i="3" a="1"/>
  <c r="L891" i="3" s="1"/>
  <c r="M891" i="3"/>
  <c r="N891" i="3"/>
  <c r="K892" i="3"/>
  <c r="L892" i="3" a="1"/>
  <c r="L892" i="3"/>
  <c r="M892" i="3"/>
  <c r="N892" i="3"/>
  <c r="K893" i="3"/>
  <c r="L893" i="3" a="1"/>
  <c r="L893" i="3" s="1"/>
  <c r="M893" i="3"/>
  <c r="N893" i="3"/>
  <c r="K894" i="3"/>
  <c r="L894" i="3" a="1"/>
  <c r="L894" i="3"/>
  <c r="M894" i="3"/>
  <c r="N894" i="3"/>
  <c r="K895" i="3"/>
  <c r="L895" i="3" a="1"/>
  <c r="L895" i="3" s="1"/>
  <c r="M895" i="3"/>
  <c r="N895" i="3"/>
  <c r="K896" i="3"/>
  <c r="L896" i="3" a="1"/>
  <c r="L896" i="3"/>
  <c r="M896" i="3"/>
  <c r="N896" i="3"/>
  <c r="K897" i="3"/>
  <c r="L897" i="3" a="1"/>
  <c r="L897" i="3" s="1"/>
  <c r="M897" i="3"/>
  <c r="N897" i="3"/>
  <c r="K898" i="3"/>
  <c r="L898" i="3" a="1"/>
  <c r="L898" i="3"/>
  <c r="M898" i="3"/>
  <c r="N898" i="3"/>
  <c r="K899" i="3"/>
  <c r="L899" i="3" a="1"/>
  <c r="L899" i="3" s="1"/>
  <c r="M899" i="3"/>
  <c r="N899" i="3"/>
  <c r="K900" i="3"/>
  <c r="L900" i="3" a="1"/>
  <c r="L900" i="3"/>
  <c r="M900" i="3"/>
  <c r="N900" i="3"/>
  <c r="K901" i="3"/>
  <c r="L901" i="3" a="1"/>
  <c r="L901" i="3" s="1"/>
  <c r="M901" i="3"/>
  <c r="N901" i="3"/>
  <c r="K902" i="3"/>
  <c r="L902" i="3" a="1"/>
  <c r="L902" i="3"/>
  <c r="M902" i="3"/>
  <c r="N902" i="3"/>
  <c r="K903" i="3"/>
  <c r="L903" i="3" a="1"/>
  <c r="L903" i="3" s="1"/>
  <c r="M903" i="3"/>
  <c r="N903" i="3"/>
  <c r="K904" i="3"/>
  <c r="L904" i="3" a="1"/>
  <c r="L904" i="3"/>
  <c r="M904" i="3"/>
  <c r="N904" i="3"/>
  <c r="K905" i="3"/>
  <c r="L905" i="3" a="1"/>
  <c r="L905" i="3" s="1"/>
  <c r="M905" i="3"/>
  <c r="N905" i="3"/>
  <c r="K906" i="3"/>
  <c r="L906" i="3" a="1"/>
  <c r="L906" i="3"/>
  <c r="M906" i="3"/>
  <c r="N906" i="3"/>
  <c r="K907" i="3"/>
  <c r="L907" i="3" a="1"/>
  <c r="L907" i="3" s="1"/>
  <c r="M907" i="3"/>
  <c r="N907" i="3"/>
  <c r="K908" i="3"/>
  <c r="L908" i="3" a="1"/>
  <c r="L908" i="3"/>
  <c r="M908" i="3"/>
  <c r="N908" i="3"/>
  <c r="K909" i="3"/>
  <c r="L909" i="3" a="1"/>
  <c r="L909" i="3" s="1"/>
  <c r="M909" i="3"/>
  <c r="N909" i="3"/>
  <c r="K910" i="3"/>
  <c r="L910" i="3" a="1"/>
  <c r="L910" i="3"/>
  <c r="M910" i="3"/>
  <c r="N910" i="3"/>
  <c r="K911" i="3"/>
  <c r="L911" i="3" a="1"/>
  <c r="L911" i="3" s="1"/>
  <c r="M911" i="3"/>
  <c r="N911" i="3"/>
  <c r="K912" i="3"/>
  <c r="L912" i="3" a="1"/>
  <c r="L912" i="3"/>
  <c r="M912" i="3"/>
  <c r="N912" i="3"/>
  <c r="K913" i="3"/>
  <c r="L913" i="3" a="1"/>
  <c r="L913" i="3" s="1"/>
  <c r="M913" i="3"/>
  <c r="N913" i="3"/>
  <c r="K914" i="3"/>
  <c r="L914" i="3" a="1"/>
  <c r="L914" i="3"/>
  <c r="M914" i="3"/>
  <c r="N914" i="3"/>
  <c r="K915" i="3"/>
  <c r="L915" i="3" a="1"/>
  <c r="L915" i="3" s="1"/>
  <c r="M915" i="3"/>
  <c r="N915" i="3"/>
  <c r="K916" i="3"/>
  <c r="L916" i="3" a="1"/>
  <c r="L916" i="3"/>
  <c r="M916" i="3"/>
  <c r="N916" i="3"/>
  <c r="K917" i="3"/>
  <c r="L917" i="3" a="1"/>
  <c r="L917" i="3" s="1"/>
  <c r="M917" i="3"/>
  <c r="N917" i="3"/>
  <c r="K918" i="3"/>
  <c r="L918" i="3" a="1"/>
  <c r="L918" i="3"/>
  <c r="M918" i="3"/>
  <c r="N918" i="3"/>
  <c r="K919" i="3"/>
  <c r="L919" i="3" a="1"/>
  <c r="L919" i="3" s="1"/>
  <c r="M919" i="3"/>
  <c r="N919" i="3"/>
  <c r="K920" i="3"/>
  <c r="L920" i="3" a="1"/>
  <c r="L920" i="3"/>
  <c r="M920" i="3"/>
  <c r="N920" i="3"/>
  <c r="K921" i="3"/>
  <c r="L921" i="3" a="1"/>
  <c r="L921" i="3" s="1"/>
  <c r="M921" i="3"/>
  <c r="N921" i="3"/>
  <c r="K129" i="3"/>
  <c r="L129" i="3" a="1"/>
  <c r="L129" i="3"/>
  <c r="M129" i="3"/>
  <c r="N129" i="3"/>
  <c r="K130" i="3"/>
  <c r="L130" i="3" a="1"/>
  <c r="L130" i="3"/>
  <c r="M130" i="3"/>
  <c r="N130" i="3"/>
  <c r="K131" i="3"/>
  <c r="L131" i="3" a="1"/>
  <c r="L131" i="3" s="1"/>
  <c r="M131" i="3"/>
  <c r="N131" i="3"/>
  <c r="K132" i="3"/>
  <c r="L132" i="3" a="1"/>
  <c r="L132" i="3" s="1"/>
  <c r="M132" i="3"/>
  <c r="N132" i="3"/>
  <c r="K133" i="3"/>
  <c r="L133" i="3" a="1"/>
  <c r="L133" i="3"/>
  <c r="M133" i="3"/>
  <c r="N133" i="3"/>
  <c r="K134" i="3"/>
  <c r="L134" i="3" a="1"/>
  <c r="L134" i="3"/>
  <c r="M134" i="3"/>
  <c r="N134" i="3"/>
  <c r="K135" i="3"/>
  <c r="L135" i="3" a="1"/>
  <c r="L135" i="3" s="1"/>
  <c r="M135" i="3"/>
  <c r="N135" i="3"/>
  <c r="K136" i="3"/>
  <c r="L136" i="3" a="1"/>
  <c r="L136" i="3" s="1"/>
  <c r="M136" i="3"/>
  <c r="N136" i="3"/>
  <c r="K137" i="3"/>
  <c r="L137" i="3" a="1"/>
  <c r="L137" i="3"/>
  <c r="M137" i="3"/>
  <c r="N137" i="3"/>
  <c r="K138" i="3"/>
  <c r="L138" i="3" a="1"/>
  <c r="L138" i="3"/>
  <c r="M138" i="3"/>
  <c r="N138" i="3"/>
  <c r="K139" i="3"/>
  <c r="L139" i="3" a="1"/>
  <c r="L139" i="3" s="1"/>
  <c r="M139" i="3"/>
  <c r="N139" i="3"/>
  <c r="K140" i="3"/>
  <c r="L140" i="3" a="1"/>
  <c r="L140" i="3" s="1"/>
  <c r="M140" i="3"/>
  <c r="N140" i="3"/>
  <c r="K141" i="3"/>
  <c r="L141" i="3" a="1"/>
  <c r="L141" i="3"/>
  <c r="M141" i="3"/>
  <c r="N141" i="3"/>
  <c r="K142" i="3"/>
  <c r="L142" i="3" a="1"/>
  <c r="L142" i="3"/>
  <c r="M142" i="3"/>
  <c r="N142" i="3"/>
  <c r="K143" i="3"/>
  <c r="L143" i="3" a="1"/>
  <c r="L143" i="3" s="1"/>
  <c r="M143" i="3"/>
  <c r="N143" i="3"/>
  <c r="K144" i="3"/>
  <c r="L144" i="3" a="1"/>
  <c r="L144" i="3" s="1"/>
  <c r="M144" i="3"/>
  <c r="N144" i="3"/>
  <c r="K145" i="3"/>
  <c r="L145" i="3" a="1"/>
  <c r="L145" i="3"/>
  <c r="M145" i="3"/>
  <c r="N145" i="3"/>
  <c r="K146" i="3"/>
  <c r="L146" i="3" a="1"/>
  <c r="L146" i="3"/>
  <c r="M146" i="3"/>
  <c r="N146" i="3"/>
  <c r="K147" i="3"/>
  <c r="L147" i="3" a="1"/>
  <c r="L147" i="3" s="1"/>
  <c r="M147" i="3"/>
  <c r="N147" i="3"/>
  <c r="K148" i="3"/>
  <c r="L148" i="3" a="1"/>
  <c r="L148" i="3" s="1"/>
  <c r="M148" i="3"/>
  <c r="N148" i="3"/>
  <c r="K149" i="3"/>
  <c r="L149" i="3" a="1"/>
  <c r="L149" i="3"/>
  <c r="M149" i="3"/>
  <c r="N149" i="3"/>
  <c r="K150" i="3"/>
  <c r="L150" i="3" a="1"/>
  <c r="L150" i="3"/>
  <c r="M150" i="3"/>
  <c r="N150" i="3"/>
  <c r="K151" i="3"/>
  <c r="L151" i="3" a="1"/>
  <c r="L151" i="3" s="1"/>
  <c r="M151" i="3"/>
  <c r="N151" i="3"/>
  <c r="K152" i="3"/>
  <c r="L152" i="3" a="1"/>
  <c r="L152" i="3"/>
  <c r="M152" i="3"/>
  <c r="N152" i="3"/>
  <c r="K153" i="3"/>
  <c r="L153" i="3" a="1"/>
  <c r="L153" i="3"/>
  <c r="M153" i="3"/>
  <c r="N153" i="3"/>
  <c r="K154" i="3"/>
  <c r="L154" i="3" a="1"/>
  <c r="L154" i="3"/>
  <c r="M154" i="3"/>
  <c r="N154" i="3"/>
  <c r="K155" i="3"/>
  <c r="L155" i="3" a="1"/>
  <c r="L155" i="3" s="1"/>
  <c r="M155" i="3"/>
  <c r="N155" i="3"/>
  <c r="K156" i="3"/>
  <c r="L156" i="3" a="1"/>
  <c r="L156" i="3" s="1"/>
  <c r="M156" i="3"/>
  <c r="N156" i="3"/>
  <c r="K157" i="3"/>
  <c r="L157" i="3" a="1"/>
  <c r="L157" i="3"/>
  <c r="M157" i="3"/>
  <c r="N157" i="3"/>
  <c r="K158" i="3"/>
  <c r="L158" i="3" a="1"/>
  <c r="L158" i="3"/>
  <c r="M158" i="3"/>
  <c r="N158" i="3"/>
  <c r="K159" i="3"/>
  <c r="L159" i="3" a="1"/>
  <c r="L159" i="3" s="1"/>
  <c r="M159" i="3"/>
  <c r="N159" i="3"/>
  <c r="K160" i="3"/>
  <c r="L160" i="3" a="1"/>
  <c r="L160" i="3" s="1"/>
  <c r="M160" i="3"/>
  <c r="N160" i="3"/>
  <c r="K161" i="3"/>
  <c r="L161" i="3" a="1"/>
  <c r="L161" i="3"/>
  <c r="M161" i="3"/>
  <c r="N161" i="3"/>
  <c r="K162" i="3"/>
  <c r="L162" i="3" a="1"/>
  <c r="L162" i="3"/>
  <c r="M162" i="3"/>
  <c r="N162" i="3"/>
  <c r="K163" i="3"/>
  <c r="L163" i="3" a="1"/>
  <c r="L163" i="3" s="1"/>
  <c r="M163" i="3"/>
  <c r="N163" i="3"/>
  <c r="K164" i="3"/>
  <c r="L164" i="3" a="1"/>
  <c r="L164" i="3"/>
  <c r="M164" i="3"/>
  <c r="N164" i="3"/>
  <c r="K165" i="3"/>
  <c r="L165" i="3" a="1"/>
  <c r="L165" i="3"/>
  <c r="M165" i="3"/>
  <c r="N165" i="3"/>
  <c r="K166" i="3"/>
  <c r="L166" i="3" a="1"/>
  <c r="L166" i="3"/>
  <c r="M166" i="3"/>
  <c r="N166" i="3"/>
  <c r="K167" i="3"/>
  <c r="L167" i="3" a="1"/>
  <c r="L167" i="3" s="1"/>
  <c r="M167" i="3"/>
  <c r="N167" i="3"/>
  <c r="K168" i="3"/>
  <c r="L168" i="3" a="1"/>
  <c r="L168" i="3"/>
  <c r="M168" i="3"/>
  <c r="N168" i="3"/>
  <c r="K169" i="3"/>
  <c r="L169" i="3" a="1"/>
  <c r="L169" i="3"/>
  <c r="M169" i="3"/>
  <c r="N169" i="3"/>
  <c r="K170" i="3"/>
  <c r="L170" i="3" a="1"/>
  <c r="L170" i="3"/>
  <c r="M170" i="3"/>
  <c r="N170" i="3"/>
  <c r="K171" i="3"/>
  <c r="L171" i="3" a="1"/>
  <c r="L171" i="3" s="1"/>
  <c r="M171" i="3"/>
  <c r="N171" i="3"/>
  <c r="K172" i="3"/>
  <c r="L172" i="3" a="1"/>
  <c r="L172" i="3" s="1"/>
  <c r="M172" i="3"/>
  <c r="N172" i="3"/>
  <c r="K173" i="3"/>
  <c r="L173" i="3" a="1"/>
  <c r="L173" i="3"/>
  <c r="M173" i="3"/>
  <c r="N173" i="3"/>
  <c r="K174" i="3"/>
  <c r="L174" i="3" a="1"/>
  <c r="L174" i="3"/>
  <c r="M174" i="3"/>
  <c r="N174" i="3"/>
  <c r="K175" i="3"/>
  <c r="L175" i="3" a="1"/>
  <c r="L175" i="3" s="1"/>
  <c r="M175" i="3"/>
  <c r="N175" i="3"/>
  <c r="K176" i="3"/>
  <c r="L176" i="3" a="1"/>
  <c r="L176" i="3"/>
  <c r="M176" i="3"/>
  <c r="N176" i="3"/>
  <c r="K177" i="3"/>
  <c r="L177" i="3" a="1"/>
  <c r="L177" i="3"/>
  <c r="M177" i="3"/>
  <c r="N177" i="3"/>
  <c r="K178" i="3"/>
  <c r="L178" i="3" a="1"/>
  <c r="L178" i="3"/>
  <c r="M178" i="3"/>
  <c r="N178" i="3"/>
  <c r="K179" i="3"/>
  <c r="L179" i="3" a="1"/>
  <c r="L179" i="3" s="1"/>
  <c r="M179" i="3"/>
  <c r="N179" i="3"/>
  <c r="K180" i="3"/>
  <c r="L180" i="3" a="1"/>
  <c r="L180" i="3" s="1"/>
  <c r="M180" i="3"/>
  <c r="N180" i="3"/>
  <c r="K181" i="3"/>
  <c r="L181" i="3" a="1"/>
  <c r="L181" i="3"/>
  <c r="M181" i="3"/>
  <c r="N181" i="3"/>
  <c r="K182" i="3"/>
  <c r="L182" i="3" a="1"/>
  <c r="L182" i="3"/>
  <c r="M182" i="3"/>
  <c r="N182" i="3"/>
  <c r="K183" i="3"/>
  <c r="L183" i="3" a="1"/>
  <c r="L183" i="3" s="1"/>
  <c r="M183" i="3"/>
  <c r="N183" i="3"/>
  <c r="K184" i="3"/>
  <c r="L184" i="3" a="1"/>
  <c r="L184" i="3" s="1"/>
  <c r="M184" i="3"/>
  <c r="N184" i="3"/>
  <c r="K185" i="3"/>
  <c r="L185" i="3" a="1"/>
  <c r="L185" i="3"/>
  <c r="M185" i="3"/>
  <c r="N185" i="3"/>
  <c r="K186" i="3"/>
  <c r="L186" i="3" a="1"/>
  <c r="L186" i="3"/>
  <c r="M186" i="3"/>
  <c r="N186" i="3"/>
  <c r="K187" i="3"/>
  <c r="L187" i="3" a="1"/>
  <c r="L187" i="3" s="1"/>
  <c r="M187" i="3"/>
  <c r="N187" i="3"/>
  <c r="K188" i="3"/>
  <c r="L188" i="3" a="1"/>
  <c r="L188" i="3"/>
  <c r="M188" i="3"/>
  <c r="N188" i="3"/>
  <c r="K189" i="3"/>
  <c r="L189" i="3" a="1"/>
  <c r="L189" i="3"/>
  <c r="M189" i="3"/>
  <c r="N189" i="3"/>
  <c r="K190" i="3"/>
  <c r="L190" i="3" a="1"/>
  <c r="L190" i="3"/>
  <c r="M190" i="3"/>
  <c r="N190" i="3"/>
  <c r="K191" i="3"/>
  <c r="L191" i="3" a="1"/>
  <c r="L191" i="3" s="1"/>
  <c r="M191" i="3"/>
  <c r="N191" i="3"/>
  <c r="K192" i="3"/>
  <c r="L192" i="3" a="1"/>
  <c r="L192" i="3"/>
  <c r="M192" i="3"/>
  <c r="N192" i="3"/>
  <c r="K193" i="3"/>
  <c r="L193" i="3" a="1"/>
  <c r="L193" i="3"/>
  <c r="M193" i="3"/>
  <c r="N193" i="3"/>
  <c r="K194" i="3"/>
  <c r="L194" i="3" a="1"/>
  <c r="L194" i="3"/>
  <c r="M194" i="3"/>
  <c r="N194" i="3"/>
  <c r="K195" i="3"/>
  <c r="L195" i="3" a="1"/>
  <c r="L195" i="3" s="1"/>
  <c r="M195" i="3"/>
  <c r="N195" i="3"/>
  <c r="K196" i="3"/>
  <c r="L196" i="3" a="1"/>
  <c r="L196" i="3"/>
  <c r="M196" i="3"/>
  <c r="N196" i="3"/>
  <c r="K197" i="3"/>
  <c r="L197" i="3" a="1"/>
  <c r="L197" i="3"/>
  <c r="M197" i="3"/>
  <c r="N197" i="3"/>
  <c r="K198" i="3"/>
  <c r="L198" i="3" a="1"/>
  <c r="L198" i="3"/>
  <c r="M198" i="3"/>
  <c r="N198" i="3"/>
  <c r="K199" i="3"/>
  <c r="L199" i="3" a="1"/>
  <c r="L199" i="3" s="1"/>
  <c r="M199" i="3"/>
  <c r="N199" i="3"/>
  <c r="K200" i="3"/>
  <c r="L200" i="3" a="1"/>
  <c r="L200" i="3"/>
  <c r="M200" i="3"/>
  <c r="N200" i="3"/>
  <c r="K201" i="3"/>
  <c r="L201" i="3" a="1"/>
  <c r="L201" i="3"/>
  <c r="M201" i="3"/>
  <c r="N201" i="3"/>
  <c r="K202" i="3"/>
  <c r="L202" i="3" a="1"/>
  <c r="L202" i="3"/>
  <c r="M202" i="3"/>
  <c r="N202" i="3"/>
  <c r="K203" i="3"/>
  <c r="L203" i="3" a="1"/>
  <c r="L203" i="3" s="1"/>
  <c r="M203" i="3"/>
  <c r="N203" i="3"/>
  <c r="K204" i="3"/>
  <c r="L204" i="3" a="1"/>
  <c r="L204" i="3" s="1"/>
  <c r="M204" i="3"/>
  <c r="N204" i="3"/>
  <c r="K205" i="3"/>
  <c r="L205" i="3" a="1"/>
  <c r="L205" i="3"/>
  <c r="M205" i="3"/>
  <c r="N205" i="3"/>
  <c r="K206" i="3"/>
  <c r="L206" i="3" a="1"/>
  <c r="L206" i="3"/>
  <c r="M206" i="3"/>
  <c r="N206" i="3"/>
  <c r="K207" i="3"/>
  <c r="L207" i="3" a="1"/>
  <c r="L207" i="3" s="1"/>
  <c r="M207" i="3"/>
  <c r="N207" i="3"/>
  <c r="K208" i="3"/>
  <c r="L208" i="3" a="1"/>
  <c r="L208" i="3" s="1"/>
  <c r="M208" i="3"/>
  <c r="N208" i="3"/>
  <c r="K209" i="3"/>
  <c r="L209" i="3" a="1"/>
  <c r="L209" i="3"/>
  <c r="M209" i="3"/>
  <c r="N209" i="3"/>
  <c r="K210" i="3"/>
  <c r="L210" i="3" a="1"/>
  <c r="L210" i="3"/>
  <c r="M210" i="3"/>
  <c r="N210" i="3"/>
  <c r="K211" i="3"/>
  <c r="L211" i="3" a="1"/>
  <c r="L211" i="3" s="1"/>
  <c r="M211" i="3"/>
  <c r="N211" i="3"/>
  <c r="K212" i="3"/>
  <c r="L212" i="3" a="1"/>
  <c r="L212" i="3"/>
  <c r="M212" i="3"/>
  <c r="N212" i="3"/>
  <c r="K213" i="3"/>
  <c r="L213" i="3" a="1"/>
  <c r="L213" i="3"/>
  <c r="M213" i="3"/>
  <c r="N213" i="3"/>
  <c r="K214" i="3"/>
  <c r="L214" i="3" a="1"/>
  <c r="L214" i="3"/>
  <c r="M214" i="3"/>
  <c r="N214" i="3"/>
  <c r="K215" i="3"/>
  <c r="L215" i="3" a="1"/>
  <c r="L215" i="3" s="1"/>
  <c r="M215" i="3"/>
  <c r="N215" i="3"/>
  <c r="K216" i="3"/>
  <c r="L216" i="3" a="1"/>
  <c r="L216" i="3" s="1"/>
  <c r="M216" i="3"/>
  <c r="N216" i="3"/>
  <c r="K217" i="3"/>
  <c r="L217" i="3" a="1"/>
  <c r="L217" i="3"/>
  <c r="M217" i="3"/>
  <c r="N217" i="3"/>
  <c r="K218" i="3"/>
  <c r="L218" i="3" a="1"/>
  <c r="L218" i="3"/>
  <c r="M218" i="3"/>
  <c r="N218" i="3"/>
  <c r="K219" i="3"/>
  <c r="L219" i="3" a="1"/>
  <c r="L219" i="3" s="1"/>
  <c r="M219" i="3"/>
  <c r="N219" i="3"/>
  <c r="K220" i="3"/>
  <c r="L220" i="3" a="1"/>
  <c r="L220" i="3" s="1"/>
  <c r="M220" i="3"/>
  <c r="N220" i="3"/>
  <c r="K221" i="3"/>
  <c r="L221" i="3" a="1"/>
  <c r="L221" i="3"/>
  <c r="M221" i="3"/>
  <c r="N221" i="3"/>
  <c r="K222" i="3"/>
  <c r="L222" i="3" a="1"/>
  <c r="L222" i="3"/>
  <c r="M222" i="3"/>
  <c r="N222" i="3"/>
  <c r="K223" i="3"/>
  <c r="L223" i="3" a="1"/>
  <c r="L223" i="3" s="1"/>
  <c r="M223" i="3"/>
  <c r="N223" i="3"/>
  <c r="K224" i="3"/>
  <c r="L224" i="3" a="1"/>
  <c r="L224" i="3" s="1"/>
  <c r="M224" i="3"/>
  <c r="N224" i="3"/>
  <c r="K225" i="3"/>
  <c r="L225" i="3" a="1"/>
  <c r="L225" i="3"/>
  <c r="M225" i="3"/>
  <c r="N225" i="3"/>
  <c r="K226" i="3"/>
  <c r="L226" i="3" a="1"/>
  <c r="L226" i="3"/>
  <c r="M226" i="3"/>
  <c r="N226" i="3"/>
  <c r="K227" i="3"/>
  <c r="L227" i="3" a="1"/>
  <c r="L227" i="3" s="1"/>
  <c r="M227" i="3"/>
  <c r="N227" i="3"/>
  <c r="K228" i="3"/>
  <c r="L228" i="3" a="1"/>
  <c r="L228" i="3"/>
  <c r="M228" i="3"/>
  <c r="N228" i="3"/>
  <c r="K229" i="3"/>
  <c r="L229" i="3" a="1"/>
  <c r="L229" i="3"/>
  <c r="M229" i="3"/>
  <c r="N229" i="3"/>
  <c r="K230" i="3"/>
  <c r="L230" i="3" a="1"/>
  <c r="L230" i="3"/>
  <c r="M230" i="3"/>
  <c r="N230" i="3"/>
  <c r="K231" i="3"/>
  <c r="L231" i="3" a="1"/>
  <c r="L231" i="3" s="1"/>
  <c r="M231" i="3"/>
  <c r="N231" i="3"/>
  <c r="K232" i="3"/>
  <c r="L232" i="3" a="1"/>
  <c r="L232" i="3"/>
  <c r="M232" i="3"/>
  <c r="N232" i="3"/>
  <c r="K233" i="3"/>
  <c r="L233" i="3" a="1"/>
  <c r="L233" i="3" s="1"/>
  <c r="M233" i="3"/>
  <c r="N233" i="3"/>
  <c r="K234" i="3"/>
  <c r="L234" i="3" a="1"/>
  <c r="L234" i="3"/>
  <c r="M234" i="3"/>
  <c r="N234" i="3"/>
  <c r="K235" i="3"/>
  <c r="L235" i="3" a="1"/>
  <c r="L235" i="3" s="1"/>
  <c r="M235" i="3"/>
  <c r="N235" i="3"/>
  <c r="K236" i="3"/>
  <c r="L236" i="3" a="1"/>
  <c r="L236" i="3"/>
  <c r="M236" i="3"/>
  <c r="N236" i="3"/>
  <c r="K237" i="3"/>
  <c r="L237" i="3" a="1"/>
  <c r="L237" i="3" s="1"/>
  <c r="M237" i="3"/>
  <c r="N237" i="3"/>
  <c r="K238" i="3"/>
  <c r="L238" i="3" a="1"/>
  <c r="L238" i="3"/>
  <c r="M238" i="3"/>
  <c r="N238" i="3"/>
  <c r="K239" i="3"/>
  <c r="L239" i="3" a="1"/>
  <c r="L239" i="3" s="1"/>
  <c r="M239" i="3"/>
  <c r="N239" i="3"/>
  <c r="K240" i="3"/>
  <c r="L240" i="3" a="1"/>
  <c r="L240" i="3"/>
  <c r="M240" i="3"/>
  <c r="N240" i="3"/>
  <c r="K241" i="3"/>
  <c r="L241" i="3" a="1"/>
  <c r="L241" i="3" s="1"/>
  <c r="M241" i="3"/>
  <c r="N241" i="3"/>
  <c r="K242" i="3"/>
  <c r="L242" i="3" a="1"/>
  <c r="L242" i="3"/>
  <c r="M242" i="3"/>
  <c r="N242" i="3"/>
  <c r="K243" i="3"/>
  <c r="L243" i="3" a="1"/>
  <c r="L243" i="3" s="1"/>
  <c r="M243" i="3"/>
  <c r="N243" i="3"/>
  <c r="K244" i="3"/>
  <c r="L244" i="3" a="1"/>
  <c r="L244" i="3"/>
  <c r="M244" i="3"/>
  <c r="N244" i="3"/>
  <c r="K245" i="3"/>
  <c r="L245" i="3" a="1"/>
  <c r="L245" i="3" s="1"/>
  <c r="M245" i="3"/>
  <c r="N245" i="3"/>
  <c r="K246" i="3"/>
  <c r="L246" i="3" a="1"/>
  <c r="L246" i="3"/>
  <c r="M246" i="3"/>
  <c r="N246" i="3"/>
  <c r="K247" i="3"/>
  <c r="L247" i="3" a="1"/>
  <c r="L247" i="3" s="1"/>
  <c r="M247" i="3"/>
  <c r="N247" i="3"/>
  <c r="K248" i="3"/>
  <c r="L248" i="3" a="1"/>
  <c r="L248" i="3"/>
  <c r="M248" i="3"/>
  <c r="N248" i="3"/>
  <c r="K249" i="3"/>
  <c r="L249" i="3" a="1"/>
  <c r="L249" i="3" s="1"/>
  <c r="M249" i="3"/>
  <c r="N249" i="3"/>
  <c r="K250" i="3"/>
  <c r="L250" i="3" a="1"/>
  <c r="L250" i="3"/>
  <c r="M250" i="3"/>
  <c r="N250" i="3"/>
  <c r="K251" i="3"/>
  <c r="L251" i="3" a="1"/>
  <c r="L251" i="3" s="1"/>
  <c r="M251" i="3"/>
  <c r="N251" i="3"/>
  <c r="K252" i="3"/>
  <c r="L252" i="3" a="1"/>
  <c r="L252" i="3" s="1"/>
  <c r="M252" i="3"/>
  <c r="N252" i="3"/>
  <c r="K253" i="3"/>
  <c r="L253" i="3" a="1"/>
  <c r="L253" i="3" s="1"/>
  <c r="M253" i="3"/>
  <c r="N253" i="3"/>
  <c r="K254" i="3"/>
  <c r="L254" i="3" a="1"/>
  <c r="L254" i="3"/>
  <c r="M254" i="3"/>
  <c r="N254" i="3"/>
  <c r="K255" i="3"/>
  <c r="L255" i="3" a="1"/>
  <c r="L255" i="3" s="1"/>
  <c r="M255" i="3"/>
  <c r="N255" i="3"/>
  <c r="K256" i="3"/>
  <c r="L256" i="3" a="1"/>
  <c r="L256" i="3" s="1"/>
  <c r="M256" i="3"/>
  <c r="N256" i="3"/>
  <c r="K257" i="3"/>
  <c r="L257" i="3" a="1"/>
  <c r="L257" i="3" s="1"/>
  <c r="M257" i="3"/>
  <c r="N257" i="3"/>
  <c r="K258" i="3"/>
  <c r="L258" i="3" a="1"/>
  <c r="L258" i="3"/>
  <c r="M258" i="3"/>
  <c r="N258" i="3"/>
  <c r="K259" i="3"/>
  <c r="L259" i="3" a="1"/>
  <c r="L259" i="3" s="1"/>
  <c r="M259" i="3"/>
  <c r="N259" i="3"/>
  <c r="K260" i="3"/>
  <c r="L260" i="3" a="1"/>
  <c r="L260" i="3" s="1"/>
  <c r="M260" i="3"/>
  <c r="N260" i="3"/>
  <c r="K261" i="3"/>
  <c r="L261" i="3" a="1"/>
  <c r="L261" i="3" s="1"/>
  <c r="M261" i="3"/>
  <c r="N261" i="3"/>
  <c r="K262" i="3"/>
  <c r="L262" i="3" a="1"/>
  <c r="L262" i="3"/>
  <c r="M262" i="3"/>
  <c r="N262" i="3"/>
  <c r="K263" i="3"/>
  <c r="L263" i="3" a="1"/>
  <c r="L263" i="3" s="1"/>
  <c r="M263" i="3"/>
  <c r="N263" i="3"/>
  <c r="K264" i="3"/>
  <c r="L264" i="3" a="1"/>
  <c r="L264" i="3" s="1"/>
  <c r="M264" i="3"/>
  <c r="N264" i="3"/>
  <c r="K265" i="3"/>
  <c r="L265" i="3" a="1"/>
  <c r="L265" i="3" s="1"/>
  <c r="M265" i="3"/>
  <c r="N265" i="3"/>
  <c r="K266" i="3"/>
  <c r="L266" i="3" a="1"/>
  <c r="L266" i="3"/>
  <c r="M266" i="3"/>
  <c r="N266" i="3"/>
  <c r="K267" i="3"/>
  <c r="L267" i="3" a="1"/>
  <c r="L267" i="3" s="1"/>
  <c r="M267" i="3"/>
  <c r="N267" i="3"/>
  <c r="K268" i="3"/>
  <c r="L268" i="3" a="1"/>
  <c r="L268" i="3" s="1"/>
  <c r="M268" i="3"/>
  <c r="N268" i="3"/>
  <c r="K269" i="3"/>
  <c r="L269" i="3" a="1"/>
  <c r="L269" i="3" s="1"/>
  <c r="M269" i="3"/>
  <c r="N269" i="3"/>
  <c r="K270" i="3"/>
  <c r="L270" i="3" a="1"/>
  <c r="L270" i="3"/>
  <c r="M270" i="3"/>
  <c r="N270" i="3"/>
  <c r="K271" i="3"/>
  <c r="L271" i="3" a="1"/>
  <c r="L271" i="3" s="1"/>
  <c r="M271" i="3"/>
  <c r="N271" i="3"/>
  <c r="K272" i="3"/>
  <c r="L272" i="3" a="1"/>
  <c r="L272" i="3" s="1"/>
  <c r="M272" i="3"/>
  <c r="N272" i="3"/>
  <c r="K273" i="3"/>
  <c r="L273" i="3" a="1"/>
  <c r="L273" i="3" s="1"/>
  <c r="M273" i="3"/>
  <c r="N273" i="3"/>
  <c r="K274" i="3"/>
  <c r="L274" i="3" a="1"/>
  <c r="L274" i="3"/>
  <c r="M274" i="3"/>
  <c r="N274" i="3"/>
  <c r="K275" i="3"/>
  <c r="L275" i="3" a="1"/>
  <c r="L275" i="3" s="1"/>
  <c r="M275" i="3"/>
  <c r="N275" i="3"/>
  <c r="K276" i="3"/>
  <c r="L276" i="3" a="1"/>
  <c r="L276" i="3" s="1"/>
  <c r="M276" i="3"/>
  <c r="N276" i="3"/>
  <c r="K277" i="3"/>
  <c r="L277" i="3" a="1"/>
  <c r="L277" i="3" s="1"/>
  <c r="M277" i="3"/>
  <c r="N277" i="3"/>
  <c r="K278" i="3"/>
  <c r="L278" i="3" a="1"/>
  <c r="L278" i="3"/>
  <c r="M278" i="3"/>
  <c r="N278" i="3"/>
  <c r="K279" i="3"/>
  <c r="L279" i="3" a="1"/>
  <c r="L279" i="3" s="1"/>
  <c r="M279" i="3"/>
  <c r="N279" i="3"/>
  <c r="K280" i="3"/>
  <c r="L280" i="3" a="1"/>
  <c r="L280" i="3" s="1"/>
  <c r="M280" i="3"/>
  <c r="N280" i="3"/>
  <c r="K281" i="3"/>
  <c r="L281" i="3" a="1"/>
  <c r="L281" i="3" s="1"/>
  <c r="M281" i="3"/>
  <c r="N281" i="3"/>
  <c r="K282" i="3"/>
  <c r="L282" i="3" a="1"/>
  <c r="L282" i="3"/>
  <c r="M282" i="3"/>
  <c r="N282" i="3"/>
  <c r="K283" i="3"/>
  <c r="L283" i="3" a="1"/>
  <c r="L283" i="3" s="1"/>
  <c r="M283" i="3"/>
  <c r="N283" i="3"/>
  <c r="K284" i="3"/>
  <c r="L284" i="3" a="1"/>
  <c r="L284" i="3" s="1"/>
  <c r="M284" i="3"/>
  <c r="N284" i="3"/>
  <c r="K285" i="3"/>
  <c r="L285" i="3" a="1"/>
  <c r="L285" i="3" s="1"/>
  <c r="M285" i="3"/>
  <c r="N285" i="3"/>
  <c r="K286" i="3"/>
  <c r="L286" i="3" a="1"/>
  <c r="L286" i="3"/>
  <c r="M286" i="3"/>
  <c r="N286" i="3"/>
  <c r="K287" i="3"/>
  <c r="L287" i="3" a="1"/>
  <c r="L287" i="3" s="1"/>
  <c r="M287" i="3"/>
  <c r="N287" i="3"/>
  <c r="K288" i="3"/>
  <c r="L288" i="3" a="1"/>
  <c r="L288" i="3" s="1"/>
  <c r="M288" i="3"/>
  <c r="N288" i="3"/>
  <c r="K289" i="3"/>
  <c r="L289" i="3" a="1"/>
  <c r="L289" i="3" s="1"/>
  <c r="M289" i="3"/>
  <c r="N289" i="3"/>
  <c r="K290" i="3"/>
  <c r="L290" i="3" a="1"/>
  <c r="L290" i="3"/>
  <c r="M290" i="3"/>
  <c r="N290" i="3"/>
  <c r="K291" i="3"/>
  <c r="L291" i="3" a="1"/>
  <c r="L291" i="3" s="1"/>
  <c r="M291" i="3"/>
  <c r="N291" i="3"/>
  <c r="K292" i="3"/>
  <c r="L292" i="3" a="1"/>
  <c r="L292" i="3" s="1"/>
  <c r="M292" i="3"/>
  <c r="N292" i="3"/>
  <c r="K293" i="3"/>
  <c r="L293" i="3" a="1"/>
  <c r="L293" i="3" s="1"/>
  <c r="M293" i="3"/>
  <c r="N293" i="3"/>
  <c r="K294" i="3"/>
  <c r="L294" i="3" a="1"/>
  <c r="L294" i="3"/>
  <c r="M294" i="3"/>
  <c r="N294" i="3"/>
  <c r="K295" i="3"/>
  <c r="L295" i="3" a="1"/>
  <c r="L295" i="3" s="1"/>
  <c r="M295" i="3"/>
  <c r="N295" i="3"/>
  <c r="K296" i="3"/>
  <c r="L296" i="3" a="1"/>
  <c r="L296" i="3" s="1"/>
  <c r="M296" i="3"/>
  <c r="N296" i="3"/>
  <c r="K297" i="3"/>
  <c r="L297" i="3" a="1"/>
  <c r="L297" i="3" s="1"/>
  <c r="M297" i="3"/>
  <c r="N297" i="3"/>
  <c r="K298" i="3"/>
  <c r="L298" i="3" a="1"/>
  <c r="L298" i="3"/>
  <c r="M298" i="3"/>
  <c r="N298" i="3"/>
  <c r="K299" i="3"/>
  <c r="L299" i="3" a="1"/>
  <c r="L299" i="3" s="1"/>
  <c r="M299" i="3"/>
  <c r="N299" i="3"/>
  <c r="K300" i="3"/>
  <c r="L300" i="3" a="1"/>
  <c r="L300" i="3" s="1"/>
  <c r="M300" i="3"/>
  <c r="N300" i="3"/>
  <c r="K301" i="3"/>
  <c r="L301" i="3" a="1"/>
  <c r="L301" i="3" s="1"/>
  <c r="M301" i="3"/>
  <c r="N301" i="3"/>
  <c r="K302" i="3"/>
  <c r="L302" i="3" a="1"/>
  <c r="L302" i="3"/>
  <c r="M302" i="3"/>
  <c r="N302" i="3"/>
  <c r="K303" i="3"/>
  <c r="L303" i="3" a="1"/>
  <c r="L303" i="3" s="1"/>
  <c r="M303" i="3"/>
  <c r="N303" i="3"/>
  <c r="K304" i="3"/>
  <c r="L304" i="3" a="1"/>
  <c r="L304" i="3" s="1"/>
  <c r="M304" i="3"/>
  <c r="N304" i="3"/>
  <c r="K305" i="3"/>
  <c r="L305" i="3" a="1"/>
  <c r="L305" i="3" s="1"/>
  <c r="M305" i="3"/>
  <c r="N305" i="3"/>
  <c r="K306" i="3"/>
  <c r="L306" i="3" a="1"/>
  <c r="L306" i="3"/>
  <c r="M306" i="3"/>
  <c r="N306" i="3"/>
  <c r="K307" i="3"/>
  <c r="L307" i="3" a="1"/>
  <c r="L307" i="3" s="1"/>
  <c r="M307" i="3"/>
  <c r="N307" i="3"/>
  <c r="K308" i="3"/>
  <c r="L308" i="3" a="1"/>
  <c r="L308" i="3" s="1"/>
  <c r="M308" i="3"/>
  <c r="N308" i="3"/>
  <c r="K309" i="3"/>
  <c r="L309" i="3" a="1"/>
  <c r="L309" i="3" s="1"/>
  <c r="M309" i="3"/>
  <c r="N309" i="3"/>
  <c r="K310" i="3"/>
  <c r="L310" i="3" a="1"/>
  <c r="L310" i="3"/>
  <c r="M310" i="3"/>
  <c r="N310" i="3"/>
  <c r="K311" i="3"/>
  <c r="L311" i="3" a="1"/>
  <c r="L311" i="3" s="1"/>
  <c r="M311" i="3"/>
  <c r="N311" i="3"/>
  <c r="K312" i="3"/>
  <c r="L312" i="3" a="1"/>
  <c r="L312" i="3" s="1"/>
  <c r="M312" i="3"/>
  <c r="N312" i="3"/>
  <c r="K313" i="3"/>
  <c r="L313" i="3" a="1"/>
  <c r="L313" i="3" s="1"/>
  <c r="M313" i="3"/>
  <c r="N313" i="3"/>
  <c r="K314" i="3"/>
  <c r="L314" i="3" a="1"/>
  <c r="L314" i="3"/>
  <c r="M314" i="3"/>
  <c r="N314" i="3"/>
  <c r="K315" i="3"/>
  <c r="L315" i="3" a="1"/>
  <c r="L315" i="3" s="1"/>
  <c r="M315" i="3"/>
  <c r="N315" i="3"/>
  <c r="K316" i="3"/>
  <c r="L316" i="3" a="1"/>
  <c r="L316" i="3" s="1"/>
  <c r="M316" i="3"/>
  <c r="N316" i="3"/>
  <c r="K317" i="3"/>
  <c r="L317" i="3" a="1"/>
  <c r="L317" i="3" s="1"/>
  <c r="M317" i="3"/>
  <c r="N317" i="3"/>
  <c r="K318" i="3"/>
  <c r="L318" i="3" a="1"/>
  <c r="L318" i="3"/>
  <c r="M318" i="3"/>
  <c r="N318" i="3"/>
  <c r="K319" i="3"/>
  <c r="L319" i="3" a="1"/>
  <c r="L319" i="3" s="1"/>
  <c r="M319" i="3"/>
  <c r="N319" i="3"/>
  <c r="K320" i="3"/>
  <c r="L320" i="3" a="1"/>
  <c r="L320" i="3" s="1"/>
  <c r="M320" i="3"/>
  <c r="N320" i="3"/>
  <c r="K321" i="3"/>
  <c r="L321" i="3" a="1"/>
  <c r="L321" i="3" s="1"/>
  <c r="M321" i="3"/>
  <c r="N321" i="3"/>
  <c r="K322" i="3"/>
  <c r="L322" i="3" a="1"/>
  <c r="L322" i="3"/>
  <c r="M322" i="3"/>
  <c r="N322" i="3"/>
  <c r="K323" i="3"/>
  <c r="L323" i="3" a="1"/>
  <c r="L323" i="3" s="1"/>
  <c r="M323" i="3"/>
  <c r="N323" i="3"/>
  <c r="K324" i="3"/>
  <c r="L324" i="3" a="1"/>
  <c r="L324" i="3" s="1"/>
  <c r="M324" i="3"/>
  <c r="N324" i="3"/>
  <c r="K325" i="3"/>
  <c r="L325" i="3" a="1"/>
  <c r="L325" i="3" s="1"/>
  <c r="M325" i="3"/>
  <c r="N325" i="3"/>
  <c r="K326" i="3"/>
  <c r="L326" i="3" a="1"/>
  <c r="L326" i="3"/>
  <c r="M326" i="3"/>
  <c r="N326" i="3"/>
  <c r="K327" i="3"/>
  <c r="L327" i="3" a="1"/>
  <c r="L327" i="3" s="1"/>
  <c r="M327" i="3"/>
  <c r="N327" i="3"/>
  <c r="K328" i="3"/>
  <c r="L328" i="3" a="1"/>
  <c r="L328" i="3" s="1"/>
  <c r="M328" i="3"/>
  <c r="N328" i="3"/>
  <c r="K329" i="3"/>
  <c r="L329" i="3" a="1"/>
  <c r="L329" i="3" s="1"/>
  <c r="M329" i="3"/>
  <c r="N329" i="3"/>
  <c r="K330" i="3"/>
  <c r="L330" i="3" a="1"/>
  <c r="L330" i="3"/>
  <c r="M330" i="3"/>
  <c r="N330" i="3"/>
  <c r="K331" i="3"/>
  <c r="L331" i="3" a="1"/>
  <c r="L331" i="3" s="1"/>
  <c r="M331" i="3"/>
  <c r="N331" i="3"/>
  <c r="K332" i="3"/>
  <c r="L332" i="3" a="1"/>
  <c r="L332" i="3" s="1"/>
  <c r="M332" i="3"/>
  <c r="N332" i="3"/>
  <c r="K333" i="3"/>
  <c r="L333" i="3" a="1"/>
  <c r="L333" i="3" s="1"/>
  <c r="M333" i="3"/>
  <c r="N333" i="3"/>
  <c r="K334" i="3"/>
  <c r="L334" i="3" a="1"/>
  <c r="L334" i="3"/>
  <c r="M334" i="3"/>
  <c r="N334" i="3"/>
  <c r="K335" i="3"/>
  <c r="L335" i="3" a="1"/>
  <c r="L335" i="3" s="1"/>
  <c r="M335" i="3"/>
  <c r="N335" i="3"/>
  <c r="K336" i="3"/>
  <c r="L336" i="3" a="1"/>
  <c r="L336" i="3" s="1"/>
  <c r="M336" i="3"/>
  <c r="N336" i="3"/>
  <c r="K337" i="3"/>
  <c r="L337" i="3" a="1"/>
  <c r="L337" i="3" s="1"/>
  <c r="M337" i="3"/>
  <c r="N337" i="3"/>
  <c r="K338" i="3"/>
  <c r="L338" i="3" a="1"/>
  <c r="L338" i="3"/>
  <c r="M338" i="3"/>
  <c r="N338" i="3"/>
  <c r="K339" i="3"/>
  <c r="L339" i="3" a="1"/>
  <c r="L339" i="3" s="1"/>
  <c r="M339" i="3"/>
  <c r="N339" i="3"/>
  <c r="K340" i="3"/>
  <c r="L340" i="3" a="1"/>
  <c r="L340" i="3" s="1"/>
  <c r="M340" i="3"/>
  <c r="N340" i="3"/>
  <c r="K341" i="3"/>
  <c r="L341" i="3" a="1"/>
  <c r="L341" i="3" s="1"/>
  <c r="M341" i="3"/>
  <c r="N341" i="3"/>
  <c r="K342" i="3"/>
  <c r="L342" i="3" a="1"/>
  <c r="L342" i="3"/>
  <c r="M342" i="3"/>
  <c r="N342" i="3"/>
  <c r="K343" i="3"/>
  <c r="L343" i="3" a="1"/>
  <c r="L343" i="3" s="1"/>
  <c r="M343" i="3"/>
  <c r="N343" i="3"/>
  <c r="K344" i="3"/>
  <c r="L344" i="3" a="1"/>
  <c r="L344" i="3" s="1"/>
  <c r="M344" i="3"/>
  <c r="N344" i="3"/>
  <c r="K345" i="3"/>
  <c r="L345" i="3" a="1"/>
  <c r="L345" i="3" s="1"/>
  <c r="M345" i="3"/>
  <c r="N345" i="3"/>
  <c r="K346" i="3"/>
  <c r="L346" i="3" a="1"/>
  <c r="L346" i="3"/>
  <c r="M346" i="3"/>
  <c r="N346" i="3"/>
  <c r="K347" i="3"/>
  <c r="L347" i="3" a="1"/>
  <c r="L347" i="3" s="1"/>
  <c r="M347" i="3"/>
  <c r="N347" i="3"/>
  <c r="K348" i="3"/>
  <c r="L348" i="3" a="1"/>
  <c r="L348" i="3"/>
  <c r="M348" i="3"/>
  <c r="N348" i="3"/>
  <c r="K349" i="3"/>
  <c r="L349" i="3" a="1"/>
  <c r="L349" i="3" s="1"/>
  <c r="M349" i="3"/>
  <c r="N349" i="3"/>
  <c r="K350" i="3"/>
  <c r="L350" i="3" a="1"/>
  <c r="L350" i="3"/>
  <c r="M350" i="3"/>
  <c r="N350" i="3"/>
  <c r="K351" i="3"/>
  <c r="L351" i="3" a="1"/>
  <c r="L351" i="3" s="1"/>
  <c r="M351" i="3"/>
  <c r="N351" i="3"/>
  <c r="K352" i="3"/>
  <c r="L352" i="3" a="1"/>
  <c r="L352" i="3"/>
  <c r="M352" i="3"/>
  <c r="N352" i="3"/>
  <c r="K353" i="3"/>
  <c r="L353" i="3" a="1"/>
  <c r="L353" i="3" s="1"/>
  <c r="M353" i="3"/>
  <c r="N353" i="3"/>
  <c r="K354" i="3"/>
  <c r="L354" i="3" a="1"/>
  <c r="L354" i="3"/>
  <c r="M354" i="3"/>
  <c r="N354" i="3"/>
  <c r="K355" i="3"/>
  <c r="L355" i="3" a="1"/>
  <c r="L355" i="3" s="1"/>
  <c r="M355" i="3"/>
  <c r="N355" i="3"/>
  <c r="K356" i="3"/>
  <c r="L356" i="3" a="1"/>
  <c r="L356" i="3" s="1"/>
  <c r="M356" i="3"/>
  <c r="N356" i="3"/>
  <c r="K357" i="3"/>
  <c r="L357" i="3" a="1"/>
  <c r="L357" i="3" s="1"/>
  <c r="M357" i="3"/>
  <c r="N357" i="3"/>
  <c r="K358" i="3"/>
  <c r="L358" i="3" a="1"/>
  <c r="L358" i="3"/>
  <c r="M358" i="3"/>
  <c r="N358" i="3"/>
  <c r="K359" i="3"/>
  <c r="L359" i="3" a="1"/>
  <c r="L359" i="3" s="1"/>
  <c r="M359" i="3"/>
  <c r="N359" i="3"/>
  <c r="K360" i="3"/>
  <c r="L360" i="3" a="1"/>
  <c r="L360" i="3"/>
  <c r="M360" i="3"/>
  <c r="N360" i="3"/>
  <c r="K361" i="3"/>
  <c r="L361" i="3" a="1"/>
  <c r="L361" i="3" s="1"/>
  <c r="M361" i="3"/>
  <c r="N361" i="3"/>
  <c r="K362" i="3"/>
  <c r="L362" i="3" a="1"/>
  <c r="L362" i="3"/>
  <c r="M362" i="3"/>
  <c r="N362" i="3"/>
  <c r="K363" i="3"/>
  <c r="L363" i="3" a="1"/>
  <c r="L363" i="3" s="1"/>
  <c r="M363" i="3"/>
  <c r="N363" i="3"/>
  <c r="K364" i="3"/>
  <c r="L364" i="3" a="1"/>
  <c r="L364" i="3"/>
  <c r="M364" i="3"/>
  <c r="N364" i="3"/>
  <c r="K365" i="3"/>
  <c r="L365" i="3" a="1"/>
  <c r="L365" i="3" s="1"/>
  <c r="M365" i="3"/>
  <c r="N365" i="3"/>
  <c r="K366" i="3"/>
  <c r="L366" i="3" a="1"/>
  <c r="L366" i="3"/>
  <c r="M366" i="3"/>
  <c r="N366" i="3"/>
  <c r="K367" i="3"/>
  <c r="L367" i="3" a="1"/>
  <c r="L367" i="3" s="1"/>
  <c r="M367" i="3"/>
  <c r="N367" i="3"/>
  <c r="K368" i="3"/>
  <c r="L368" i="3" a="1"/>
  <c r="L368" i="3"/>
  <c r="M368" i="3"/>
  <c r="N368" i="3"/>
  <c r="K369" i="3"/>
  <c r="L369" i="3" a="1"/>
  <c r="L369" i="3" s="1"/>
  <c r="M369" i="3"/>
  <c r="N369" i="3"/>
  <c r="K370" i="3"/>
  <c r="L370" i="3" a="1"/>
  <c r="L370" i="3"/>
  <c r="M370" i="3"/>
  <c r="N370" i="3"/>
  <c r="K371" i="3"/>
  <c r="L371" i="3" a="1"/>
  <c r="L371" i="3" s="1"/>
  <c r="M371" i="3"/>
  <c r="N371" i="3"/>
  <c r="K372" i="3"/>
  <c r="L372" i="3" a="1"/>
  <c r="L372" i="3"/>
  <c r="M372" i="3"/>
  <c r="N372" i="3"/>
  <c r="K373" i="3"/>
  <c r="L373" i="3" a="1"/>
  <c r="L373" i="3" s="1"/>
  <c r="M373" i="3"/>
  <c r="N373" i="3"/>
  <c r="K374" i="3"/>
  <c r="L374" i="3" a="1"/>
  <c r="L374" i="3"/>
  <c r="M374" i="3"/>
  <c r="N374" i="3"/>
  <c r="K375" i="3"/>
  <c r="L375" i="3" a="1"/>
  <c r="L375" i="3" s="1"/>
  <c r="M375" i="3"/>
  <c r="N375" i="3"/>
  <c r="K16" i="3"/>
  <c r="L16" i="3" a="1"/>
  <c r="L16" i="3"/>
  <c r="M16" i="3"/>
  <c r="N16" i="3"/>
  <c r="K17" i="3"/>
  <c r="L17" i="3" a="1"/>
  <c r="L17" i="3"/>
  <c r="M17" i="3"/>
  <c r="N17" i="3"/>
  <c r="K18" i="3"/>
  <c r="L18" i="3" a="1"/>
  <c r="L18" i="3" s="1"/>
  <c r="M18" i="3"/>
  <c r="N18" i="3"/>
  <c r="K19" i="3"/>
  <c r="L19" i="3" a="1"/>
  <c r="L19" i="3" s="1"/>
  <c r="M19" i="3"/>
  <c r="N19" i="3"/>
  <c r="K20" i="3"/>
  <c r="L20" i="3" a="1"/>
  <c r="L20" i="3"/>
  <c r="M20" i="3"/>
  <c r="N20" i="3"/>
  <c r="K21" i="3"/>
  <c r="L21" i="3" a="1"/>
  <c r="L21" i="3"/>
  <c r="M21" i="3"/>
  <c r="N21" i="3"/>
  <c r="K22" i="3"/>
  <c r="L22" i="3" a="1"/>
  <c r="L22" i="3" s="1"/>
  <c r="M22" i="3"/>
  <c r="N22" i="3"/>
  <c r="K23" i="3"/>
  <c r="L23" i="3" a="1"/>
  <c r="L23" i="3" s="1"/>
  <c r="M23" i="3"/>
  <c r="N23" i="3"/>
  <c r="K24" i="3"/>
  <c r="L24" i="3" a="1"/>
  <c r="L24" i="3"/>
  <c r="M24" i="3"/>
  <c r="N24" i="3"/>
  <c r="K25" i="3"/>
  <c r="L25" i="3" a="1"/>
  <c r="L25" i="3"/>
  <c r="M25" i="3"/>
  <c r="N25" i="3"/>
  <c r="K26" i="3"/>
  <c r="L26" i="3" a="1"/>
  <c r="L26" i="3" s="1"/>
  <c r="M26" i="3"/>
  <c r="N26" i="3"/>
  <c r="K27" i="3"/>
  <c r="L27" i="3" a="1"/>
  <c r="L27" i="3" s="1"/>
  <c r="M27" i="3"/>
  <c r="N27" i="3"/>
  <c r="K28" i="3"/>
  <c r="L28" i="3" a="1"/>
  <c r="L28" i="3"/>
  <c r="M28" i="3"/>
  <c r="N28" i="3"/>
  <c r="K29" i="3"/>
  <c r="L29" i="3" a="1"/>
  <c r="L29" i="3"/>
  <c r="M29" i="3"/>
  <c r="N29" i="3"/>
  <c r="K30" i="3"/>
  <c r="L30" i="3" a="1"/>
  <c r="L30" i="3" s="1"/>
  <c r="M30" i="3"/>
  <c r="N30" i="3"/>
  <c r="K31" i="3"/>
  <c r="L31" i="3" a="1"/>
  <c r="L31" i="3"/>
  <c r="M31" i="3"/>
  <c r="N31" i="3"/>
  <c r="K32" i="3"/>
  <c r="L32" i="3" a="1"/>
  <c r="L32" i="3"/>
  <c r="M32" i="3"/>
  <c r="N32" i="3"/>
  <c r="K33" i="3"/>
  <c r="L33" i="3" a="1"/>
  <c r="L33" i="3"/>
  <c r="M33" i="3"/>
  <c r="N33" i="3"/>
  <c r="K34" i="3"/>
  <c r="L34" i="3" a="1"/>
  <c r="L34" i="3" s="1"/>
  <c r="M34" i="3"/>
  <c r="N34" i="3"/>
  <c r="K35" i="3"/>
  <c r="L35" i="3" a="1"/>
  <c r="L35" i="3"/>
  <c r="M35" i="3"/>
  <c r="N35" i="3"/>
  <c r="K36" i="3"/>
  <c r="L36" i="3" a="1"/>
  <c r="L36" i="3"/>
  <c r="M36" i="3"/>
  <c r="N36" i="3"/>
  <c r="K37" i="3"/>
  <c r="L37" i="3" a="1"/>
  <c r="L37" i="3"/>
  <c r="M37" i="3"/>
  <c r="N37" i="3"/>
  <c r="K38" i="3"/>
  <c r="L38" i="3" a="1"/>
  <c r="L38" i="3" s="1"/>
  <c r="M38" i="3"/>
  <c r="N38" i="3"/>
  <c r="K39" i="3"/>
  <c r="L39" i="3" a="1"/>
  <c r="L39" i="3"/>
  <c r="M39" i="3"/>
  <c r="N39" i="3"/>
  <c r="K40" i="3"/>
  <c r="L40" i="3" a="1"/>
  <c r="L40" i="3"/>
  <c r="M40" i="3"/>
  <c r="N40" i="3"/>
  <c r="K41" i="3"/>
  <c r="L41" i="3" a="1"/>
  <c r="L41" i="3"/>
  <c r="M41" i="3"/>
  <c r="N41" i="3"/>
  <c r="K42" i="3"/>
  <c r="L42" i="3" a="1"/>
  <c r="L42" i="3" s="1"/>
  <c r="M42" i="3"/>
  <c r="N42" i="3"/>
  <c r="K43" i="3"/>
  <c r="L43" i="3" a="1"/>
  <c r="L43" i="3"/>
  <c r="M43" i="3"/>
  <c r="N43" i="3"/>
  <c r="K44" i="3"/>
  <c r="L44" i="3" a="1"/>
  <c r="L44" i="3"/>
  <c r="M44" i="3"/>
  <c r="N44" i="3"/>
  <c r="K45" i="3"/>
  <c r="L45" i="3" a="1"/>
  <c r="L45" i="3"/>
  <c r="M45" i="3"/>
  <c r="N45" i="3"/>
  <c r="K46" i="3"/>
  <c r="L46" i="3" a="1"/>
  <c r="L46" i="3" s="1"/>
  <c r="M46" i="3"/>
  <c r="N46" i="3"/>
  <c r="K47" i="3"/>
  <c r="L47" i="3" a="1"/>
  <c r="L47" i="3"/>
  <c r="M47" i="3"/>
  <c r="N47" i="3"/>
  <c r="K48" i="3"/>
  <c r="L48" i="3" a="1"/>
  <c r="L48" i="3"/>
  <c r="M48" i="3"/>
  <c r="N48" i="3"/>
  <c r="K49" i="3"/>
  <c r="L49" i="3" a="1"/>
  <c r="L49" i="3"/>
  <c r="M49" i="3"/>
  <c r="N49" i="3"/>
  <c r="K50" i="3"/>
  <c r="L50" i="3" a="1"/>
  <c r="L50" i="3" s="1"/>
  <c r="M50" i="3"/>
  <c r="N50" i="3"/>
  <c r="K51" i="3"/>
  <c r="L51" i="3" a="1"/>
  <c r="L51" i="3"/>
  <c r="M51" i="3"/>
  <c r="N51" i="3"/>
  <c r="K52" i="3"/>
  <c r="L52" i="3" a="1"/>
  <c r="L52" i="3"/>
  <c r="M52" i="3"/>
  <c r="N52" i="3"/>
  <c r="K53" i="3"/>
  <c r="L53" i="3" a="1"/>
  <c r="L53" i="3"/>
  <c r="M53" i="3"/>
  <c r="N53" i="3"/>
  <c r="K54" i="3"/>
  <c r="L54" i="3" a="1"/>
  <c r="L54" i="3" s="1"/>
  <c r="M54" i="3"/>
  <c r="N54" i="3"/>
  <c r="K55" i="3"/>
  <c r="L55" i="3" a="1"/>
  <c r="L55" i="3"/>
  <c r="M55" i="3"/>
  <c r="N55" i="3"/>
  <c r="K56" i="3"/>
  <c r="L56" i="3" a="1"/>
  <c r="L56" i="3"/>
  <c r="M56" i="3"/>
  <c r="N56" i="3"/>
  <c r="K57" i="3"/>
  <c r="L57" i="3" a="1"/>
  <c r="L57" i="3"/>
  <c r="M57" i="3"/>
  <c r="N57" i="3"/>
  <c r="K58" i="3"/>
  <c r="L58" i="3" a="1"/>
  <c r="L58" i="3" s="1"/>
  <c r="M58" i="3"/>
  <c r="N58" i="3"/>
  <c r="K59" i="3"/>
  <c r="L59" i="3" a="1"/>
  <c r="L59" i="3"/>
  <c r="M59" i="3"/>
  <c r="N59" i="3"/>
  <c r="K60" i="3"/>
  <c r="L60" i="3" a="1"/>
  <c r="L60" i="3"/>
  <c r="M60" i="3"/>
  <c r="N60" i="3"/>
  <c r="K61" i="3"/>
  <c r="L61" i="3" a="1"/>
  <c r="L61" i="3"/>
  <c r="M61" i="3"/>
  <c r="N61" i="3"/>
  <c r="K62" i="3"/>
  <c r="L62" i="3" a="1"/>
  <c r="L62" i="3" s="1"/>
  <c r="M62" i="3"/>
  <c r="N62" i="3"/>
  <c r="K63" i="3"/>
  <c r="L63" i="3" a="1"/>
  <c r="L63" i="3"/>
  <c r="M63" i="3"/>
  <c r="N63" i="3"/>
  <c r="K64" i="3"/>
  <c r="L64" i="3" a="1"/>
  <c r="L64" i="3"/>
  <c r="M64" i="3"/>
  <c r="N64" i="3"/>
  <c r="K65" i="3"/>
  <c r="L65" i="3" a="1"/>
  <c r="L65" i="3"/>
  <c r="M65" i="3"/>
  <c r="N65" i="3"/>
  <c r="K66" i="3"/>
  <c r="L66" i="3" a="1"/>
  <c r="L66" i="3" s="1"/>
  <c r="M66" i="3"/>
  <c r="N66" i="3"/>
  <c r="K67" i="3"/>
  <c r="L67" i="3" a="1"/>
  <c r="L67" i="3"/>
  <c r="M67" i="3"/>
  <c r="N67" i="3"/>
  <c r="K68" i="3"/>
  <c r="L68" i="3" a="1"/>
  <c r="L68" i="3"/>
  <c r="M68" i="3"/>
  <c r="N68" i="3"/>
  <c r="K69" i="3"/>
  <c r="L69" i="3" a="1"/>
  <c r="L69" i="3"/>
  <c r="M69" i="3"/>
  <c r="N69" i="3"/>
  <c r="K70" i="3"/>
  <c r="L70" i="3" a="1"/>
  <c r="L70" i="3" s="1"/>
  <c r="M70" i="3"/>
  <c r="N70" i="3"/>
  <c r="K71" i="3"/>
  <c r="L71" i="3" a="1"/>
  <c r="L71" i="3"/>
  <c r="M71" i="3"/>
  <c r="N71" i="3"/>
  <c r="K72" i="3"/>
  <c r="L72" i="3" a="1"/>
  <c r="L72" i="3"/>
  <c r="M72" i="3"/>
  <c r="N72" i="3"/>
  <c r="K73" i="3"/>
  <c r="L73" i="3" a="1"/>
  <c r="L73" i="3"/>
  <c r="M73" i="3"/>
  <c r="N73" i="3"/>
  <c r="K74" i="3"/>
  <c r="L74" i="3" a="1"/>
  <c r="L74" i="3" s="1"/>
  <c r="M74" i="3"/>
  <c r="N74" i="3"/>
  <c r="K75" i="3"/>
  <c r="L75" i="3" a="1"/>
  <c r="L75" i="3"/>
  <c r="M75" i="3"/>
  <c r="N75" i="3"/>
  <c r="K76" i="3"/>
  <c r="L76" i="3" a="1"/>
  <c r="L76" i="3"/>
  <c r="M76" i="3"/>
  <c r="N76" i="3"/>
  <c r="K77" i="3"/>
  <c r="L77" i="3" a="1"/>
  <c r="L77" i="3"/>
  <c r="M77" i="3"/>
  <c r="N77" i="3"/>
  <c r="K78" i="3"/>
  <c r="L78" i="3" a="1"/>
  <c r="L78" i="3" s="1"/>
  <c r="M78" i="3"/>
  <c r="N78" i="3"/>
  <c r="K79" i="3"/>
  <c r="L79" i="3" a="1"/>
  <c r="L79" i="3"/>
  <c r="M79" i="3"/>
  <c r="N79" i="3"/>
  <c r="K80" i="3"/>
  <c r="L80" i="3" a="1"/>
  <c r="L80" i="3"/>
  <c r="M80" i="3"/>
  <c r="N80" i="3"/>
  <c r="K81" i="3"/>
  <c r="L81" i="3" a="1"/>
  <c r="L81" i="3"/>
  <c r="M81" i="3"/>
  <c r="N81" i="3"/>
  <c r="K82" i="3"/>
  <c r="L82" i="3" a="1"/>
  <c r="L82" i="3" s="1"/>
  <c r="M82" i="3"/>
  <c r="N82" i="3"/>
  <c r="K83" i="3"/>
  <c r="L83" i="3" a="1"/>
  <c r="L83" i="3"/>
  <c r="M83" i="3"/>
  <c r="N83" i="3"/>
  <c r="K84" i="3"/>
  <c r="L84" i="3" a="1"/>
  <c r="L84" i="3"/>
  <c r="M84" i="3"/>
  <c r="N84" i="3"/>
  <c r="K85" i="3"/>
  <c r="L85" i="3" a="1"/>
  <c r="L85" i="3"/>
  <c r="M85" i="3"/>
  <c r="N85" i="3"/>
  <c r="K86" i="3"/>
  <c r="L86" i="3" a="1"/>
  <c r="L86" i="3" s="1"/>
  <c r="M86" i="3"/>
  <c r="N86" i="3"/>
  <c r="K87" i="3"/>
  <c r="L87" i="3" a="1"/>
  <c r="L87" i="3"/>
  <c r="M87" i="3"/>
  <c r="N87" i="3"/>
  <c r="K88" i="3"/>
  <c r="L88" i="3" a="1"/>
  <c r="L88" i="3"/>
  <c r="M88" i="3"/>
  <c r="N88" i="3"/>
  <c r="K89" i="3"/>
  <c r="L89" i="3" a="1"/>
  <c r="L89" i="3"/>
  <c r="M89" i="3"/>
  <c r="N89" i="3"/>
  <c r="K90" i="3"/>
  <c r="L90" i="3" a="1"/>
  <c r="L90" i="3" s="1"/>
  <c r="M90" i="3"/>
  <c r="N90" i="3"/>
  <c r="K91" i="3"/>
  <c r="L91" i="3" a="1"/>
  <c r="L91" i="3"/>
  <c r="M91" i="3"/>
  <c r="N91" i="3"/>
  <c r="K92" i="3"/>
  <c r="L92" i="3" a="1"/>
  <c r="L92" i="3"/>
  <c r="M92" i="3"/>
  <c r="N92" i="3"/>
  <c r="K93" i="3"/>
  <c r="L93" i="3" a="1"/>
  <c r="L93" i="3"/>
  <c r="M93" i="3"/>
  <c r="N93" i="3"/>
  <c r="K94" i="3"/>
  <c r="L94" i="3" a="1"/>
  <c r="L94" i="3" s="1"/>
  <c r="M94" i="3"/>
  <c r="N94" i="3"/>
  <c r="K95" i="3"/>
  <c r="L95" i="3" a="1"/>
  <c r="L95" i="3"/>
  <c r="M95" i="3"/>
  <c r="N95" i="3"/>
  <c r="K96" i="3"/>
  <c r="L96" i="3" a="1"/>
  <c r="L96" i="3"/>
  <c r="M96" i="3"/>
  <c r="N96" i="3"/>
  <c r="K97" i="3"/>
  <c r="L97" i="3" a="1"/>
  <c r="L97" i="3"/>
  <c r="M97" i="3"/>
  <c r="N97" i="3"/>
  <c r="K98" i="3"/>
  <c r="L98" i="3" a="1"/>
  <c r="L98" i="3" s="1"/>
  <c r="M98" i="3"/>
  <c r="N98" i="3"/>
  <c r="K99" i="3"/>
  <c r="L99" i="3" a="1"/>
  <c r="L99" i="3"/>
  <c r="M99" i="3"/>
  <c r="N99" i="3"/>
  <c r="K100" i="3"/>
  <c r="L100" i="3" a="1"/>
  <c r="L100" i="3"/>
  <c r="M100" i="3"/>
  <c r="N100" i="3"/>
  <c r="K101" i="3"/>
  <c r="L101" i="3" a="1"/>
  <c r="L101" i="3"/>
  <c r="M101" i="3"/>
  <c r="N101" i="3"/>
  <c r="K102" i="3"/>
  <c r="L102" i="3" a="1"/>
  <c r="L102" i="3" s="1"/>
  <c r="M102" i="3"/>
  <c r="N102" i="3"/>
  <c r="K103" i="3"/>
  <c r="L103" i="3" a="1"/>
  <c r="L103" i="3"/>
  <c r="M103" i="3"/>
  <c r="N103" i="3"/>
  <c r="K104" i="3"/>
  <c r="L104" i="3" a="1"/>
  <c r="L104" i="3"/>
  <c r="M104" i="3"/>
  <c r="N104" i="3"/>
  <c r="K105" i="3"/>
  <c r="L105" i="3" a="1"/>
  <c r="L105" i="3"/>
  <c r="M105" i="3"/>
  <c r="N105" i="3"/>
  <c r="K106" i="3"/>
  <c r="L106" i="3" a="1"/>
  <c r="L106" i="3" s="1"/>
  <c r="M106" i="3"/>
  <c r="N106" i="3"/>
  <c r="K107" i="3"/>
  <c r="L107" i="3" a="1"/>
  <c r="L107" i="3"/>
  <c r="M107" i="3"/>
  <c r="N107" i="3"/>
  <c r="K108" i="3"/>
  <c r="L108" i="3" a="1"/>
  <c r="L108" i="3"/>
  <c r="M108" i="3"/>
  <c r="N108" i="3"/>
  <c r="K109" i="3"/>
  <c r="L109" i="3" a="1"/>
  <c r="L109" i="3"/>
  <c r="M109" i="3"/>
  <c r="N109" i="3"/>
  <c r="K110" i="3"/>
  <c r="L110" i="3" a="1"/>
  <c r="L110" i="3" s="1"/>
  <c r="M110" i="3"/>
  <c r="N110" i="3"/>
  <c r="K111" i="3"/>
  <c r="L111" i="3" a="1"/>
  <c r="L111" i="3"/>
  <c r="M111" i="3"/>
  <c r="N111" i="3"/>
  <c r="K112" i="3"/>
  <c r="L112" i="3" a="1"/>
  <c r="L112" i="3"/>
  <c r="M112" i="3"/>
  <c r="N112" i="3"/>
  <c r="K113" i="3"/>
  <c r="L113" i="3" a="1"/>
  <c r="L113" i="3"/>
  <c r="M113" i="3"/>
  <c r="N113" i="3"/>
  <c r="K114" i="3"/>
  <c r="L114" i="3" a="1"/>
  <c r="L114" i="3" s="1"/>
  <c r="M114" i="3"/>
  <c r="N114" i="3"/>
  <c r="K115" i="3"/>
  <c r="L115" i="3" a="1"/>
  <c r="L115" i="3"/>
  <c r="M115" i="3"/>
  <c r="N115" i="3"/>
  <c r="K116" i="3"/>
  <c r="L116" i="3" a="1"/>
  <c r="L116" i="3"/>
  <c r="M116" i="3"/>
  <c r="N116" i="3"/>
  <c r="K117" i="3"/>
  <c r="L117" i="3" a="1"/>
  <c r="L117" i="3"/>
  <c r="M117" i="3"/>
  <c r="N117" i="3"/>
  <c r="K118" i="3"/>
  <c r="L118" i="3" a="1"/>
  <c r="L118" i="3" s="1"/>
  <c r="M118" i="3"/>
  <c r="N118" i="3"/>
  <c r="K119" i="3"/>
  <c r="L119" i="3" a="1"/>
  <c r="L119" i="3"/>
  <c r="M119" i="3"/>
  <c r="N119" i="3"/>
  <c r="K120" i="3"/>
  <c r="L120" i="3" a="1"/>
  <c r="L120" i="3"/>
  <c r="M120" i="3"/>
  <c r="N120" i="3"/>
  <c r="K121" i="3"/>
  <c r="L121" i="3" a="1"/>
  <c r="L121" i="3"/>
  <c r="M121" i="3"/>
  <c r="N121" i="3"/>
  <c r="K122" i="3"/>
  <c r="L122" i="3" a="1"/>
  <c r="L122" i="3" s="1"/>
  <c r="M122" i="3"/>
  <c r="N122" i="3"/>
  <c r="K123" i="3"/>
  <c r="L123" i="3" a="1"/>
  <c r="L123" i="3"/>
  <c r="M123" i="3"/>
  <c r="N123" i="3"/>
  <c r="K124" i="3"/>
  <c r="L124" i="3" a="1"/>
  <c r="L124" i="3"/>
  <c r="M124" i="3"/>
  <c r="N124" i="3"/>
  <c r="K125" i="3"/>
  <c r="L125" i="3" a="1"/>
  <c r="L125" i="3"/>
  <c r="M125" i="3"/>
  <c r="N125" i="3"/>
  <c r="K126" i="3"/>
  <c r="L126" i="3" a="1"/>
  <c r="L126" i="3" s="1"/>
  <c r="M126" i="3"/>
  <c r="N126" i="3"/>
  <c r="K127" i="3"/>
  <c r="L127" i="3" a="1"/>
  <c r="L127" i="3"/>
  <c r="M127" i="3"/>
  <c r="N127" i="3"/>
  <c r="K128" i="3"/>
  <c r="L128" i="3" a="1"/>
  <c r="L128" i="3"/>
  <c r="M128" i="3"/>
  <c r="N128" i="3"/>
  <c r="K8" i="3"/>
  <c r="L8" i="3" a="1"/>
  <c r="L8" i="3"/>
  <c r="M8" i="3"/>
  <c r="N8" i="3"/>
  <c r="K9" i="3"/>
  <c r="L9" i="3" a="1"/>
  <c r="L9" i="3" s="1"/>
  <c r="M9" i="3"/>
  <c r="N9" i="3"/>
  <c r="K10" i="3"/>
  <c r="L10" i="3" a="1"/>
  <c r="L10" i="3" s="1"/>
  <c r="M10" i="3"/>
  <c r="N10" i="3"/>
  <c r="K11" i="3"/>
  <c r="L11" i="3" a="1"/>
  <c r="L11" i="3" s="1"/>
  <c r="M11" i="3"/>
  <c r="N11" i="3"/>
  <c r="K12" i="3"/>
  <c r="L12" i="3" a="1"/>
  <c r="L12" i="3"/>
  <c r="M12" i="3"/>
  <c r="N12" i="3"/>
  <c r="K13" i="3"/>
  <c r="L13" i="3" a="1"/>
  <c r="L13" i="3"/>
  <c r="M13" i="3"/>
  <c r="N13" i="3"/>
  <c r="K14" i="3"/>
  <c r="L14" i="3" a="1"/>
  <c r="L14" i="3" s="1"/>
  <c r="M14" i="3"/>
  <c r="N14" i="3"/>
  <c r="K15" i="3"/>
  <c r="L15" i="3" a="1"/>
  <c r="L15" i="3" s="1"/>
  <c r="M15" i="3"/>
  <c r="N15" i="3"/>
  <c r="K3" i="3"/>
  <c r="L3" i="3" a="1"/>
  <c r="L3" i="3"/>
  <c r="M3" i="3"/>
  <c r="N3" i="3"/>
  <c r="K4" i="3"/>
  <c r="L4" i="3" a="1"/>
  <c r="L4" i="3"/>
  <c r="M4" i="3"/>
  <c r="N4" i="3"/>
  <c r="K5" i="3"/>
  <c r="L5" i="3" a="1"/>
  <c r="L5" i="3" s="1"/>
  <c r="M5" i="3"/>
  <c r="N5" i="3"/>
  <c r="K6" i="3"/>
  <c r="L6" i="3" a="1"/>
  <c r="L6" i="3" s="1"/>
  <c r="M6" i="3"/>
  <c r="N6" i="3"/>
  <c r="K7" i="3"/>
  <c r="L7" i="3" a="1"/>
  <c r="L7" i="3"/>
  <c r="M7" i="3"/>
  <c r="N7" i="3"/>
  <c r="N2" i="3"/>
  <c r="M2" i="3"/>
  <c r="L2" i="3" a="1"/>
  <c r="L2" i="3" s="1"/>
  <c r="K2" i="3"/>
  <c r="D3" i="2"/>
  <c r="D4" i="2"/>
  <c r="D5" i="2"/>
  <c r="D2" i="2"/>
  <c r="C3" i="2"/>
  <c r="C4" i="2"/>
  <c r="C5" i="2"/>
  <c r="C2" i="2"/>
  <c r="N3" i="1" a="1"/>
  <c r="N3" i="1" s="1"/>
  <c r="N4" i="1" a="1"/>
  <c r="N4" i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/>
  <c r="N19" i="1" a="1"/>
  <c r="N19" i="1" s="1"/>
  <c r="N20" i="1" a="1"/>
  <c r="N20" i="1"/>
  <c r="N21" i="1" a="1"/>
  <c r="N21" i="1" s="1"/>
  <c r="N22" i="1" a="1"/>
  <c r="N22" i="1"/>
  <c r="N23" i="1" a="1"/>
  <c r="N23" i="1" s="1"/>
  <c r="N24" i="1" a="1"/>
  <c r="N24" i="1" s="1"/>
  <c r="N25" i="1" a="1"/>
  <c r="N25" i="1" s="1"/>
  <c r="N26" i="1" a="1"/>
  <c r="N26" i="1"/>
  <c r="N27" i="1" a="1"/>
  <c r="N27" i="1" s="1"/>
  <c r="N28" i="1" a="1"/>
  <c r="N28" i="1" s="1"/>
  <c r="N29" i="1" a="1"/>
  <c r="N29" i="1" s="1"/>
  <c r="N30" i="1" a="1"/>
  <c r="N30" i="1"/>
  <c r="N31" i="1" a="1"/>
  <c r="N31" i="1" s="1"/>
  <c r="N32" i="1" a="1"/>
  <c r="N32" i="1" s="1"/>
  <c r="N33" i="1" a="1"/>
  <c r="N33" i="1" s="1"/>
  <c r="N34" i="1" a="1"/>
  <c r="N34" i="1"/>
  <c r="N35" i="1" a="1"/>
  <c r="N35" i="1" s="1"/>
  <c r="N36" i="1" a="1"/>
  <c r="N36" i="1" s="1"/>
  <c r="N37" i="1" a="1"/>
  <c r="N37" i="1" s="1"/>
  <c r="N38" i="1" a="1"/>
  <c r="N38" i="1"/>
  <c r="N39" i="1" a="1"/>
  <c r="N39" i="1" s="1"/>
  <c r="N40" i="1" a="1"/>
  <c r="N40" i="1" s="1"/>
  <c r="N41" i="1" a="1"/>
  <c r="N41" i="1" s="1"/>
  <c r="N42" i="1" a="1"/>
  <c r="N42" i="1"/>
  <c r="N43" i="1" a="1"/>
  <c r="N43" i="1" s="1"/>
  <c r="N44" i="1" a="1"/>
  <c r="N44" i="1" s="1"/>
  <c r="N45" i="1" a="1"/>
  <c r="N45" i="1" s="1"/>
  <c r="N46" i="1" a="1"/>
  <c r="N46" i="1"/>
  <c r="N47" i="1" a="1"/>
  <c r="N47" i="1" s="1"/>
  <c r="N48" i="1" a="1"/>
  <c r="N48" i="1" s="1"/>
  <c r="N49" i="1" a="1"/>
  <c r="N49" i="1" s="1"/>
  <c r="N50" i="1" a="1"/>
  <c r="N50" i="1"/>
  <c r="N51" i="1" a="1"/>
  <c r="N51" i="1" s="1"/>
  <c r="N52" i="1" a="1"/>
  <c r="N52" i="1" s="1"/>
  <c r="N53" i="1" a="1"/>
  <c r="N53" i="1" s="1"/>
  <c r="N54" i="1" a="1"/>
  <c r="N54" i="1"/>
  <c r="N55" i="1" a="1"/>
  <c r="N55" i="1" s="1"/>
  <c r="N56" i="1" a="1"/>
  <c r="N56" i="1" s="1"/>
  <c r="N57" i="1" a="1"/>
  <c r="N57" i="1" s="1"/>
  <c r="N58" i="1" a="1"/>
  <c r="N58" i="1"/>
  <c r="N59" i="1" a="1"/>
  <c r="N59" i="1" s="1"/>
  <c r="N60" i="1" a="1"/>
  <c r="N60" i="1" s="1"/>
  <c r="N61" i="1" a="1"/>
  <c r="N61" i="1" s="1"/>
  <c r="N62" i="1" a="1"/>
  <c r="N62" i="1"/>
  <c r="N63" i="1" a="1"/>
  <c r="N63" i="1" s="1"/>
  <c r="N64" i="1" a="1"/>
  <c r="N64" i="1" s="1"/>
  <c r="N65" i="1" a="1"/>
  <c r="N65" i="1" s="1"/>
  <c r="N66" i="1" a="1"/>
  <c r="N66" i="1"/>
  <c r="N67" i="1" a="1"/>
  <c r="N67" i="1" s="1"/>
  <c r="N68" i="1" a="1"/>
  <c r="N68" i="1" s="1"/>
  <c r="N69" i="1" a="1"/>
  <c r="N69" i="1" s="1"/>
  <c r="N70" i="1" a="1"/>
  <c r="N70" i="1"/>
  <c r="N71" i="1" a="1"/>
  <c r="N71" i="1" s="1"/>
  <c r="N72" i="1" a="1"/>
  <c r="N72" i="1" s="1"/>
  <c r="N73" i="1" a="1"/>
  <c r="N73" i="1" s="1"/>
  <c r="N74" i="1" a="1"/>
  <c r="N74" i="1"/>
  <c r="N75" i="1" a="1"/>
  <c r="N75" i="1" s="1"/>
  <c r="N76" i="1" a="1"/>
  <c r="N76" i="1" s="1"/>
  <c r="N77" i="1" a="1"/>
  <c r="N77" i="1" s="1"/>
  <c r="N78" i="1" a="1"/>
  <c r="N78" i="1"/>
  <c r="N79" i="1" a="1"/>
  <c r="N79" i="1" s="1"/>
  <c r="N80" i="1" a="1"/>
  <c r="N80" i="1" s="1"/>
  <c r="N81" i="1" a="1"/>
  <c r="N81" i="1" s="1"/>
  <c r="N82" i="1" a="1"/>
  <c r="N82" i="1"/>
  <c r="N83" i="1" a="1"/>
  <c r="N83" i="1" s="1"/>
  <c r="N84" i="1" a="1"/>
  <c r="N84" i="1" s="1"/>
  <c r="N85" i="1" a="1"/>
  <c r="N85" i="1" s="1"/>
  <c r="N86" i="1" a="1"/>
  <c r="N86" i="1"/>
  <c r="N87" i="1" a="1"/>
  <c r="N87" i="1" s="1"/>
  <c r="N88" i="1" a="1"/>
  <c r="N88" i="1" s="1"/>
  <c r="N89" i="1" a="1"/>
  <c r="N89" i="1" s="1"/>
  <c r="N90" i="1" a="1"/>
  <c r="N90" i="1"/>
  <c r="N91" i="1" a="1"/>
  <c r="N91" i="1" s="1"/>
  <c r="N92" i="1" a="1"/>
  <c r="N92" i="1" s="1"/>
  <c r="N93" i="1" a="1"/>
  <c r="N93" i="1" s="1"/>
  <c r="N94" i="1" a="1"/>
  <c r="N94" i="1"/>
  <c r="N95" i="1" a="1"/>
  <c r="N95" i="1" s="1"/>
  <c r="N96" i="1" a="1"/>
  <c r="N96" i="1" s="1"/>
  <c r="N97" i="1" a="1"/>
  <c r="N97" i="1" s="1"/>
  <c r="N98" i="1" a="1"/>
  <c r="N98" i="1"/>
  <c r="N99" i="1" a="1"/>
  <c r="N99" i="1" s="1"/>
  <c r="N100" i="1" a="1"/>
  <c r="N100" i="1" s="1"/>
  <c r="N101" i="1" a="1"/>
  <c r="N101" i="1" s="1"/>
  <c r="N102" i="1" a="1"/>
  <c r="N102" i="1"/>
  <c r="N103" i="1" a="1"/>
  <c r="N103" i="1" s="1"/>
  <c r="N104" i="1" a="1"/>
  <c r="N104" i="1" s="1"/>
  <c r="N105" i="1" a="1"/>
  <c r="N105" i="1" s="1"/>
  <c r="N106" i="1" a="1"/>
  <c r="N106" i="1"/>
  <c r="N107" i="1" a="1"/>
  <c r="N107" i="1" s="1"/>
  <c r="N108" i="1" a="1"/>
  <c r="N108" i="1" s="1"/>
  <c r="N109" i="1" a="1"/>
  <c r="N109" i="1" s="1"/>
  <c r="N110" i="1" a="1"/>
  <c r="N110" i="1"/>
  <c r="N111" i="1" a="1"/>
  <c r="N111" i="1" s="1"/>
  <c r="N112" i="1" a="1"/>
  <c r="N112" i="1" s="1"/>
  <c r="N113" i="1" a="1"/>
  <c r="N113" i="1" s="1"/>
  <c r="N114" i="1" a="1"/>
  <c r="N114" i="1"/>
  <c r="N115" i="1" a="1"/>
  <c r="N115" i="1" s="1"/>
  <c r="N116" i="1" a="1"/>
  <c r="N116" i="1" s="1"/>
  <c r="N117" i="1" a="1"/>
  <c r="N117" i="1" s="1"/>
  <c r="N118" i="1" a="1"/>
  <c r="N118" i="1"/>
  <c r="N119" i="1" a="1"/>
  <c r="N119" i="1" s="1"/>
  <c r="N120" i="1" a="1"/>
  <c r="N120" i="1" s="1"/>
  <c r="N121" i="1" a="1"/>
  <c r="N121" i="1" s="1"/>
  <c r="N122" i="1" a="1"/>
  <c r="N122" i="1"/>
  <c r="N123" i="1" a="1"/>
  <c r="N123" i="1" s="1"/>
  <c r="N124" i="1" a="1"/>
  <c r="N124" i="1" s="1"/>
  <c r="N125" i="1" a="1"/>
  <c r="N125" i="1" s="1"/>
  <c r="N126" i="1" a="1"/>
  <c r="N126" i="1"/>
  <c r="N127" i="1" a="1"/>
  <c r="N127" i="1" s="1"/>
  <c r="N128" i="1" a="1"/>
  <c r="N128" i="1" s="1"/>
  <c r="N129" i="1" a="1"/>
  <c r="N129" i="1" s="1"/>
  <c r="N130" i="1" a="1"/>
  <c r="N130" i="1"/>
  <c r="N131" i="1" a="1"/>
  <c r="N131" i="1" s="1"/>
  <c r="N132" i="1" a="1"/>
  <c r="N132" i="1" s="1"/>
  <c r="N133" i="1" a="1"/>
  <c r="N133" i="1" s="1"/>
  <c r="N134" i="1" a="1"/>
  <c r="N134" i="1"/>
  <c r="N135" i="1" a="1"/>
  <c r="N135" i="1" s="1"/>
  <c r="N136" i="1" a="1"/>
  <c r="N136" i="1" s="1"/>
  <c r="N137" i="1" a="1"/>
  <c r="N137" i="1" s="1"/>
  <c r="N138" i="1" a="1"/>
  <c r="N138" i="1"/>
  <c r="N139" i="1" a="1"/>
  <c r="N139" i="1" s="1"/>
  <c r="N140" i="1" a="1"/>
  <c r="N140" i="1" s="1"/>
  <c r="N141" i="1" a="1"/>
  <c r="N141" i="1" s="1"/>
  <c r="N142" i="1" a="1"/>
  <c r="N142" i="1"/>
  <c r="N143" i="1" a="1"/>
  <c r="N143" i="1" s="1"/>
  <c r="N144" i="1" a="1"/>
  <c r="N144" i="1" s="1"/>
  <c r="N145" i="1" a="1"/>
  <c r="N145" i="1" s="1"/>
  <c r="N146" i="1" a="1"/>
  <c r="N146" i="1"/>
  <c r="N147" i="1" a="1"/>
  <c r="N147" i="1" s="1"/>
  <c r="N148" i="1" a="1"/>
  <c r="N148" i="1" s="1"/>
  <c r="N149" i="1" a="1"/>
  <c r="N149" i="1" s="1"/>
  <c r="N150" i="1" a="1"/>
  <c r="N150" i="1"/>
  <c r="N151" i="1" a="1"/>
  <c r="N151" i="1" s="1"/>
  <c r="N152" i="1" a="1"/>
  <c r="N152" i="1" s="1"/>
  <c r="N153" i="1" a="1"/>
  <c r="N153" i="1" s="1"/>
  <c r="N154" i="1" a="1"/>
  <c r="N154" i="1"/>
  <c r="N155" i="1" a="1"/>
  <c r="N155" i="1" s="1"/>
  <c r="N156" i="1" a="1"/>
  <c r="N156" i="1" s="1"/>
  <c r="N157" i="1" a="1"/>
  <c r="N157" i="1" s="1"/>
  <c r="N158" i="1" a="1"/>
  <c r="N158" i="1"/>
  <c r="N159" i="1" a="1"/>
  <c r="N159" i="1" s="1"/>
  <c r="N160" i="1" a="1"/>
  <c r="N160" i="1" s="1"/>
  <c r="N161" i="1" a="1"/>
  <c r="N161" i="1" s="1"/>
  <c r="N162" i="1" a="1"/>
  <c r="N162" i="1"/>
  <c r="N163" i="1" a="1"/>
  <c r="N163" i="1" s="1"/>
  <c r="N164" i="1" a="1"/>
  <c r="N164" i="1" s="1"/>
  <c r="N165" i="1" a="1"/>
  <c r="N165" i="1" s="1"/>
  <c r="N166" i="1" a="1"/>
  <c r="N166" i="1"/>
  <c r="N167" i="1" a="1"/>
  <c r="N167" i="1" s="1"/>
  <c r="N168" i="1" a="1"/>
  <c r="N168" i="1" s="1"/>
  <c r="N169" i="1" a="1"/>
  <c r="N169" i="1" s="1"/>
  <c r="N170" i="1" a="1"/>
  <c r="N170" i="1"/>
  <c r="N171" i="1" a="1"/>
  <c r="N171" i="1" s="1"/>
  <c r="N172" i="1" a="1"/>
  <c r="N172" i="1" s="1"/>
  <c r="N173" i="1" a="1"/>
  <c r="N173" i="1" s="1"/>
  <c r="N174" i="1" a="1"/>
  <c r="N174" i="1"/>
  <c r="N175" i="1" a="1"/>
  <c r="N175" i="1" s="1"/>
  <c r="N176" i="1" a="1"/>
  <c r="N176" i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/>
  <c r="N183" i="1" a="1"/>
  <c r="N183" i="1" s="1"/>
  <c r="N184" i="1" a="1"/>
  <c r="N184" i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/>
  <c r="N191" i="1" a="1"/>
  <c r="N191" i="1" s="1"/>
  <c r="N192" i="1" a="1"/>
  <c r="N192" i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/>
  <c r="N199" i="1" a="1"/>
  <c r="N199" i="1" s="1"/>
  <c r="N200" i="1" a="1"/>
  <c r="N200" i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/>
  <c r="N207" i="1" a="1"/>
  <c r="N207" i="1" s="1"/>
  <c r="N208" i="1" a="1"/>
  <c r="N208" i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/>
  <c r="N215" i="1" a="1"/>
  <c r="N215" i="1" s="1"/>
  <c r="N216" i="1" a="1"/>
  <c r="N216" i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/>
  <c r="N223" i="1" a="1"/>
  <c r="N223" i="1" s="1"/>
  <c r="N224" i="1" a="1"/>
  <c r="N224" i="1"/>
  <c r="N225" i="1" a="1"/>
  <c r="N225" i="1" s="1"/>
  <c r="N226" i="1" a="1"/>
  <c r="N226" i="1" s="1"/>
  <c r="N227" i="1" a="1"/>
  <c r="N227" i="1" s="1"/>
  <c r="N228" i="1" a="1"/>
  <c r="N228" i="1" s="1"/>
  <c r="N229" i="1" a="1"/>
  <c r="N229" i="1" s="1"/>
  <c r="N230" i="1" a="1"/>
  <c r="N230" i="1"/>
  <c r="N231" i="1" a="1"/>
  <c r="N231" i="1" s="1"/>
  <c r="N232" i="1" a="1"/>
  <c r="N232" i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/>
  <c r="N239" i="1" a="1"/>
  <c r="N239" i="1" s="1"/>
  <c r="N240" i="1" a="1"/>
  <c r="N240" i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/>
  <c r="N247" i="1" a="1"/>
  <c r="N247" i="1" s="1"/>
  <c r="N248" i="1" a="1"/>
  <c r="N248" i="1"/>
  <c r="N249" i="1" a="1"/>
  <c r="N249" i="1" s="1"/>
  <c r="N250" i="1" a="1"/>
  <c r="N250" i="1" s="1"/>
  <c r="N251" i="1" a="1"/>
  <c r="N251" i="1" s="1"/>
  <c r="N252" i="1" a="1"/>
  <c r="N252" i="1" s="1"/>
  <c r="N253" i="1" a="1"/>
  <c r="N253" i="1" s="1"/>
  <c r="N254" i="1" a="1"/>
  <c r="N254" i="1"/>
  <c r="N255" i="1" a="1"/>
  <c r="N255" i="1" s="1"/>
  <c r="N256" i="1" a="1"/>
  <c r="N256" i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/>
  <c r="N263" i="1" a="1"/>
  <c r="N263" i="1" s="1"/>
  <c r="N264" i="1" a="1"/>
  <c r="N264" i="1"/>
  <c r="N265" i="1" a="1"/>
  <c r="N265" i="1" s="1"/>
  <c r="N266" i="1" a="1"/>
  <c r="N266" i="1" s="1"/>
  <c r="N267" i="1" a="1"/>
  <c r="N267" i="1" s="1"/>
  <c r="N268" i="1" a="1"/>
  <c r="N268" i="1" s="1"/>
  <c r="N269" i="1" a="1"/>
  <c r="N269" i="1" s="1"/>
  <c r="N270" i="1" a="1"/>
  <c r="N270" i="1"/>
  <c r="N271" i="1" a="1"/>
  <c r="N271" i="1" s="1"/>
  <c r="N272" i="1" a="1"/>
  <c r="N272" i="1"/>
  <c r="N273" i="1" a="1"/>
  <c r="N273" i="1" s="1"/>
  <c r="N274" i="1" a="1"/>
  <c r="N274" i="1" s="1"/>
  <c r="N275" i="1" a="1"/>
  <c r="N275" i="1" s="1"/>
  <c r="N276" i="1" a="1"/>
  <c r="N276" i="1" s="1"/>
  <c r="N277" i="1" a="1"/>
  <c r="N277" i="1" s="1"/>
  <c r="N278" i="1" a="1"/>
  <c r="N278" i="1"/>
  <c r="N279" i="1" a="1"/>
  <c r="N279" i="1" s="1"/>
  <c r="N280" i="1" a="1"/>
  <c r="N280" i="1"/>
  <c r="N281" i="1" a="1"/>
  <c r="N281" i="1" s="1"/>
  <c r="N282" i="1" a="1"/>
  <c r="N282" i="1" s="1"/>
  <c r="N283" i="1" a="1"/>
  <c r="N283" i="1" s="1"/>
  <c r="N284" i="1" a="1"/>
  <c r="N284" i="1" s="1"/>
  <c r="N285" i="1" a="1"/>
  <c r="N285" i="1" s="1"/>
  <c r="N286" i="1" a="1"/>
  <c r="N286" i="1"/>
  <c r="N287" i="1" a="1"/>
  <c r="N287" i="1" s="1"/>
  <c r="N288" i="1" a="1"/>
  <c r="N288" i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/>
  <c r="N295" i="1" a="1"/>
  <c r="N295" i="1" s="1"/>
  <c r="N296" i="1" a="1"/>
  <c r="N296" i="1"/>
  <c r="N297" i="1" a="1"/>
  <c r="N297" i="1" s="1"/>
  <c r="N298" i="1" a="1"/>
  <c r="N298" i="1" s="1"/>
  <c r="N299" i="1" a="1"/>
  <c r="N299" i="1" s="1"/>
  <c r="N300" i="1" a="1"/>
  <c r="N300" i="1" s="1"/>
  <c r="N301" i="1" a="1"/>
  <c r="N301" i="1"/>
  <c r="N302" i="1" a="1"/>
  <c r="N302" i="1" s="1"/>
  <c r="N303" i="1" a="1"/>
  <c r="N303" i="1"/>
  <c r="N304" i="1" a="1"/>
  <c r="N304" i="1" s="1"/>
  <c r="N305" i="1" a="1"/>
  <c r="N305" i="1"/>
  <c r="N306" i="1" a="1"/>
  <c r="N306" i="1" s="1"/>
  <c r="N307" i="1" a="1"/>
  <c r="N307" i="1"/>
  <c r="N308" i="1" a="1"/>
  <c r="N308" i="1" s="1"/>
  <c r="N309" i="1" a="1"/>
  <c r="N309" i="1"/>
  <c r="N310" i="1" a="1"/>
  <c r="N310" i="1" s="1"/>
  <c r="N311" i="1" a="1"/>
  <c r="N311" i="1"/>
  <c r="N312" i="1" a="1"/>
  <c r="N312" i="1" s="1"/>
  <c r="N313" i="1" a="1"/>
  <c r="N313" i="1"/>
  <c r="N314" i="1" a="1"/>
  <c r="N314" i="1" s="1"/>
  <c r="N315" i="1" a="1"/>
  <c r="N315" i="1"/>
  <c r="N316" i="1" a="1"/>
  <c r="N316" i="1" s="1"/>
  <c r="N317" i="1" a="1"/>
  <c r="N317" i="1"/>
  <c r="N318" i="1" a="1"/>
  <c r="N318" i="1" s="1"/>
  <c r="N319" i="1" a="1"/>
  <c r="N319" i="1"/>
  <c r="N320" i="1" a="1"/>
  <c r="N320" i="1" s="1"/>
  <c r="N321" i="1" a="1"/>
  <c r="N321" i="1"/>
  <c r="N322" i="1" a="1"/>
  <c r="N322" i="1" s="1"/>
  <c r="N323" i="1" a="1"/>
  <c r="N323" i="1"/>
  <c r="N324" i="1" a="1"/>
  <c r="N324" i="1" s="1"/>
  <c r="N325" i="1" a="1"/>
  <c r="N325" i="1"/>
  <c r="N326" i="1" a="1"/>
  <c r="N326" i="1" s="1"/>
  <c r="N327" i="1" a="1"/>
  <c r="N327" i="1"/>
  <c r="N328" i="1" a="1"/>
  <c r="N328" i="1" s="1"/>
  <c r="N329" i="1" a="1"/>
  <c r="N329" i="1"/>
  <c r="N330" i="1" a="1"/>
  <c r="N330" i="1" s="1"/>
  <c r="N331" i="1" a="1"/>
  <c r="N331" i="1"/>
  <c r="N332" i="1" a="1"/>
  <c r="N332" i="1" s="1"/>
  <c r="N333" i="1" a="1"/>
  <c r="N333" i="1"/>
  <c r="N334" i="1" a="1"/>
  <c r="N334" i="1" s="1"/>
  <c r="N335" i="1" a="1"/>
  <c r="N335" i="1"/>
  <c r="N336" i="1" a="1"/>
  <c r="N336" i="1" s="1"/>
  <c r="N337" i="1" a="1"/>
  <c r="N337" i="1" s="1"/>
  <c r="N338" i="1" a="1"/>
  <c r="N338" i="1" s="1"/>
  <c r="N339" i="1" a="1"/>
  <c r="N339" i="1" s="1"/>
  <c r="N340" i="1" a="1"/>
  <c r="N340" i="1" s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/>
  <c r="N536" i="1" a="1"/>
  <c r="N536" i="1" s="1"/>
  <c r="N537" i="1" a="1"/>
  <c r="N537" i="1" s="1"/>
  <c r="N538" i="1" a="1"/>
  <c r="N538" i="1" s="1"/>
  <c r="N539" i="1" a="1"/>
  <c r="N539" i="1" s="1"/>
  <c r="N540" i="1" a="1"/>
  <c r="N540" i="1" s="1"/>
  <c r="N541" i="1" a="1"/>
  <c r="N541" i="1" s="1"/>
  <c r="N542" i="1" a="1"/>
  <c r="N542" i="1" s="1"/>
  <c r="N543" i="1" a="1"/>
  <c r="N543" i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 s="1"/>
  <c r="N567" i="1" a="1"/>
  <c r="N567" i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/>
  <c r="N576" i="1" a="1"/>
  <c r="N576" i="1"/>
  <c r="N577" i="1" a="1"/>
  <c r="N577" i="1"/>
  <c r="N578" i="1" a="1"/>
  <c r="N578" i="1" s="1"/>
  <c r="N579" i="1" a="1"/>
  <c r="N579" i="1"/>
  <c r="N580" i="1" a="1"/>
  <c r="N580" i="1" s="1"/>
  <c r="N581" i="1" a="1"/>
  <c r="N581" i="1"/>
  <c r="N582" i="1" a="1"/>
  <c r="N582" i="1" s="1"/>
  <c r="N583" i="1" a="1"/>
  <c r="N583" i="1"/>
  <c r="N584" i="1" a="1"/>
  <c r="N584" i="1" s="1"/>
  <c r="N585" i="1" a="1"/>
  <c r="N585" i="1"/>
  <c r="N586" i="1" a="1"/>
  <c r="N586" i="1" s="1"/>
  <c r="N587" i="1" a="1"/>
  <c r="N587" i="1"/>
  <c r="N588" i="1" a="1"/>
  <c r="N588" i="1" s="1"/>
  <c r="N589" i="1" a="1"/>
  <c r="N589" i="1"/>
  <c r="N590" i="1" a="1"/>
  <c r="N590" i="1" s="1"/>
  <c r="N591" i="1" a="1"/>
  <c r="N591" i="1"/>
  <c r="N592" i="1" a="1"/>
  <c r="N592" i="1" s="1"/>
  <c r="N593" i="1" a="1"/>
  <c r="N593" i="1"/>
  <c r="N594" i="1" a="1"/>
  <c r="N594" i="1" s="1"/>
  <c r="N595" i="1" a="1"/>
  <c r="N595" i="1"/>
  <c r="N596" i="1" a="1"/>
  <c r="N596" i="1" s="1"/>
  <c r="N597" i="1" a="1"/>
  <c r="N597" i="1"/>
  <c r="N598" i="1" a="1"/>
  <c r="N598" i="1" s="1"/>
  <c r="N599" i="1" a="1"/>
  <c r="N599" i="1" s="1"/>
  <c r="N600" i="1" a="1"/>
  <c r="N600" i="1" s="1"/>
  <c r="N601" i="1" a="1"/>
  <c r="N601" i="1"/>
  <c r="N602" i="1" a="1"/>
  <c r="N602" i="1" s="1"/>
  <c r="N603" i="1" a="1"/>
  <c r="N603" i="1" s="1"/>
  <c r="N604" i="1" a="1"/>
  <c r="N604" i="1" s="1"/>
  <c r="N605" i="1" a="1"/>
  <c r="N605" i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/>
  <c r="N614" i="1" a="1"/>
  <c r="N614" i="1" s="1"/>
  <c r="N615" i="1" a="1"/>
  <c r="N615" i="1" s="1"/>
  <c r="N616" i="1" a="1"/>
  <c r="N616" i="1" s="1"/>
  <c r="N617" i="1" a="1"/>
  <c r="N617" i="1"/>
  <c r="N618" i="1" a="1"/>
  <c r="N618" i="1" s="1"/>
  <c r="N619" i="1" a="1"/>
  <c r="N619" i="1" s="1"/>
  <c r="N620" i="1" a="1"/>
  <c r="N620" i="1" s="1"/>
  <c r="N621" i="1" a="1"/>
  <c r="N621" i="1"/>
  <c r="N622" i="1" a="1"/>
  <c r="N622" i="1" s="1"/>
  <c r="N623" i="1" a="1"/>
  <c r="N623" i="1" s="1"/>
  <c r="N624" i="1" a="1"/>
  <c r="N624" i="1" s="1"/>
  <c r="N625" i="1" a="1"/>
  <c r="N625" i="1"/>
  <c r="N626" i="1" a="1"/>
  <c r="N626" i="1" s="1"/>
  <c r="N627" i="1" a="1"/>
  <c r="N627" i="1" s="1"/>
  <c r="N628" i="1" a="1"/>
  <c r="N628" i="1" s="1"/>
  <c r="N629" i="1" a="1"/>
  <c r="N629" i="1"/>
  <c r="N630" i="1" a="1"/>
  <c r="N630" i="1" s="1"/>
  <c r="N631" i="1" a="1"/>
  <c r="N631" i="1" s="1"/>
  <c r="N632" i="1" a="1"/>
  <c r="N632" i="1" s="1"/>
  <c r="N633" i="1" a="1"/>
  <c r="N633" i="1"/>
  <c r="N634" i="1" a="1"/>
  <c r="N634" i="1" s="1"/>
  <c r="N635" i="1" a="1"/>
  <c r="N635" i="1" s="1"/>
  <c r="N636" i="1" a="1"/>
  <c r="N636" i="1" s="1"/>
  <c r="N637" i="1" a="1"/>
  <c r="N637" i="1"/>
  <c r="N638" i="1" a="1"/>
  <c r="N638" i="1" s="1"/>
  <c r="N639" i="1" a="1"/>
  <c r="N639" i="1" s="1"/>
  <c r="N640" i="1" a="1"/>
  <c r="N640" i="1" s="1"/>
  <c r="N641" i="1" a="1"/>
  <c r="N641" i="1"/>
  <c r="N642" i="1" a="1"/>
  <c r="N642" i="1" s="1"/>
  <c r="N643" i="1" a="1"/>
  <c r="N643" i="1" s="1"/>
  <c r="N644" i="1" a="1"/>
  <c r="N644" i="1" s="1"/>
  <c r="N645" i="1" a="1"/>
  <c r="N645" i="1"/>
  <c r="N646" i="1" a="1"/>
  <c r="N646" i="1" s="1"/>
  <c r="N647" i="1" a="1"/>
  <c r="N647" i="1" s="1"/>
  <c r="N648" i="1" a="1"/>
  <c r="N648" i="1" s="1"/>
  <c r="N649" i="1" a="1"/>
  <c r="N649" i="1"/>
  <c r="N650" i="1" a="1"/>
  <c r="N650" i="1" s="1"/>
  <c r="N651" i="1" a="1"/>
  <c r="N651" i="1" s="1"/>
  <c r="N652" i="1" a="1"/>
  <c r="N652" i="1" s="1"/>
  <c r="N653" i="1" a="1"/>
  <c r="N653" i="1"/>
  <c r="N654" i="1" a="1"/>
  <c r="N654" i="1" s="1"/>
  <c r="N655" i="1" a="1"/>
  <c r="N655" i="1" s="1"/>
  <c r="N656" i="1" a="1"/>
  <c r="N656" i="1" s="1"/>
  <c r="N657" i="1" a="1"/>
  <c r="N657" i="1"/>
  <c r="N658" i="1" a="1"/>
  <c r="N658" i="1" s="1"/>
  <c r="N659" i="1" a="1"/>
  <c r="N659" i="1" s="1"/>
  <c r="N660" i="1" a="1"/>
  <c r="N660" i="1" s="1"/>
  <c r="N661" i="1" a="1"/>
  <c r="N661" i="1"/>
  <c r="N662" i="1" a="1"/>
  <c r="N662" i="1" s="1"/>
  <c r="N663" i="1" a="1"/>
  <c r="N663" i="1" s="1"/>
  <c r="N664" i="1" a="1"/>
  <c r="N664" i="1" s="1"/>
  <c r="N665" i="1" a="1"/>
  <c r="N665" i="1"/>
  <c r="N666" i="1" a="1"/>
  <c r="N666" i="1" s="1"/>
  <c r="N667" i="1" a="1"/>
  <c r="N667" i="1" s="1"/>
  <c r="N668" i="1" a="1"/>
  <c r="N668" i="1" s="1"/>
  <c r="N669" i="1" a="1"/>
  <c r="N669" i="1"/>
  <c r="N670" i="1" a="1"/>
  <c r="N670" i="1" s="1"/>
  <c r="N671" i="1" a="1"/>
  <c r="N671" i="1" s="1"/>
  <c r="N672" i="1" a="1"/>
  <c r="N672" i="1" s="1"/>
  <c r="N673" i="1" a="1"/>
  <c r="N673" i="1"/>
  <c r="N674" i="1" a="1"/>
  <c r="N674" i="1" s="1"/>
  <c r="N675" i="1" a="1"/>
  <c r="N675" i="1" s="1"/>
  <c r="N676" i="1" a="1"/>
  <c r="N676" i="1" s="1"/>
  <c r="N677" i="1" a="1"/>
  <c r="N677" i="1"/>
  <c r="N678" i="1" a="1"/>
  <c r="N678" i="1" s="1"/>
  <c r="N679" i="1" a="1"/>
  <c r="N679" i="1" s="1"/>
  <c r="N680" i="1" a="1"/>
  <c r="N680" i="1" s="1"/>
  <c r="N681" i="1" a="1"/>
  <c r="N681" i="1"/>
  <c r="N682" i="1" a="1"/>
  <c r="N682" i="1" s="1"/>
  <c r="N683" i="1" a="1"/>
  <c r="N683" i="1" s="1"/>
  <c r="N684" i="1" a="1"/>
  <c r="N684" i="1" s="1"/>
  <c r="N685" i="1" a="1"/>
  <c r="N685" i="1"/>
  <c r="N686" i="1" a="1"/>
  <c r="N686" i="1" s="1"/>
  <c r="N687" i="1" a="1"/>
  <c r="N687" i="1" s="1"/>
  <c r="N688" i="1" a="1"/>
  <c r="N688" i="1" s="1"/>
  <c r="N689" i="1" a="1"/>
  <c r="N689" i="1"/>
  <c r="N690" i="1" a="1"/>
  <c r="N690" i="1" s="1"/>
  <c r="N691" i="1" a="1"/>
  <c r="N691" i="1" s="1"/>
  <c r="N692" i="1" a="1"/>
  <c r="N692" i="1" s="1"/>
  <c r="N693" i="1" a="1"/>
  <c r="N693" i="1"/>
  <c r="N694" i="1" a="1"/>
  <c r="N694" i="1" s="1"/>
  <c r="N695" i="1" a="1"/>
  <c r="N695" i="1" s="1"/>
  <c r="N696" i="1" a="1"/>
  <c r="N696" i="1" s="1"/>
  <c r="N697" i="1" a="1"/>
  <c r="N697" i="1"/>
  <c r="N698" i="1" a="1"/>
  <c r="N698" i="1" s="1"/>
  <c r="N699" i="1" a="1"/>
  <c r="N699" i="1" s="1"/>
  <c r="N700" i="1" a="1"/>
  <c r="N700" i="1" s="1"/>
  <c r="N701" i="1" a="1"/>
  <c r="N701" i="1"/>
  <c r="N702" i="1" a="1"/>
  <c r="N702" i="1" s="1"/>
  <c r="N703" i="1" a="1"/>
  <c r="N703" i="1" s="1"/>
  <c r="N704" i="1" a="1"/>
  <c r="N704" i="1" s="1"/>
  <c r="N705" i="1" a="1"/>
  <c r="N705" i="1"/>
  <c r="N706" i="1" a="1"/>
  <c r="N706" i="1" s="1"/>
  <c r="N707" i="1" a="1"/>
  <c r="N707" i="1" s="1"/>
  <c r="N708" i="1" a="1"/>
  <c r="N708" i="1" s="1"/>
  <c r="N709" i="1" a="1"/>
  <c r="N709" i="1"/>
  <c r="N710" i="1" a="1"/>
  <c r="N710" i="1" s="1"/>
  <c r="N711" i="1" a="1"/>
  <c r="N711" i="1" s="1"/>
  <c r="N712" i="1" a="1"/>
  <c r="N712" i="1" s="1"/>
  <c r="N713" i="1" a="1"/>
  <c r="N713" i="1"/>
  <c r="N714" i="1" a="1"/>
  <c r="N714" i="1" s="1"/>
  <c r="N715" i="1" a="1"/>
  <c r="N715" i="1" s="1"/>
  <c r="N716" i="1" a="1"/>
  <c r="N716" i="1" s="1"/>
  <c r="N717" i="1" a="1"/>
  <c r="N717" i="1"/>
  <c r="N718" i="1" a="1"/>
  <c r="N718" i="1" s="1"/>
  <c r="N719" i="1" a="1"/>
  <c r="N719" i="1" s="1"/>
  <c r="N720" i="1" a="1"/>
  <c r="N720" i="1" s="1"/>
  <c r="N721" i="1" a="1"/>
  <c r="N721" i="1"/>
  <c r="N722" i="1" a="1"/>
  <c r="N722" i="1" s="1"/>
  <c r="N723" i="1" a="1"/>
  <c r="N723" i="1" s="1"/>
  <c r="N724" i="1" a="1"/>
  <c r="N724" i="1" s="1"/>
  <c r="N725" i="1" a="1"/>
  <c r="N725" i="1"/>
  <c r="N726" i="1" a="1"/>
  <c r="N726" i="1" s="1"/>
  <c r="N727" i="1" a="1"/>
  <c r="N727" i="1" s="1"/>
  <c r="N728" i="1" a="1"/>
  <c r="N728" i="1" s="1"/>
  <c r="N729" i="1" a="1"/>
  <c r="N729" i="1"/>
  <c r="N730" i="1" a="1"/>
  <c r="N730" i="1" s="1"/>
  <c r="N731" i="1" a="1"/>
  <c r="N731" i="1" s="1"/>
  <c r="N732" i="1" a="1"/>
  <c r="N732" i="1" s="1"/>
  <c r="N733" i="1" a="1"/>
  <c r="N733" i="1"/>
  <c r="N734" i="1" a="1"/>
  <c r="N734" i="1" s="1"/>
  <c r="N735" i="1" a="1"/>
  <c r="N735" i="1" s="1"/>
  <c r="N736" i="1" a="1"/>
  <c r="N736" i="1" s="1"/>
  <c r="N737" i="1" a="1"/>
  <c r="N737" i="1"/>
  <c r="N738" i="1" a="1"/>
  <c r="N738" i="1" s="1"/>
  <c r="N739" i="1" a="1"/>
  <c r="N739" i="1" s="1"/>
  <c r="N740" i="1" a="1"/>
  <c r="N740" i="1" s="1"/>
  <c r="N741" i="1" a="1"/>
  <c r="N741" i="1"/>
  <c r="N742" i="1" a="1"/>
  <c r="N742" i="1" s="1"/>
  <c r="N743" i="1" a="1"/>
  <c r="N743" i="1" s="1"/>
  <c r="N744" i="1" a="1"/>
  <c r="N744" i="1" s="1"/>
  <c r="N745" i="1" a="1"/>
  <c r="N745" i="1"/>
  <c r="N746" i="1" a="1"/>
  <c r="N746" i="1" s="1"/>
  <c r="N747" i="1" a="1"/>
  <c r="N747" i="1" s="1"/>
  <c r="N748" i="1" a="1"/>
  <c r="N748" i="1" s="1"/>
  <c r="N749" i="1" a="1"/>
  <c r="N749" i="1"/>
  <c r="N750" i="1" a="1"/>
  <c r="N750" i="1" s="1"/>
  <c r="N751" i="1" a="1"/>
  <c r="N751" i="1" s="1"/>
  <c r="N752" i="1" a="1"/>
  <c r="N752" i="1" s="1"/>
  <c r="N753" i="1" a="1"/>
  <c r="N753" i="1"/>
  <c r="N754" i="1" a="1"/>
  <c r="N754" i="1" s="1"/>
  <c r="N755" i="1" a="1"/>
  <c r="N755" i="1" s="1"/>
  <c r="N756" i="1" a="1"/>
  <c r="N756" i="1" s="1"/>
  <c r="N757" i="1" a="1"/>
  <c r="N757" i="1"/>
  <c r="N758" i="1" a="1"/>
  <c r="N758" i="1" s="1"/>
  <c r="N759" i="1" a="1"/>
  <c r="N759" i="1" s="1"/>
  <c r="N760" i="1" a="1"/>
  <c r="N760" i="1" s="1"/>
  <c r="N761" i="1" a="1"/>
  <c r="N761" i="1"/>
  <c r="N762" i="1" a="1"/>
  <c r="N762" i="1" s="1"/>
  <c r="N763" i="1" a="1"/>
  <c r="N763" i="1" s="1"/>
  <c r="N764" i="1" a="1"/>
  <c r="N764" i="1" s="1"/>
  <c r="N765" i="1" a="1"/>
  <c r="N765" i="1"/>
  <c r="N766" i="1" a="1"/>
  <c r="N766" i="1" s="1"/>
  <c r="N767" i="1" a="1"/>
  <c r="N767" i="1" s="1"/>
  <c r="N768" i="1" a="1"/>
  <c r="N768" i="1" s="1"/>
  <c r="N769" i="1" a="1"/>
  <c r="N769" i="1"/>
  <c r="N770" i="1" a="1"/>
  <c r="N770" i="1" s="1"/>
  <c r="N771" i="1" a="1"/>
  <c r="N771" i="1" s="1"/>
  <c r="N772" i="1" a="1"/>
  <c r="N772" i="1" s="1"/>
  <c r="N773" i="1" a="1"/>
  <c r="N773" i="1"/>
  <c r="N774" i="1" a="1"/>
  <c r="N774" i="1" s="1"/>
  <c r="N775" i="1" a="1"/>
  <c r="N775" i="1" s="1"/>
  <c r="N776" i="1" a="1"/>
  <c r="N776" i="1" s="1"/>
  <c r="N777" i="1" a="1"/>
  <c r="N777" i="1"/>
  <c r="N778" i="1" a="1"/>
  <c r="N778" i="1" s="1"/>
  <c r="N779" i="1" a="1"/>
  <c r="N779" i="1" s="1"/>
  <c r="N780" i="1" a="1"/>
  <c r="N780" i="1" s="1"/>
  <c r="N781" i="1" a="1"/>
  <c r="N781" i="1"/>
  <c r="N782" i="1" a="1"/>
  <c r="N782" i="1" s="1"/>
  <c r="N783" i="1" a="1"/>
  <c r="N783" i="1" s="1"/>
  <c r="N784" i="1" a="1"/>
  <c r="N784" i="1" s="1"/>
  <c r="N785" i="1" a="1"/>
  <c r="N785" i="1"/>
  <c r="N786" i="1" a="1"/>
  <c r="N786" i="1" s="1"/>
  <c r="N787" i="1" a="1"/>
  <c r="N787" i="1" s="1"/>
  <c r="N788" i="1" a="1"/>
  <c r="N788" i="1" s="1"/>
  <c r="N789" i="1" a="1"/>
  <c r="N789" i="1"/>
  <c r="N790" i="1" a="1"/>
  <c r="N790" i="1" s="1"/>
  <c r="N791" i="1" a="1"/>
  <c r="N791" i="1" s="1"/>
  <c r="N792" i="1" a="1"/>
  <c r="N792" i="1" s="1"/>
  <c r="N793" i="1" a="1"/>
  <c r="N793" i="1"/>
  <c r="N794" i="1" a="1"/>
  <c r="N794" i="1" s="1"/>
  <c r="N795" i="1" a="1"/>
  <c r="N795" i="1" s="1"/>
  <c r="N796" i="1" a="1"/>
  <c r="N796" i="1" s="1"/>
  <c r="N797" i="1" a="1"/>
  <c r="N797" i="1"/>
  <c r="N798" i="1" a="1"/>
  <c r="N798" i="1" s="1"/>
  <c r="N799" i="1" a="1"/>
  <c r="N799" i="1" s="1"/>
  <c r="N800" i="1" a="1"/>
  <c r="N800" i="1" s="1"/>
  <c r="N801" i="1" a="1"/>
  <c r="N801" i="1"/>
  <c r="N802" i="1" a="1"/>
  <c r="N802" i="1" s="1"/>
  <c r="N803" i="1" a="1"/>
  <c r="N803" i="1" s="1"/>
  <c r="N804" i="1" a="1"/>
  <c r="N804" i="1" s="1"/>
  <c r="N805" i="1" a="1"/>
  <c r="N805" i="1"/>
  <c r="N806" i="1" a="1"/>
  <c r="N806" i="1" s="1"/>
  <c r="N807" i="1" a="1"/>
  <c r="N807" i="1" s="1"/>
  <c r="N808" i="1" a="1"/>
  <c r="N808" i="1" s="1"/>
  <c r="N809" i="1" a="1"/>
  <c r="N809" i="1"/>
  <c r="N810" i="1" a="1"/>
  <c r="N810" i="1" s="1"/>
  <c r="N811" i="1" a="1"/>
  <c r="N811" i="1" s="1"/>
  <c r="N812" i="1" a="1"/>
  <c r="N812" i="1" s="1"/>
  <c r="N813" i="1" a="1"/>
  <c r="N813" i="1"/>
  <c r="N814" i="1" a="1"/>
  <c r="N814" i="1" s="1"/>
  <c r="N815" i="1" a="1"/>
  <c r="N815" i="1" s="1"/>
  <c r="N816" i="1" a="1"/>
  <c r="N816" i="1" s="1"/>
  <c r="N817" i="1" a="1"/>
  <c r="N817" i="1"/>
  <c r="N818" i="1" a="1"/>
  <c r="N818" i="1" s="1"/>
  <c r="N819" i="1" a="1"/>
  <c r="N819" i="1" s="1"/>
  <c r="N820" i="1" a="1"/>
  <c r="N820" i="1" s="1"/>
  <c r="N821" i="1" a="1"/>
  <c r="N821" i="1"/>
  <c r="N822" i="1" a="1"/>
  <c r="N822" i="1" s="1"/>
  <c r="N823" i="1" a="1"/>
  <c r="N823" i="1" s="1"/>
  <c r="N824" i="1" a="1"/>
  <c r="N824" i="1" s="1"/>
  <c r="N825" i="1" a="1"/>
  <c r="N825" i="1"/>
  <c r="N826" i="1" a="1"/>
  <c r="N826" i="1" s="1"/>
  <c r="N827" i="1" a="1"/>
  <c r="N827" i="1" s="1"/>
  <c r="N828" i="1" a="1"/>
  <c r="N828" i="1" s="1"/>
  <c r="N829" i="1" a="1"/>
  <c r="N829" i="1"/>
  <c r="N830" i="1" a="1"/>
  <c r="N830" i="1" s="1"/>
  <c r="N831" i="1" a="1"/>
  <c r="N831" i="1" s="1"/>
  <c r="N832" i="1" a="1"/>
  <c r="N832" i="1" s="1"/>
  <c r="N833" i="1" a="1"/>
  <c r="N833" i="1"/>
  <c r="N834" i="1" a="1"/>
  <c r="N834" i="1" s="1"/>
  <c r="N835" i="1" a="1"/>
  <c r="N835" i="1" s="1"/>
  <c r="N836" i="1" a="1"/>
  <c r="N836" i="1" s="1"/>
  <c r="N837" i="1" a="1"/>
  <c r="N837" i="1"/>
  <c r="N838" i="1" a="1"/>
  <c r="N838" i="1" s="1"/>
  <c r="N839" i="1" a="1"/>
  <c r="N839" i="1" s="1"/>
  <c r="N840" i="1" a="1"/>
  <c r="N840" i="1" s="1"/>
  <c r="N841" i="1" a="1"/>
  <c r="N841" i="1"/>
  <c r="N842" i="1" a="1"/>
  <c r="N842" i="1" s="1"/>
  <c r="N843" i="1" a="1"/>
  <c r="N843" i="1" s="1"/>
  <c r="N844" i="1" a="1"/>
  <c r="N844" i="1" s="1"/>
  <c r="N845" i="1" a="1"/>
  <c r="N845" i="1"/>
  <c r="N846" i="1" a="1"/>
  <c r="N846" i="1" s="1"/>
  <c r="N847" i="1" a="1"/>
  <c r="N847" i="1" s="1"/>
  <c r="N848" i="1" a="1"/>
  <c r="N848" i="1" s="1"/>
  <c r="N849" i="1" a="1"/>
  <c r="N849" i="1"/>
  <c r="N850" i="1" a="1"/>
  <c r="N850" i="1" s="1"/>
  <c r="N851" i="1" a="1"/>
  <c r="N851" i="1" s="1"/>
  <c r="N852" i="1" a="1"/>
  <c r="N852" i="1" s="1"/>
  <c r="N853" i="1" a="1"/>
  <c r="N853" i="1"/>
  <c r="N854" i="1" a="1"/>
  <c r="N854" i="1" s="1"/>
  <c r="N855" i="1" a="1"/>
  <c r="N855" i="1" s="1"/>
  <c r="N856" i="1" a="1"/>
  <c r="N856" i="1" s="1"/>
  <c r="N857" i="1" a="1"/>
  <c r="N857" i="1"/>
  <c r="N858" i="1" a="1"/>
  <c r="N858" i="1" s="1"/>
  <c r="N859" i="1" a="1"/>
  <c r="N859" i="1" s="1"/>
  <c r="N860" i="1" a="1"/>
  <c r="N860" i="1" s="1"/>
  <c r="N861" i="1" a="1"/>
  <c r="N861" i="1"/>
  <c r="N862" i="1" a="1"/>
  <c r="N862" i="1" s="1"/>
  <c r="N863" i="1" a="1"/>
  <c r="N863" i="1" s="1"/>
  <c r="N864" i="1" a="1"/>
  <c r="N864" i="1" s="1"/>
  <c r="N865" i="1" a="1"/>
  <c r="N865" i="1"/>
  <c r="N866" i="1" a="1"/>
  <c r="N866" i="1" s="1"/>
  <c r="N867" i="1" a="1"/>
  <c r="N867" i="1" s="1"/>
  <c r="N868" i="1" a="1"/>
  <c r="N868" i="1" s="1"/>
  <c r="N869" i="1" a="1"/>
  <c r="N869" i="1"/>
  <c r="N870" i="1" a="1"/>
  <c r="N870" i="1" s="1"/>
  <c r="N871" i="1" a="1"/>
  <c r="N871" i="1" s="1"/>
  <c r="N872" i="1" a="1"/>
  <c r="N872" i="1" s="1"/>
  <c r="N873" i="1" a="1"/>
  <c r="N873" i="1"/>
  <c r="N874" i="1" a="1"/>
  <c r="N874" i="1" s="1"/>
  <c r="N875" i="1" a="1"/>
  <c r="N875" i="1" s="1"/>
  <c r="N876" i="1" a="1"/>
  <c r="N876" i="1" s="1"/>
  <c r="N877" i="1" a="1"/>
  <c r="N877" i="1"/>
  <c r="N878" i="1" a="1"/>
  <c r="N878" i="1" s="1"/>
  <c r="N879" i="1" a="1"/>
  <c r="N879" i="1" s="1"/>
  <c r="N880" i="1" a="1"/>
  <c r="N880" i="1" s="1"/>
  <c r="N881" i="1" a="1"/>
  <c r="N881" i="1"/>
  <c r="N882" i="1" a="1"/>
  <c r="N882" i="1" s="1"/>
  <c r="N883" i="1" a="1"/>
  <c r="N883" i="1" s="1"/>
  <c r="N884" i="1" a="1"/>
  <c r="N884" i="1" s="1"/>
  <c r="N885" i="1" a="1"/>
  <c r="N885" i="1"/>
  <c r="N886" i="1" a="1"/>
  <c r="N886" i="1" s="1"/>
  <c r="N887" i="1" a="1"/>
  <c r="N887" i="1" s="1"/>
  <c r="N888" i="1" a="1"/>
  <c r="N888" i="1" s="1"/>
  <c r="N889" i="1" a="1"/>
  <c r="N889" i="1"/>
  <c r="N890" i="1" a="1"/>
  <c r="N890" i="1" s="1"/>
  <c r="N891" i="1" a="1"/>
  <c r="N891" i="1" s="1"/>
  <c r="N892" i="1" a="1"/>
  <c r="N892" i="1" s="1"/>
  <c r="N893" i="1" a="1"/>
  <c r="N893" i="1"/>
  <c r="N894" i="1" a="1"/>
  <c r="N894" i="1" s="1"/>
  <c r="N895" i="1" a="1"/>
  <c r="N895" i="1" s="1"/>
  <c r="N896" i="1" a="1"/>
  <c r="N896" i="1" s="1"/>
  <c r="N897" i="1" a="1"/>
  <c r="N897" i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1" i="1" a="1"/>
  <c r="N961" i="1" s="1"/>
  <c r="N962" i="1" a="1"/>
  <c r="N962" i="1" s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N992" i="1" a="1"/>
  <c r="N992" i="1" s="1"/>
  <c r="N993" i="1" a="1"/>
  <c r="N993" i="1" s="1"/>
  <c r="N994" i="1" a="1"/>
  <c r="N994" i="1" s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2" i="1" a="1"/>
  <c r="N2" i="1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3" i="1"/>
  <c r="J4" i="1"/>
  <c r="J5" i="1"/>
  <c r="J6" i="1"/>
  <c r="J7" i="1"/>
  <c r="J8" i="1"/>
  <c r="J9" i="1"/>
  <c r="J10" i="1"/>
  <c r="J11" i="1"/>
  <c r="J12" i="1"/>
  <c r="J13" i="1"/>
  <c r="J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<sst xmlns="http://schemas.openxmlformats.org/spreadsheetml/2006/main" count="8031" uniqueCount="1343">
  <si>
    <t>ID</t>
  </si>
  <si>
    <t>Nom</t>
  </si>
  <si>
    <t>Sexe</t>
  </si>
  <si>
    <t>Ville</t>
  </si>
  <si>
    <t>Filiere</t>
  </si>
  <si>
    <t>Math</t>
  </si>
  <si>
    <t>Excel</t>
  </si>
  <si>
    <t>Python</t>
  </si>
  <si>
    <t>Statistiques</t>
  </si>
  <si>
    <t>Presence</t>
  </si>
  <si>
    <t>Frais_payes</t>
  </si>
  <si>
    <t>Date_inscription</t>
  </si>
  <si>
    <t>ST0001</t>
  </si>
  <si>
    <t>Coumba Sarr</t>
  </si>
  <si>
    <t>F</t>
  </si>
  <si>
    <t>Saint-Louis</t>
  </si>
  <si>
    <t>Data</t>
  </si>
  <si>
    <t>ST0002</t>
  </si>
  <si>
    <t>Alioune Diop</t>
  </si>
  <si>
    <t>M</t>
  </si>
  <si>
    <t>Ziguinchor</t>
  </si>
  <si>
    <t>IA</t>
  </si>
  <si>
    <t>ST0003</t>
  </si>
  <si>
    <t>Moustapha Sow</t>
  </si>
  <si>
    <t>ST0004</t>
  </si>
  <si>
    <t>Coumba Diop</t>
  </si>
  <si>
    <t>ST0005</t>
  </si>
  <si>
    <t>Fatou Ndour</t>
  </si>
  <si>
    <t>Kaolack</t>
  </si>
  <si>
    <t>Developpement</t>
  </si>
  <si>
    <t>ST0006</t>
  </si>
  <si>
    <t>Moussa Ba</t>
  </si>
  <si>
    <t>Thies</t>
  </si>
  <si>
    <t>ST0007</t>
  </si>
  <si>
    <t>Coumba Seck</t>
  </si>
  <si>
    <t>Touba</t>
  </si>
  <si>
    <t>ST0008</t>
  </si>
  <si>
    <t>Moustapha Sarr</t>
  </si>
  <si>
    <t>ST0009</t>
  </si>
  <si>
    <t>Astou Seck</t>
  </si>
  <si>
    <t>ST0010</t>
  </si>
  <si>
    <t>Khadija Fall</t>
  </si>
  <si>
    <t>Cybersecurite</t>
  </si>
  <si>
    <t>ST0011</t>
  </si>
  <si>
    <t>Cheikh Ndiaye</t>
  </si>
  <si>
    <t>ST0012</t>
  </si>
  <si>
    <t>Alioune Ba</t>
  </si>
  <si>
    <t>Dakar</t>
  </si>
  <si>
    <t>ST0013</t>
  </si>
  <si>
    <t>Cheikh Camara</t>
  </si>
  <si>
    <t>ST0014</t>
  </si>
  <si>
    <t>Ousmane Sy</t>
  </si>
  <si>
    <t>ST0015</t>
  </si>
  <si>
    <t>Moustapha Cisse</t>
  </si>
  <si>
    <t>ST0016</t>
  </si>
  <si>
    <t>Pape Ba</t>
  </si>
  <si>
    <t>ST0017</t>
  </si>
  <si>
    <t>Ousmane Seck</t>
  </si>
  <si>
    <t>ST0018</t>
  </si>
  <si>
    <t>Rokhaya Fall</t>
  </si>
  <si>
    <t>ST0019</t>
  </si>
  <si>
    <t>Mamadou Diallo</t>
  </si>
  <si>
    <t>ST0020</t>
  </si>
  <si>
    <t>Fatou Faye</t>
  </si>
  <si>
    <t>ST0021</t>
  </si>
  <si>
    <t>Mamadou Mbaye</t>
  </si>
  <si>
    <t>ST0022</t>
  </si>
  <si>
    <t>Awa Seck</t>
  </si>
  <si>
    <t>ST0023</t>
  </si>
  <si>
    <t>Coumba Mbaye</t>
  </si>
  <si>
    <t>ST0024</t>
  </si>
  <si>
    <t>Pape Gueye</t>
  </si>
  <si>
    <t>ST0025</t>
  </si>
  <si>
    <t>Pape Sow</t>
  </si>
  <si>
    <t>ST0026</t>
  </si>
  <si>
    <t>Mamadou Camara</t>
  </si>
  <si>
    <t>ST0027</t>
  </si>
  <si>
    <t>Awa Diallo</t>
  </si>
  <si>
    <t>ST0028</t>
  </si>
  <si>
    <t>Cheikh Fall</t>
  </si>
  <si>
    <t>ST0029</t>
  </si>
  <si>
    <t>ST0030</t>
  </si>
  <si>
    <t>Aminata Camara</t>
  </si>
  <si>
    <t>ST0031</t>
  </si>
  <si>
    <t>Rokhaya Ndiaye</t>
  </si>
  <si>
    <t>ST0032</t>
  </si>
  <si>
    <t>Fatou Camara</t>
  </si>
  <si>
    <t>ST0033</t>
  </si>
  <si>
    <t>Astou Cisse</t>
  </si>
  <si>
    <t>ST0034</t>
  </si>
  <si>
    <t>Ousmane Sarr</t>
  </si>
  <si>
    <t>ST0035</t>
  </si>
  <si>
    <t>Mamadou Sow</t>
  </si>
  <si>
    <t>ST0036</t>
  </si>
  <si>
    <t>Astou Gueye</t>
  </si>
  <si>
    <t>ST0037</t>
  </si>
  <si>
    <t>Moussa Sy</t>
  </si>
  <si>
    <t>ST0038</t>
  </si>
  <si>
    <t>Mamadou Faye</t>
  </si>
  <si>
    <t>ST0039</t>
  </si>
  <si>
    <t>Rokhaya Faye</t>
  </si>
  <si>
    <t>ST0040</t>
  </si>
  <si>
    <t>ST0041</t>
  </si>
  <si>
    <t>Astou Sy</t>
  </si>
  <si>
    <t>ST0042</t>
  </si>
  <si>
    <t>Pape Ndour</t>
  </si>
  <si>
    <t>ST0043</t>
  </si>
  <si>
    <t>Babacar Sy</t>
  </si>
  <si>
    <t>ST0044</t>
  </si>
  <si>
    <t>Aminata Ndiaye</t>
  </si>
  <si>
    <t>ST0045</t>
  </si>
  <si>
    <t>Astou Ndiaye</t>
  </si>
  <si>
    <t>ST0046</t>
  </si>
  <si>
    <t>Ibrahima Cisse</t>
  </si>
  <si>
    <t>ST0047</t>
  </si>
  <si>
    <t>Mariama Camara</t>
  </si>
  <si>
    <t>ST0048</t>
  </si>
  <si>
    <t>Abdoulaye Faye</t>
  </si>
  <si>
    <t>ST0049</t>
  </si>
  <si>
    <t>Abdoulaye Fall</t>
  </si>
  <si>
    <t>ST0050</t>
  </si>
  <si>
    <t>Ibrahima Mbaye</t>
  </si>
  <si>
    <t>ST0051</t>
  </si>
  <si>
    <t>Moustapha Fall</t>
  </si>
  <si>
    <t>ST0052</t>
  </si>
  <si>
    <t>Aminata Diallo</t>
  </si>
  <si>
    <t>ST0053</t>
  </si>
  <si>
    <t>Khadija Seck</t>
  </si>
  <si>
    <t>ST0054</t>
  </si>
  <si>
    <t>Ndeye Ndiaye</t>
  </si>
  <si>
    <t>ST0055</t>
  </si>
  <si>
    <t>Awa Mbaye</t>
  </si>
  <si>
    <t>ST0056</t>
  </si>
  <si>
    <t>Ndeye Sy</t>
  </si>
  <si>
    <t>ST0057</t>
  </si>
  <si>
    <t>Babacar Seck</t>
  </si>
  <si>
    <t>ST0058</t>
  </si>
  <si>
    <t>ST0059</t>
  </si>
  <si>
    <t>Babacar Ndiaye</t>
  </si>
  <si>
    <t>ST0060</t>
  </si>
  <si>
    <t>Ousmane Diallo</t>
  </si>
  <si>
    <t>ST0061</t>
  </si>
  <si>
    <t>Alioune Sy</t>
  </si>
  <si>
    <t>ST0062</t>
  </si>
  <si>
    <t>Abdoulaye Seck</t>
  </si>
  <si>
    <t>ST0063</t>
  </si>
  <si>
    <t>Fatou Sarr</t>
  </si>
  <si>
    <t>ST0064</t>
  </si>
  <si>
    <t>ST0065</t>
  </si>
  <si>
    <t>Astou Fall</t>
  </si>
  <si>
    <t>ST0066</t>
  </si>
  <si>
    <t>Aminata Sy</t>
  </si>
  <si>
    <t>ST0067</t>
  </si>
  <si>
    <t>Moussa Camara</t>
  </si>
  <si>
    <t>ST0068</t>
  </si>
  <si>
    <t>Sokhna Diallo</t>
  </si>
  <si>
    <t>ST0069</t>
  </si>
  <si>
    <t>ST0070</t>
  </si>
  <si>
    <t>Awa Cisse</t>
  </si>
  <si>
    <t>ST0071</t>
  </si>
  <si>
    <t>Abdoulaye Kane</t>
  </si>
  <si>
    <t>ST0072</t>
  </si>
  <si>
    <t>Mariama Fall</t>
  </si>
  <si>
    <t>ST0073</t>
  </si>
  <si>
    <t>Astou Faye</t>
  </si>
  <si>
    <t>ST0074</t>
  </si>
  <si>
    <t>ST0075</t>
  </si>
  <si>
    <t>Babacar Cisse</t>
  </si>
  <si>
    <t>ST0076</t>
  </si>
  <si>
    <t>Fatou Sow</t>
  </si>
  <si>
    <t>ST0077</t>
  </si>
  <si>
    <t>ST0078</t>
  </si>
  <si>
    <t>Fatou Sy</t>
  </si>
  <si>
    <t>ST0079</t>
  </si>
  <si>
    <t>Babacar Ba</t>
  </si>
  <si>
    <t>ST0080</t>
  </si>
  <si>
    <t>Pape Kane</t>
  </si>
  <si>
    <t>ST0081</t>
  </si>
  <si>
    <t>Moussa Diop</t>
  </si>
  <si>
    <t>ST0082</t>
  </si>
  <si>
    <t>Ndeye Gueye</t>
  </si>
  <si>
    <t>ST0083</t>
  </si>
  <si>
    <t>Ndeye Mbaye</t>
  </si>
  <si>
    <t>ST0084</t>
  </si>
  <si>
    <t>ST0085</t>
  </si>
  <si>
    <t>Cheikh Seck</t>
  </si>
  <si>
    <t>ST0086</t>
  </si>
  <si>
    <t>ST0087</t>
  </si>
  <si>
    <t>Coumba Sy</t>
  </si>
  <si>
    <t>ST0088</t>
  </si>
  <si>
    <t>Ndeye Ndour</t>
  </si>
  <si>
    <t>ST0089</t>
  </si>
  <si>
    <t>Abdoulaye Cisse</t>
  </si>
  <si>
    <t>ST0090</t>
  </si>
  <si>
    <t>Ibrahima Ndiaye</t>
  </si>
  <si>
    <t>ST0091</t>
  </si>
  <si>
    <t>Khadija Ba</t>
  </si>
  <si>
    <t>ST0092</t>
  </si>
  <si>
    <t>Babacar Sow</t>
  </si>
  <si>
    <t>ST0093</t>
  </si>
  <si>
    <t>ST0094</t>
  </si>
  <si>
    <t>Aminata Kane</t>
  </si>
  <si>
    <t>ST0095</t>
  </si>
  <si>
    <t>ST0096</t>
  </si>
  <si>
    <t>Awa Ndiaye</t>
  </si>
  <si>
    <t>ST0097</t>
  </si>
  <si>
    <t>ST0098</t>
  </si>
  <si>
    <t>Alioune Faye</t>
  </si>
  <si>
    <t>ST0099</t>
  </si>
  <si>
    <t>ST0100</t>
  </si>
  <si>
    <t>Rokhaya Gueye</t>
  </si>
  <si>
    <t>ST0101</t>
  </si>
  <si>
    <t>Babacar Diop</t>
  </si>
  <si>
    <t>ST0102</t>
  </si>
  <si>
    <t>Rokhaya Ndour</t>
  </si>
  <si>
    <t>ST0103</t>
  </si>
  <si>
    <t>ST0104</t>
  </si>
  <si>
    <t>ST0105</t>
  </si>
  <si>
    <t>Ousmane Gueye</t>
  </si>
  <si>
    <t>ST0106</t>
  </si>
  <si>
    <t>Ibrahima Faye</t>
  </si>
  <si>
    <t>ST0107</t>
  </si>
  <si>
    <t>ST0108</t>
  </si>
  <si>
    <t>Moussa Diallo</t>
  </si>
  <si>
    <t>ST0109</t>
  </si>
  <si>
    <t>Ndeye Kane</t>
  </si>
  <si>
    <t>ST0110</t>
  </si>
  <si>
    <t>Mamadou Ndiaye</t>
  </si>
  <si>
    <t>ST0111</t>
  </si>
  <si>
    <t>Sokhna Ndour</t>
  </si>
  <si>
    <t>ST0112</t>
  </si>
  <si>
    <t>Cheikh Diop</t>
  </si>
  <si>
    <t>ST0113</t>
  </si>
  <si>
    <t>Ibrahima Kane</t>
  </si>
  <si>
    <t>ST0114</t>
  </si>
  <si>
    <t>Mariama Gueye</t>
  </si>
  <si>
    <t>ST0115</t>
  </si>
  <si>
    <t>Ibrahima Diop</t>
  </si>
  <si>
    <t>ST0116</t>
  </si>
  <si>
    <t>ST0117</t>
  </si>
  <si>
    <t>Ndeye Diallo</t>
  </si>
  <si>
    <t>ST0118</t>
  </si>
  <si>
    <t>Khadija Ndiaye</t>
  </si>
  <si>
    <t>ST0119</t>
  </si>
  <si>
    <t>ST0120</t>
  </si>
  <si>
    <t>Rokhaya Sy</t>
  </si>
  <si>
    <t>ST0121</t>
  </si>
  <si>
    <t>Awa Gueye</t>
  </si>
  <si>
    <t>ST0122</t>
  </si>
  <si>
    <t>ST0123</t>
  </si>
  <si>
    <t>Cheikh Kane</t>
  </si>
  <si>
    <t>ST0124</t>
  </si>
  <si>
    <t>Mariama Sarr</t>
  </si>
  <si>
    <t>ST0125</t>
  </si>
  <si>
    <t>Pape Seck</t>
  </si>
  <si>
    <t>ST0126</t>
  </si>
  <si>
    <t>Pape Sy</t>
  </si>
  <si>
    <t>ST0127</t>
  </si>
  <si>
    <t>Coumba Fall</t>
  </si>
  <si>
    <t>ST0128</t>
  </si>
  <si>
    <t>ST0129</t>
  </si>
  <si>
    <t>ST0130</t>
  </si>
  <si>
    <t>Abdoulaye Ndour</t>
  </si>
  <si>
    <t>ST0131</t>
  </si>
  <si>
    <t>Babacar Mbaye</t>
  </si>
  <si>
    <t>ST0132</t>
  </si>
  <si>
    <t>Abdoulaye Sarr</t>
  </si>
  <si>
    <t>ST0133</t>
  </si>
  <si>
    <t>Astou Camara</t>
  </si>
  <si>
    <t>ST0134</t>
  </si>
  <si>
    <t>ST0135</t>
  </si>
  <si>
    <t>ST0136</t>
  </si>
  <si>
    <t>Awa Camara</t>
  </si>
  <si>
    <t>ST0137</t>
  </si>
  <si>
    <t>Alioune Diallo</t>
  </si>
  <si>
    <t>ST0138</t>
  </si>
  <si>
    <t>ST0139</t>
  </si>
  <si>
    <t>Astou Sow</t>
  </si>
  <si>
    <t>ST0140</t>
  </si>
  <si>
    <t>Khadija Sarr</t>
  </si>
  <si>
    <t>ST0141</t>
  </si>
  <si>
    <t>ST0142</t>
  </si>
  <si>
    <t>Aminata Diop</t>
  </si>
  <si>
    <t>ST0143</t>
  </si>
  <si>
    <t>ST0144</t>
  </si>
  <si>
    <t>Coumba Ba</t>
  </si>
  <si>
    <t>ST0145</t>
  </si>
  <si>
    <t>ST0146</t>
  </si>
  <si>
    <t>ST0147</t>
  </si>
  <si>
    <t>Khadija Faye</t>
  </si>
  <si>
    <t>ST0148</t>
  </si>
  <si>
    <t>Astou Kane</t>
  </si>
  <si>
    <t>ST0149</t>
  </si>
  <si>
    <t>ST0150</t>
  </si>
  <si>
    <t>ST0151</t>
  </si>
  <si>
    <t>Ousmane Ba</t>
  </si>
  <si>
    <t>ST0152</t>
  </si>
  <si>
    <t>ST0153</t>
  </si>
  <si>
    <t>ST0154</t>
  </si>
  <si>
    <t>ST0155</t>
  </si>
  <si>
    <t>ST0156</t>
  </si>
  <si>
    <t>Moustapha Diallo</t>
  </si>
  <si>
    <t>ST0157</t>
  </si>
  <si>
    <t>ST0158</t>
  </si>
  <si>
    <t>Pape Mbaye</t>
  </si>
  <si>
    <t>ST0159</t>
  </si>
  <si>
    <t>ST0160</t>
  </si>
  <si>
    <t>Ousmane Camara</t>
  </si>
  <si>
    <t>ST0161</t>
  </si>
  <si>
    <t>Moustapha Mbaye</t>
  </si>
  <si>
    <t>ST0162</t>
  </si>
  <si>
    <t>Babacar Gueye</t>
  </si>
  <si>
    <t>ST0163</t>
  </si>
  <si>
    <t>ST0164</t>
  </si>
  <si>
    <t>Khadija Diop</t>
  </si>
  <si>
    <t>ST0165</t>
  </si>
  <si>
    <t>ST0166</t>
  </si>
  <si>
    <t>Ibrahima Sow</t>
  </si>
  <si>
    <t>ST0167</t>
  </si>
  <si>
    <t>Awa Ndour</t>
  </si>
  <si>
    <t>ST0168</t>
  </si>
  <si>
    <t>ST0169</t>
  </si>
  <si>
    <t>ST0170</t>
  </si>
  <si>
    <t>Ndeye Diop</t>
  </si>
  <si>
    <t>ST0171</t>
  </si>
  <si>
    <t>Sokhna Seck</t>
  </si>
  <si>
    <t>ST0172</t>
  </si>
  <si>
    <t>ST0173</t>
  </si>
  <si>
    <t>ST0174</t>
  </si>
  <si>
    <t>ST0175</t>
  </si>
  <si>
    <t>ST0176</t>
  </si>
  <si>
    <t>Aminata Cisse</t>
  </si>
  <si>
    <t>ST0177</t>
  </si>
  <si>
    <t>ST0178</t>
  </si>
  <si>
    <t>Fatou Diallo</t>
  </si>
  <si>
    <t>ST0179</t>
  </si>
  <si>
    <t>Cheikh Sarr</t>
  </si>
  <si>
    <t>ST0180</t>
  </si>
  <si>
    <t>Mamadou Gueye</t>
  </si>
  <si>
    <t>ST0181</t>
  </si>
  <si>
    <t>Abdoulaye Sy</t>
  </si>
  <si>
    <t>ST0182</t>
  </si>
  <si>
    <t>ST0183</t>
  </si>
  <si>
    <t>ST0184</t>
  </si>
  <si>
    <t>ST0185</t>
  </si>
  <si>
    <t>Rokhaya Kane</t>
  </si>
  <si>
    <t>ST0186</t>
  </si>
  <si>
    <t>ST0187</t>
  </si>
  <si>
    <t>Fatou Diop</t>
  </si>
  <si>
    <t>ST0188</t>
  </si>
  <si>
    <t>ST0189</t>
  </si>
  <si>
    <t>Khadija Kane</t>
  </si>
  <si>
    <t>ST0190</t>
  </si>
  <si>
    <t>Awa Faye</t>
  </si>
  <si>
    <t>ST0191</t>
  </si>
  <si>
    <t>ST0192</t>
  </si>
  <si>
    <t>Cheikh Ba</t>
  </si>
  <si>
    <t>ST0193</t>
  </si>
  <si>
    <t>ST0194</t>
  </si>
  <si>
    <t>ST0195</t>
  </si>
  <si>
    <t>Moustapha Ndiaye</t>
  </si>
  <si>
    <t>ST0196</t>
  </si>
  <si>
    <t>ST0197</t>
  </si>
  <si>
    <t>ST0198</t>
  </si>
  <si>
    <t>Ndeye Camara</t>
  </si>
  <si>
    <t>ST0199</t>
  </si>
  <si>
    <t>Coumba Camara</t>
  </si>
  <si>
    <t>ST0200</t>
  </si>
  <si>
    <t>ST0201</t>
  </si>
  <si>
    <t>ST0202</t>
  </si>
  <si>
    <t>Babacar Kane</t>
  </si>
  <si>
    <t>ST0203</t>
  </si>
  <si>
    <t>Ndeye Sow</t>
  </si>
  <si>
    <t>ST0204</t>
  </si>
  <si>
    <t>Alioune Mbaye</t>
  </si>
  <si>
    <t>ST0205</t>
  </si>
  <si>
    <t>Sokhna Diop</t>
  </si>
  <si>
    <t>ST0206</t>
  </si>
  <si>
    <t>ST0207</t>
  </si>
  <si>
    <t>ST0208</t>
  </si>
  <si>
    <t>Alioune Kane</t>
  </si>
  <si>
    <t>ST0209</t>
  </si>
  <si>
    <t>Mariama Sow</t>
  </si>
  <si>
    <t>ST0210</t>
  </si>
  <si>
    <t>ST0211</t>
  </si>
  <si>
    <t>ST0212</t>
  </si>
  <si>
    <t>Alioune Sarr</t>
  </si>
  <si>
    <t>ST0213</t>
  </si>
  <si>
    <t>ST0214</t>
  </si>
  <si>
    <t>ST0215</t>
  </si>
  <si>
    <t>ST0216</t>
  </si>
  <si>
    <t>ST0217</t>
  </si>
  <si>
    <t>ST0218</t>
  </si>
  <si>
    <t>ST0219</t>
  </si>
  <si>
    <t>ST0220</t>
  </si>
  <si>
    <t>ST0221</t>
  </si>
  <si>
    <t>ST0222</t>
  </si>
  <si>
    <t>ST0223</t>
  </si>
  <si>
    <t>Moussa Faye</t>
  </si>
  <si>
    <t>ST0224</t>
  </si>
  <si>
    <t>Sokhna Camara</t>
  </si>
  <si>
    <t>ST0225</t>
  </si>
  <si>
    <t>Babacar Camara</t>
  </si>
  <si>
    <t>ST0226</t>
  </si>
  <si>
    <t>Ndeye Faye</t>
  </si>
  <si>
    <t>ST0227</t>
  </si>
  <si>
    <t>Ibrahima Fall</t>
  </si>
  <si>
    <t>ST0228</t>
  </si>
  <si>
    <t>ST0229</t>
  </si>
  <si>
    <t>Ibrahima Ndour</t>
  </si>
  <si>
    <t>ST0230</t>
  </si>
  <si>
    <t>Mariama Sy</t>
  </si>
  <si>
    <t>ST0231</t>
  </si>
  <si>
    <t>ST0232</t>
  </si>
  <si>
    <t>Alioune Seck</t>
  </si>
  <si>
    <t>ST0233</t>
  </si>
  <si>
    <t>ST0234</t>
  </si>
  <si>
    <t>Alioune Sow</t>
  </si>
  <si>
    <t>ST0235</t>
  </si>
  <si>
    <t>Sokhna Gueye</t>
  </si>
  <si>
    <t>ST0236</t>
  </si>
  <si>
    <t>ST0237</t>
  </si>
  <si>
    <t>Mamadou Cisse</t>
  </si>
  <si>
    <t>ST0238</t>
  </si>
  <si>
    <t>ST0239</t>
  </si>
  <si>
    <t>Mariama Faye</t>
  </si>
  <si>
    <t>ST0240</t>
  </si>
  <si>
    <t>Mamadou Kane</t>
  </si>
  <si>
    <t>ST0241</t>
  </si>
  <si>
    <t>ST0242</t>
  </si>
  <si>
    <t>Alioune Camara</t>
  </si>
  <si>
    <t>ST0243</t>
  </si>
  <si>
    <t>ST0244</t>
  </si>
  <si>
    <t>ST0245</t>
  </si>
  <si>
    <t>ST0246</t>
  </si>
  <si>
    <t>ST0247</t>
  </si>
  <si>
    <t>Pape Fall</t>
  </si>
  <si>
    <t>ST0248</t>
  </si>
  <si>
    <t>Rokhaya Diallo</t>
  </si>
  <si>
    <t>ST0249</t>
  </si>
  <si>
    <t>ST0250</t>
  </si>
  <si>
    <t>ST0251</t>
  </si>
  <si>
    <t>ST0252</t>
  </si>
  <si>
    <t>Rokhaya Ba</t>
  </si>
  <si>
    <t>ST0253</t>
  </si>
  <si>
    <t>Awa Ba</t>
  </si>
  <si>
    <t>ST0254</t>
  </si>
  <si>
    <t>Astou Sarr</t>
  </si>
  <si>
    <t>ST0255</t>
  </si>
  <si>
    <t>Abdoulaye Diallo</t>
  </si>
  <si>
    <t>ST0256</t>
  </si>
  <si>
    <t>ST0257</t>
  </si>
  <si>
    <t>Cheikh Ndour</t>
  </si>
  <si>
    <t>ST0258</t>
  </si>
  <si>
    <t>Khadija Ndour</t>
  </si>
  <si>
    <t>ST0259</t>
  </si>
  <si>
    <t>ST0260</t>
  </si>
  <si>
    <t>ST0261</t>
  </si>
  <si>
    <t>Cheikh Cisse</t>
  </si>
  <si>
    <t>ST0262</t>
  </si>
  <si>
    <t>ST0263</t>
  </si>
  <si>
    <t>Rokhaya Sow</t>
  </si>
  <si>
    <t>ST0264</t>
  </si>
  <si>
    <t>Pape Sarr</t>
  </si>
  <si>
    <t>ST0265</t>
  </si>
  <si>
    <t>Cheikh Sow</t>
  </si>
  <si>
    <t>ST0266</t>
  </si>
  <si>
    <t>ST0267</t>
  </si>
  <si>
    <t>Awa Sarr</t>
  </si>
  <si>
    <t>ST0268</t>
  </si>
  <si>
    <t>ST0269</t>
  </si>
  <si>
    <t>Moussa Seck</t>
  </si>
  <si>
    <t>ST0270</t>
  </si>
  <si>
    <t>Mamadou Ndour</t>
  </si>
  <si>
    <t>ST0271</t>
  </si>
  <si>
    <t>ST0272</t>
  </si>
  <si>
    <t>Fatou Mbaye</t>
  </si>
  <si>
    <t>ST0273</t>
  </si>
  <si>
    <t>ST0274</t>
  </si>
  <si>
    <t>Abdoulaye Gueye</t>
  </si>
  <si>
    <t>ST0275</t>
  </si>
  <si>
    <t>ST0276</t>
  </si>
  <si>
    <t>ST0277</t>
  </si>
  <si>
    <t>ST0278</t>
  </si>
  <si>
    <t>Alioune Cisse</t>
  </si>
  <si>
    <t>ST0279</t>
  </si>
  <si>
    <t>Awa Fall</t>
  </si>
  <si>
    <t>ST0280</t>
  </si>
  <si>
    <t>Coumba Diallo</t>
  </si>
  <si>
    <t>ST0281</t>
  </si>
  <si>
    <t>Astou Ba</t>
  </si>
  <si>
    <t>ST0282</t>
  </si>
  <si>
    <t>ST0283</t>
  </si>
  <si>
    <t>ST0284</t>
  </si>
  <si>
    <t>Coumba Ndour</t>
  </si>
  <si>
    <t>ST0285</t>
  </si>
  <si>
    <t>ST0286</t>
  </si>
  <si>
    <t>ST0287</t>
  </si>
  <si>
    <t>ST0288</t>
  </si>
  <si>
    <t>ST0289</t>
  </si>
  <si>
    <t>Ibrahima Ba</t>
  </si>
  <si>
    <t>ST0290</t>
  </si>
  <si>
    <t>ST0291</t>
  </si>
  <si>
    <t>Cheikh Diallo</t>
  </si>
  <si>
    <t>ST0292</t>
  </si>
  <si>
    <t>Coumba Faye</t>
  </si>
  <si>
    <t>ST0293</t>
  </si>
  <si>
    <t>ST0294</t>
  </si>
  <si>
    <t>Awa Diop</t>
  </si>
  <si>
    <t>ST0295</t>
  </si>
  <si>
    <t>Moussa Mbaye</t>
  </si>
  <si>
    <t>ST0296</t>
  </si>
  <si>
    <t>Moustapha Ba</t>
  </si>
  <si>
    <t>ST0297</t>
  </si>
  <si>
    <t>ST0298</t>
  </si>
  <si>
    <t>Sokhna Sarr</t>
  </si>
  <si>
    <t>ST0299</t>
  </si>
  <si>
    <t>ST0300</t>
  </si>
  <si>
    <t>ST0301</t>
  </si>
  <si>
    <t>ST0302</t>
  </si>
  <si>
    <t>Babacar Diallo</t>
  </si>
  <si>
    <t>ST0303</t>
  </si>
  <si>
    <t>Sokhna Faye</t>
  </si>
  <si>
    <t>ST0304</t>
  </si>
  <si>
    <t>ST0305</t>
  </si>
  <si>
    <t>ST0306</t>
  </si>
  <si>
    <t>Sokhna Kane</t>
  </si>
  <si>
    <t>ST0307</t>
  </si>
  <si>
    <t>ST0308</t>
  </si>
  <si>
    <t>Cheikh Mbaye</t>
  </si>
  <si>
    <t>ST0309</t>
  </si>
  <si>
    <t>ST0310</t>
  </si>
  <si>
    <t>ST0311</t>
  </si>
  <si>
    <t>Moustapha Faye</t>
  </si>
  <si>
    <t>ST0312</t>
  </si>
  <si>
    <t>Ousmane Diop</t>
  </si>
  <si>
    <t>ST0313</t>
  </si>
  <si>
    <t>Astou Ndour</t>
  </si>
  <si>
    <t>ST0314</t>
  </si>
  <si>
    <t>ST0315</t>
  </si>
  <si>
    <t>ST0316</t>
  </si>
  <si>
    <t>ST0317</t>
  </si>
  <si>
    <t>ST0318</t>
  </si>
  <si>
    <t>ST0319</t>
  </si>
  <si>
    <t>Babacar Faye</t>
  </si>
  <si>
    <t>ST0320</t>
  </si>
  <si>
    <t>Ousmane Kane</t>
  </si>
  <si>
    <t>ST0321</t>
  </si>
  <si>
    <t>ST0322</t>
  </si>
  <si>
    <t>Mariama Diallo</t>
  </si>
  <si>
    <t>ST0323</t>
  </si>
  <si>
    <t>Moustapha Kane</t>
  </si>
  <si>
    <t>ST0324</t>
  </si>
  <si>
    <t>ST0325</t>
  </si>
  <si>
    <t>ST0326</t>
  </si>
  <si>
    <t>ST0327</t>
  </si>
  <si>
    <t>Sokhna Ba</t>
  </si>
  <si>
    <t>ST0328</t>
  </si>
  <si>
    <t>Awa Sy</t>
  </si>
  <si>
    <t>ST0329</t>
  </si>
  <si>
    <t>ST0330</t>
  </si>
  <si>
    <t>ST0331</t>
  </si>
  <si>
    <t>ST0332</t>
  </si>
  <si>
    <t>ST0333</t>
  </si>
  <si>
    <t>ST0334</t>
  </si>
  <si>
    <t>ST0335</t>
  </si>
  <si>
    <t>ST0336</t>
  </si>
  <si>
    <t>ST0337</t>
  </si>
  <si>
    <t>ST0338</t>
  </si>
  <si>
    <t>Mariama Mbaye</t>
  </si>
  <si>
    <t>ST0339</t>
  </si>
  <si>
    <t>ST0340</t>
  </si>
  <si>
    <t>Babacar Sarr</t>
  </si>
  <si>
    <t>ST0341</t>
  </si>
  <si>
    <t>ST0342</t>
  </si>
  <si>
    <t>Fatou Fall</t>
  </si>
  <si>
    <t>ST0343</t>
  </si>
  <si>
    <t>ST0344</t>
  </si>
  <si>
    <t>ST0345</t>
  </si>
  <si>
    <t>Ibrahima Gueye</t>
  </si>
  <si>
    <t>ST0346</t>
  </si>
  <si>
    <t>ST0347</t>
  </si>
  <si>
    <t>ST0348</t>
  </si>
  <si>
    <t>Alioune Ndour</t>
  </si>
  <si>
    <t>ST0349</t>
  </si>
  <si>
    <t>ST0350</t>
  </si>
  <si>
    <t>ST0351</t>
  </si>
  <si>
    <t>ST0352</t>
  </si>
  <si>
    <t>Aminata Gueye</t>
  </si>
  <si>
    <t>ST0353</t>
  </si>
  <si>
    <t>ST0354</t>
  </si>
  <si>
    <t>ST0355</t>
  </si>
  <si>
    <t>ST0356</t>
  </si>
  <si>
    <t>ST0357</t>
  </si>
  <si>
    <t>Aminata Fall</t>
  </si>
  <si>
    <t>ST0358</t>
  </si>
  <si>
    <t>ST0359</t>
  </si>
  <si>
    <t>ST0360</t>
  </si>
  <si>
    <t>ST0361</t>
  </si>
  <si>
    <t>ST0362</t>
  </si>
  <si>
    <t>ST0363</t>
  </si>
  <si>
    <t>Aminata Ba</t>
  </si>
  <si>
    <t>ST0364</t>
  </si>
  <si>
    <t>ST0365</t>
  </si>
  <si>
    <t>ST0366</t>
  </si>
  <si>
    <t>Mamadou Sarr</t>
  </si>
  <si>
    <t>ST0367</t>
  </si>
  <si>
    <t>ST0368</t>
  </si>
  <si>
    <t>ST0369</t>
  </si>
  <si>
    <t>ST0370</t>
  </si>
  <si>
    <t>ST0371</t>
  </si>
  <si>
    <t>ST0372</t>
  </si>
  <si>
    <t>Ousmane Ndiaye</t>
  </si>
  <si>
    <t>ST0373</t>
  </si>
  <si>
    <t>Rokhaya Cisse</t>
  </si>
  <si>
    <t>ST0374</t>
  </si>
  <si>
    <t>ST0375</t>
  </si>
  <si>
    <t>Pape Camara</t>
  </si>
  <si>
    <t>ST0376</t>
  </si>
  <si>
    <t>Ndeye Sarr</t>
  </si>
  <si>
    <t>ST0377</t>
  </si>
  <si>
    <t>Moussa Sarr</t>
  </si>
  <si>
    <t>ST0378</t>
  </si>
  <si>
    <t>ST0379</t>
  </si>
  <si>
    <t>Khadija Gueye</t>
  </si>
  <si>
    <t>ST0380</t>
  </si>
  <si>
    <t>Khadija Sy</t>
  </si>
  <si>
    <t>ST0381</t>
  </si>
  <si>
    <t>ST0382</t>
  </si>
  <si>
    <t>ST0383</t>
  </si>
  <si>
    <t>Ousmane Ndour</t>
  </si>
  <si>
    <t>ST0384</t>
  </si>
  <si>
    <t>ST0385</t>
  </si>
  <si>
    <t>ST0386</t>
  </si>
  <si>
    <t>Mariama Ndour</t>
  </si>
  <si>
    <t>ST0387</t>
  </si>
  <si>
    <t>ST0388</t>
  </si>
  <si>
    <t>ST0389</t>
  </si>
  <si>
    <t>ST0390</t>
  </si>
  <si>
    <t>ST0391</t>
  </si>
  <si>
    <t>Ousmane Sow</t>
  </si>
  <si>
    <t>ST0392</t>
  </si>
  <si>
    <t>ST0393</t>
  </si>
  <si>
    <t>Ndeye Seck</t>
  </si>
  <si>
    <t>ST0394</t>
  </si>
  <si>
    <t>Alioune Fall</t>
  </si>
  <si>
    <t>ST0395</t>
  </si>
  <si>
    <t>Cheikh Sy</t>
  </si>
  <si>
    <t>ST0396</t>
  </si>
  <si>
    <t>Moustapha Gueye</t>
  </si>
  <si>
    <t>ST0397</t>
  </si>
  <si>
    <t>Sokhna Mbaye</t>
  </si>
  <si>
    <t>ST0398</t>
  </si>
  <si>
    <t>Sokhna Cisse</t>
  </si>
  <si>
    <t>ST0399</t>
  </si>
  <si>
    <t>ST0400</t>
  </si>
  <si>
    <t>Mariama Ba</t>
  </si>
  <si>
    <t>ST0401</t>
  </si>
  <si>
    <t>ST0402</t>
  </si>
  <si>
    <t>ST0403</t>
  </si>
  <si>
    <t>ST0404</t>
  </si>
  <si>
    <t>Ousmane Fall</t>
  </si>
  <si>
    <t>ST0405</t>
  </si>
  <si>
    <t>Fatou Ndiaye</t>
  </si>
  <si>
    <t>ST0406</t>
  </si>
  <si>
    <t>Ibrahima Sarr</t>
  </si>
  <si>
    <t>ST0407</t>
  </si>
  <si>
    <t>ST0408</t>
  </si>
  <si>
    <t>ST0409</t>
  </si>
  <si>
    <t>Mamadou Seck</t>
  </si>
  <si>
    <t>ST0410</t>
  </si>
  <si>
    <t>ST0411</t>
  </si>
  <si>
    <t>ST0412</t>
  </si>
  <si>
    <t>Khadija Cisse</t>
  </si>
  <si>
    <t>ST0413</t>
  </si>
  <si>
    <t>ST0414</t>
  </si>
  <si>
    <t>ST0415</t>
  </si>
  <si>
    <t>Khadija Diallo</t>
  </si>
  <si>
    <t>ST0416</t>
  </si>
  <si>
    <t>ST0417</t>
  </si>
  <si>
    <t>ST0418</t>
  </si>
  <si>
    <t>ST0419</t>
  </si>
  <si>
    <t>ST0420</t>
  </si>
  <si>
    <t>ST0421</t>
  </si>
  <si>
    <t>Moussa Sow</t>
  </si>
  <si>
    <t>ST0422</t>
  </si>
  <si>
    <t>ST0423</t>
  </si>
  <si>
    <t>ST0424</t>
  </si>
  <si>
    <t>ST0425</t>
  </si>
  <si>
    <t>ST0426</t>
  </si>
  <si>
    <t>ST0427</t>
  </si>
  <si>
    <t>Abdoulaye Sow</t>
  </si>
  <si>
    <t>ST0428</t>
  </si>
  <si>
    <t>Moussa Ndour</t>
  </si>
  <si>
    <t>ST0429</t>
  </si>
  <si>
    <t>ST0430</t>
  </si>
  <si>
    <t>ST0431</t>
  </si>
  <si>
    <t>ST0432</t>
  </si>
  <si>
    <t>ST0433</t>
  </si>
  <si>
    <t>ST0434</t>
  </si>
  <si>
    <t>ST0435</t>
  </si>
  <si>
    <t>ST0436</t>
  </si>
  <si>
    <t>ST0437</t>
  </si>
  <si>
    <t>ST0438</t>
  </si>
  <si>
    <t>Abdoulaye Ndiaye</t>
  </si>
  <si>
    <t>ST0439</t>
  </si>
  <si>
    <t>Aminata Ndour</t>
  </si>
  <si>
    <t>ST0440</t>
  </si>
  <si>
    <t>ST0441</t>
  </si>
  <si>
    <t>ST0442</t>
  </si>
  <si>
    <t>ST0443</t>
  </si>
  <si>
    <t>ST0444</t>
  </si>
  <si>
    <t>Rokhaya Seck</t>
  </si>
  <si>
    <t>ST0445</t>
  </si>
  <si>
    <t>Ibrahima Sy</t>
  </si>
  <si>
    <t>ST0446</t>
  </si>
  <si>
    <t>ST0447</t>
  </si>
  <si>
    <t>ST0448</t>
  </si>
  <si>
    <t>Moussa Kane</t>
  </si>
  <si>
    <t>ST0449</t>
  </si>
  <si>
    <t>ST0450</t>
  </si>
  <si>
    <t>ST0451</t>
  </si>
  <si>
    <t>ST0452</t>
  </si>
  <si>
    <t>Mamadou Sy</t>
  </si>
  <si>
    <t>ST0453</t>
  </si>
  <si>
    <t>Awa Sow</t>
  </si>
  <si>
    <t>ST0454</t>
  </si>
  <si>
    <t>ST0455</t>
  </si>
  <si>
    <t>Moustapha Diop</t>
  </si>
  <si>
    <t>ST0456</t>
  </si>
  <si>
    <t>ST0457</t>
  </si>
  <si>
    <t>Ndeye Cisse</t>
  </si>
  <si>
    <t>ST0458</t>
  </si>
  <si>
    <t>ST0459</t>
  </si>
  <si>
    <t>ST0460</t>
  </si>
  <si>
    <t>ST0461</t>
  </si>
  <si>
    <t>ST0462</t>
  </si>
  <si>
    <t>ST0463</t>
  </si>
  <si>
    <t>Mamadou Ba</t>
  </si>
  <si>
    <t>ST0464</t>
  </si>
  <si>
    <t>ST0465</t>
  </si>
  <si>
    <t>ST0466</t>
  </si>
  <si>
    <t>Ibrahima Seck</t>
  </si>
  <si>
    <t>ST0467</t>
  </si>
  <si>
    <t>ST0468</t>
  </si>
  <si>
    <t>Ousmane Mbaye</t>
  </si>
  <si>
    <t>ST0469</t>
  </si>
  <si>
    <t>ST0470</t>
  </si>
  <si>
    <t>ST0471</t>
  </si>
  <si>
    <t>ST0472</t>
  </si>
  <si>
    <t>ST0473</t>
  </si>
  <si>
    <t>Rokhaya Mbaye</t>
  </si>
  <si>
    <t>ST0474</t>
  </si>
  <si>
    <t>Mariama Kane</t>
  </si>
  <si>
    <t>ST0475</t>
  </si>
  <si>
    <t>Moussa Cisse</t>
  </si>
  <si>
    <t>ST0476</t>
  </si>
  <si>
    <t>ST0477</t>
  </si>
  <si>
    <t>ST0478</t>
  </si>
  <si>
    <t>ST0479</t>
  </si>
  <si>
    <t>ST0480</t>
  </si>
  <si>
    <t>ST0481</t>
  </si>
  <si>
    <t>ST0482</t>
  </si>
  <si>
    <t>ST0483</t>
  </si>
  <si>
    <t>Mariama Diop</t>
  </si>
  <si>
    <t>ST0484</t>
  </si>
  <si>
    <t>ST0485</t>
  </si>
  <si>
    <t>ST0486</t>
  </si>
  <si>
    <t>ST0487</t>
  </si>
  <si>
    <t>ST0488</t>
  </si>
  <si>
    <t>ST0489</t>
  </si>
  <si>
    <t>Ibrahima Camara</t>
  </si>
  <si>
    <t>ST0490</t>
  </si>
  <si>
    <t>ST0491</t>
  </si>
  <si>
    <t>ST0492</t>
  </si>
  <si>
    <t>Babacar Ndour</t>
  </si>
  <si>
    <t>ST0493</t>
  </si>
  <si>
    <t>ST0494</t>
  </si>
  <si>
    <t>ST0495</t>
  </si>
  <si>
    <t>ST0496</t>
  </si>
  <si>
    <t>ST0497</t>
  </si>
  <si>
    <t>ST0498</t>
  </si>
  <si>
    <t>ST0499</t>
  </si>
  <si>
    <t>ST0500</t>
  </si>
  <si>
    <t>ST0501</t>
  </si>
  <si>
    <t>ST0502</t>
  </si>
  <si>
    <t>ST0503</t>
  </si>
  <si>
    <t>Cheikh Faye</t>
  </si>
  <si>
    <t>ST0504</t>
  </si>
  <si>
    <t>ST0505</t>
  </si>
  <si>
    <t>ST0506</t>
  </si>
  <si>
    <t>ST0507</t>
  </si>
  <si>
    <t>ST0508</t>
  </si>
  <si>
    <t>ST0509</t>
  </si>
  <si>
    <t>ST0510</t>
  </si>
  <si>
    <t>ST0511</t>
  </si>
  <si>
    <t>ST0512</t>
  </si>
  <si>
    <t>Cheikh Gueye</t>
  </si>
  <si>
    <t>ST0513</t>
  </si>
  <si>
    <t>Alioune Ndiaye</t>
  </si>
  <si>
    <t>ST0514</t>
  </si>
  <si>
    <t>ST0515</t>
  </si>
  <si>
    <t>ST0516</t>
  </si>
  <si>
    <t>ST0517</t>
  </si>
  <si>
    <t>ST0518</t>
  </si>
  <si>
    <t>ST0519</t>
  </si>
  <si>
    <t>ST0520</t>
  </si>
  <si>
    <t>ST0521</t>
  </si>
  <si>
    <t>ST0522</t>
  </si>
  <si>
    <t>ST0523</t>
  </si>
  <si>
    <t>ST0524</t>
  </si>
  <si>
    <t>ST0525</t>
  </si>
  <si>
    <t>ST0526</t>
  </si>
  <si>
    <t>ST0527</t>
  </si>
  <si>
    <t>Ousmane Faye</t>
  </si>
  <si>
    <t>ST0528</t>
  </si>
  <si>
    <t>Fatou Seck</t>
  </si>
  <si>
    <t>ST0529</t>
  </si>
  <si>
    <t>ST0530</t>
  </si>
  <si>
    <t>Moussa Gueye</t>
  </si>
  <si>
    <t>ST0531</t>
  </si>
  <si>
    <t>ST0532</t>
  </si>
  <si>
    <t>ST0533</t>
  </si>
  <si>
    <t>ST0534</t>
  </si>
  <si>
    <t>ST0535</t>
  </si>
  <si>
    <t>ST0536</t>
  </si>
  <si>
    <t>ST0537</t>
  </si>
  <si>
    <t>Fatou Kane</t>
  </si>
  <si>
    <t>ST0538</t>
  </si>
  <si>
    <t>ST0539</t>
  </si>
  <si>
    <t>ST0540</t>
  </si>
  <si>
    <t>ST0541</t>
  </si>
  <si>
    <t>ST0542</t>
  </si>
  <si>
    <t>ST0543</t>
  </si>
  <si>
    <t>ST0544</t>
  </si>
  <si>
    <t>ST0545</t>
  </si>
  <si>
    <t>ST0546</t>
  </si>
  <si>
    <t>ST0547</t>
  </si>
  <si>
    <t>ST0548</t>
  </si>
  <si>
    <t>ST0549</t>
  </si>
  <si>
    <t>ST0550</t>
  </si>
  <si>
    <t>ST0551</t>
  </si>
  <si>
    <t>ST0552</t>
  </si>
  <si>
    <t>ST0553</t>
  </si>
  <si>
    <t>ST0554</t>
  </si>
  <si>
    <t>ST0555</t>
  </si>
  <si>
    <t>ST0556</t>
  </si>
  <si>
    <t>Ibrahima Diallo</t>
  </si>
  <si>
    <t>ST0557</t>
  </si>
  <si>
    <t>ST0558</t>
  </si>
  <si>
    <t>ST0559</t>
  </si>
  <si>
    <t>ST0560</t>
  </si>
  <si>
    <t>Pape Diop</t>
  </si>
  <si>
    <t>ST0561</t>
  </si>
  <si>
    <t>ST0562</t>
  </si>
  <si>
    <t>ST0563</t>
  </si>
  <si>
    <t>ST0564</t>
  </si>
  <si>
    <t>ST0565</t>
  </si>
  <si>
    <t>ST0566</t>
  </si>
  <si>
    <t>Rokhaya Sarr</t>
  </si>
  <si>
    <t>ST0567</t>
  </si>
  <si>
    <t>ST0568</t>
  </si>
  <si>
    <t>ST0569</t>
  </si>
  <si>
    <t>ST0570</t>
  </si>
  <si>
    <t>ST0571</t>
  </si>
  <si>
    <t>ST0572</t>
  </si>
  <si>
    <t>Aminata Seck</t>
  </si>
  <si>
    <t>ST0573</t>
  </si>
  <si>
    <t>ST0574</t>
  </si>
  <si>
    <t>Coumba Gueye</t>
  </si>
  <si>
    <t>ST0575</t>
  </si>
  <si>
    <t>ST0576</t>
  </si>
  <si>
    <t>Aminata Mbaye</t>
  </si>
  <si>
    <t>ST0577</t>
  </si>
  <si>
    <t>Moustapha Seck</t>
  </si>
  <si>
    <t>ST0578</t>
  </si>
  <si>
    <t>ST0579</t>
  </si>
  <si>
    <t>ST0580</t>
  </si>
  <si>
    <t>ST0581</t>
  </si>
  <si>
    <t>ST0582</t>
  </si>
  <si>
    <t>ST0583</t>
  </si>
  <si>
    <t>ST0584</t>
  </si>
  <si>
    <t>ST0585</t>
  </si>
  <si>
    <t>ST0586</t>
  </si>
  <si>
    <t>ST0587</t>
  </si>
  <si>
    <t>ST0588</t>
  </si>
  <si>
    <t>ST0589</t>
  </si>
  <si>
    <t>ST0590</t>
  </si>
  <si>
    <t>ST0591</t>
  </si>
  <si>
    <t>ST0592</t>
  </si>
  <si>
    <t>ST0593</t>
  </si>
  <si>
    <t>ST0594</t>
  </si>
  <si>
    <t>Mamadou Fall</t>
  </si>
  <si>
    <t>ST0595</t>
  </si>
  <si>
    <t>ST0596</t>
  </si>
  <si>
    <t>ST0597</t>
  </si>
  <si>
    <t>ST0598</t>
  </si>
  <si>
    <t>ST0599</t>
  </si>
  <si>
    <t>ST0600</t>
  </si>
  <si>
    <t>ST0601</t>
  </si>
  <si>
    <t>ST0602</t>
  </si>
  <si>
    <t>ST0603</t>
  </si>
  <si>
    <t>Pape Diallo</t>
  </si>
  <si>
    <t>ST0604</t>
  </si>
  <si>
    <t>ST0605</t>
  </si>
  <si>
    <t>ST0606</t>
  </si>
  <si>
    <t>Pape Ndiaye</t>
  </si>
  <si>
    <t>ST0607</t>
  </si>
  <si>
    <t>ST0608</t>
  </si>
  <si>
    <t>Moustapha Sy</t>
  </si>
  <si>
    <t>ST0609</t>
  </si>
  <si>
    <t>ST0610</t>
  </si>
  <si>
    <t>ST0611</t>
  </si>
  <si>
    <t>ST0612</t>
  </si>
  <si>
    <t>ST0613</t>
  </si>
  <si>
    <t>ST0614</t>
  </si>
  <si>
    <t>ST0615</t>
  </si>
  <si>
    <t>Mamadou Diop</t>
  </si>
  <si>
    <t>ST0616</t>
  </si>
  <si>
    <t>ST0617</t>
  </si>
  <si>
    <t>Astou Mbaye</t>
  </si>
  <si>
    <t>ST0618</t>
  </si>
  <si>
    <t>Khadija Sow</t>
  </si>
  <si>
    <t>ST0619</t>
  </si>
  <si>
    <t>Fatou Gueye</t>
  </si>
  <si>
    <t>ST0620</t>
  </si>
  <si>
    <t>ST0621</t>
  </si>
  <si>
    <t>ST0622</t>
  </si>
  <si>
    <t>ST0623</t>
  </si>
  <si>
    <t>ST0624</t>
  </si>
  <si>
    <t>ST0625</t>
  </si>
  <si>
    <t>ST0626</t>
  </si>
  <si>
    <t>ST0627</t>
  </si>
  <si>
    <t>Khadija Camara</t>
  </si>
  <si>
    <t>ST0628</t>
  </si>
  <si>
    <t>ST0629</t>
  </si>
  <si>
    <t>ST0630</t>
  </si>
  <si>
    <t>ST0631</t>
  </si>
  <si>
    <t>ST0632</t>
  </si>
  <si>
    <t>ST0633</t>
  </si>
  <si>
    <t>ST0634</t>
  </si>
  <si>
    <t>ST0635</t>
  </si>
  <si>
    <t>ST0636</t>
  </si>
  <si>
    <t>Moustapha Ndour</t>
  </si>
  <si>
    <t>ST0637</t>
  </si>
  <si>
    <t>ST0638</t>
  </si>
  <si>
    <t>ST0639</t>
  </si>
  <si>
    <t>ST0640</t>
  </si>
  <si>
    <t>ST0641</t>
  </si>
  <si>
    <t>ST0642</t>
  </si>
  <si>
    <t>ST0643</t>
  </si>
  <si>
    <t>ST0644</t>
  </si>
  <si>
    <t>ST0645</t>
  </si>
  <si>
    <t>ST0646</t>
  </si>
  <si>
    <t>ST0647</t>
  </si>
  <si>
    <t>ST0648</t>
  </si>
  <si>
    <t>ST0649</t>
  </si>
  <si>
    <t>ST0650</t>
  </si>
  <si>
    <t>ST0651</t>
  </si>
  <si>
    <t>ST0652</t>
  </si>
  <si>
    <t>ST0653</t>
  </si>
  <si>
    <t>ST0654</t>
  </si>
  <si>
    <t>ST0655</t>
  </si>
  <si>
    <t>ST0656</t>
  </si>
  <si>
    <t>ST0657</t>
  </si>
  <si>
    <t>ST0658</t>
  </si>
  <si>
    <t>ST0659</t>
  </si>
  <si>
    <t>ST0660</t>
  </si>
  <si>
    <t>ST0661</t>
  </si>
  <si>
    <t>Sokhna Sy</t>
  </si>
  <si>
    <t>ST0662</t>
  </si>
  <si>
    <t>ST0663</t>
  </si>
  <si>
    <t>ST0664</t>
  </si>
  <si>
    <t>ST0665</t>
  </si>
  <si>
    <t>ST0666</t>
  </si>
  <si>
    <t>ST0667</t>
  </si>
  <si>
    <t>ST0668</t>
  </si>
  <si>
    <t>ST0669</t>
  </si>
  <si>
    <t>Moustapha Camara</t>
  </si>
  <si>
    <t>ST0670</t>
  </si>
  <si>
    <t>ST0671</t>
  </si>
  <si>
    <t>ST0672</t>
  </si>
  <si>
    <t>ST0673</t>
  </si>
  <si>
    <t>ST0674</t>
  </si>
  <si>
    <t>ST0675</t>
  </si>
  <si>
    <t>ST0676</t>
  </si>
  <si>
    <t>ST0677</t>
  </si>
  <si>
    <t>ST0678</t>
  </si>
  <si>
    <t>ST0679</t>
  </si>
  <si>
    <t>ST0680</t>
  </si>
  <si>
    <t>ST0681</t>
  </si>
  <si>
    <t>ST0682</t>
  </si>
  <si>
    <t>ST0683</t>
  </si>
  <si>
    <t>ST0684</t>
  </si>
  <si>
    <t>ST0685</t>
  </si>
  <si>
    <t>ST0686</t>
  </si>
  <si>
    <t>ST0687</t>
  </si>
  <si>
    <t>ST0688</t>
  </si>
  <si>
    <t>ST0689</t>
  </si>
  <si>
    <t>ST0690</t>
  </si>
  <si>
    <t>ST0691</t>
  </si>
  <si>
    <t>ST0692</t>
  </si>
  <si>
    <t>ST0693</t>
  </si>
  <si>
    <t>Abdoulaye Ba</t>
  </si>
  <si>
    <t>ST0694</t>
  </si>
  <si>
    <t>ST0695</t>
  </si>
  <si>
    <t>ST0696</t>
  </si>
  <si>
    <t>ST0697</t>
  </si>
  <si>
    <t>ST0698</t>
  </si>
  <si>
    <t>ST0699</t>
  </si>
  <si>
    <t>ST0700</t>
  </si>
  <si>
    <t>ST0701</t>
  </si>
  <si>
    <t>ST0702</t>
  </si>
  <si>
    <t>ST0703</t>
  </si>
  <si>
    <t>ST0704</t>
  </si>
  <si>
    <t>ST0705</t>
  </si>
  <si>
    <t>ST0706</t>
  </si>
  <si>
    <t>ST0707</t>
  </si>
  <si>
    <t>ST0708</t>
  </si>
  <si>
    <t>ST0709</t>
  </si>
  <si>
    <t>ST0710</t>
  </si>
  <si>
    <t>ST0711</t>
  </si>
  <si>
    <t>ST0712</t>
  </si>
  <si>
    <t>ST0713</t>
  </si>
  <si>
    <t>ST0714</t>
  </si>
  <si>
    <t>ST0715</t>
  </si>
  <si>
    <t>ST0716</t>
  </si>
  <si>
    <t>ST0717</t>
  </si>
  <si>
    <t>Abdoulaye Mbaye</t>
  </si>
  <si>
    <t>ST0718</t>
  </si>
  <si>
    <t>Aminata Faye</t>
  </si>
  <si>
    <t>ST0719</t>
  </si>
  <si>
    <t>Rokhaya Camara</t>
  </si>
  <si>
    <t>ST0720</t>
  </si>
  <si>
    <t>ST0721</t>
  </si>
  <si>
    <t>ST0722</t>
  </si>
  <si>
    <t>ST0723</t>
  </si>
  <si>
    <t>ST0724</t>
  </si>
  <si>
    <t>ST0725</t>
  </si>
  <si>
    <t>ST0726</t>
  </si>
  <si>
    <t>Astou Diop</t>
  </si>
  <si>
    <t>ST0727</t>
  </si>
  <si>
    <t>ST0728</t>
  </si>
  <si>
    <t>ST0729</t>
  </si>
  <si>
    <t>Rokhaya Diop</t>
  </si>
  <si>
    <t>ST0730</t>
  </si>
  <si>
    <t>ST0731</t>
  </si>
  <si>
    <t>ST0732</t>
  </si>
  <si>
    <t>ST0733</t>
  </si>
  <si>
    <t>ST0734</t>
  </si>
  <si>
    <t>ST0735</t>
  </si>
  <si>
    <t>ST0736</t>
  </si>
  <si>
    <t>ST0737</t>
  </si>
  <si>
    <t>ST0738</t>
  </si>
  <si>
    <t>ST0739</t>
  </si>
  <si>
    <t>ST0740</t>
  </si>
  <si>
    <t>ST0741</t>
  </si>
  <si>
    <t>ST0742</t>
  </si>
  <si>
    <t>ST0743</t>
  </si>
  <si>
    <t>ST0744</t>
  </si>
  <si>
    <t>ST0745</t>
  </si>
  <si>
    <t>ST0746</t>
  </si>
  <si>
    <t>ST0747</t>
  </si>
  <si>
    <t>ST0748</t>
  </si>
  <si>
    <t>ST0749</t>
  </si>
  <si>
    <t>ST0750</t>
  </si>
  <si>
    <t>ST0751</t>
  </si>
  <si>
    <t>ST0752</t>
  </si>
  <si>
    <t>Coumba Cisse</t>
  </si>
  <si>
    <t>ST0753</t>
  </si>
  <si>
    <t>ST0754</t>
  </si>
  <si>
    <t>ST0755</t>
  </si>
  <si>
    <t>ST0756</t>
  </si>
  <si>
    <t>ST0757</t>
  </si>
  <si>
    <t>ST0758</t>
  </si>
  <si>
    <t>Sokhna Fall</t>
  </si>
  <si>
    <t>ST0759</t>
  </si>
  <si>
    <t>ST0760</t>
  </si>
  <si>
    <t>ST0761</t>
  </si>
  <si>
    <t>ST0762</t>
  </si>
  <si>
    <t>ST0763</t>
  </si>
  <si>
    <t>ST0764</t>
  </si>
  <si>
    <t>ST0765</t>
  </si>
  <si>
    <t>ST0766</t>
  </si>
  <si>
    <t>ST0767</t>
  </si>
  <si>
    <t>ST0768</t>
  </si>
  <si>
    <t>ST0769</t>
  </si>
  <si>
    <t>ST0770</t>
  </si>
  <si>
    <t>Fatou Cisse</t>
  </si>
  <si>
    <t>ST0771</t>
  </si>
  <si>
    <t>ST0772</t>
  </si>
  <si>
    <t>ST0773</t>
  </si>
  <si>
    <t>Aminata Sarr</t>
  </si>
  <si>
    <t>ST0774</t>
  </si>
  <si>
    <t>ST0775</t>
  </si>
  <si>
    <t>ST0776</t>
  </si>
  <si>
    <t>ST0777</t>
  </si>
  <si>
    <t>ST0778</t>
  </si>
  <si>
    <t>ST0779</t>
  </si>
  <si>
    <t>ST0780</t>
  </si>
  <si>
    <t>Abdoulaye Camara</t>
  </si>
  <si>
    <t>ST0781</t>
  </si>
  <si>
    <t>ST0782</t>
  </si>
  <si>
    <t>ST0783</t>
  </si>
  <si>
    <t>ST0784</t>
  </si>
  <si>
    <t>ST0785</t>
  </si>
  <si>
    <t>ST0786</t>
  </si>
  <si>
    <t>ST0787</t>
  </si>
  <si>
    <t>ST0788</t>
  </si>
  <si>
    <t>ST0789</t>
  </si>
  <si>
    <t>ST0790</t>
  </si>
  <si>
    <t>ST0791</t>
  </si>
  <si>
    <t>ST0792</t>
  </si>
  <si>
    <t>Coumba Ndiaye</t>
  </si>
  <si>
    <t>ST0793</t>
  </si>
  <si>
    <t>ST0794</t>
  </si>
  <si>
    <t>ST0795</t>
  </si>
  <si>
    <t>ST0796</t>
  </si>
  <si>
    <t>ST0797</t>
  </si>
  <si>
    <t>ST0798</t>
  </si>
  <si>
    <t>ST0799</t>
  </si>
  <si>
    <t>ST0800</t>
  </si>
  <si>
    <t>ST0801</t>
  </si>
  <si>
    <t>ST0802</t>
  </si>
  <si>
    <t>ST0803</t>
  </si>
  <si>
    <t>Babacar Fall</t>
  </si>
  <si>
    <t>ST0804</t>
  </si>
  <si>
    <t>ST0805</t>
  </si>
  <si>
    <t>ST0806</t>
  </si>
  <si>
    <t>ST0807</t>
  </si>
  <si>
    <t>ST0808</t>
  </si>
  <si>
    <t>ST0809</t>
  </si>
  <si>
    <t>ST0810</t>
  </si>
  <si>
    <t>ST0811</t>
  </si>
  <si>
    <t>ST0812</t>
  </si>
  <si>
    <t>ST0813</t>
  </si>
  <si>
    <t>ST0814</t>
  </si>
  <si>
    <t>ST0815</t>
  </si>
  <si>
    <t>ST0816</t>
  </si>
  <si>
    <t>ST0817</t>
  </si>
  <si>
    <t>ST0818</t>
  </si>
  <si>
    <t>Mariama Cisse</t>
  </si>
  <si>
    <t>ST0819</t>
  </si>
  <si>
    <t>ST0820</t>
  </si>
  <si>
    <t>ST0821</t>
  </si>
  <si>
    <t>ST0822</t>
  </si>
  <si>
    <t>ST0823</t>
  </si>
  <si>
    <t>ST0824</t>
  </si>
  <si>
    <t>ST0825</t>
  </si>
  <si>
    <t>ST0826</t>
  </si>
  <si>
    <t>ST0827</t>
  </si>
  <si>
    <t>ST0828</t>
  </si>
  <si>
    <t>ST0829</t>
  </si>
  <si>
    <t>ST0830</t>
  </si>
  <si>
    <t>ST0831</t>
  </si>
  <si>
    <t>ST0832</t>
  </si>
  <si>
    <t>ST0833</t>
  </si>
  <si>
    <t>ST0834</t>
  </si>
  <si>
    <t>ST0835</t>
  </si>
  <si>
    <t>ST0836</t>
  </si>
  <si>
    <t>ST0837</t>
  </si>
  <si>
    <t>ST0838</t>
  </si>
  <si>
    <t>ST0839</t>
  </si>
  <si>
    <t>ST0840</t>
  </si>
  <si>
    <t>ST0841</t>
  </si>
  <si>
    <t>ST0842</t>
  </si>
  <si>
    <t>ST0843</t>
  </si>
  <si>
    <t>ST0844</t>
  </si>
  <si>
    <t>ST0845</t>
  </si>
  <si>
    <t>ST0846</t>
  </si>
  <si>
    <t>ST0847</t>
  </si>
  <si>
    <t>ST0848</t>
  </si>
  <si>
    <t>ST0849</t>
  </si>
  <si>
    <t>ST0850</t>
  </si>
  <si>
    <t>ST0851</t>
  </si>
  <si>
    <t>ST0852</t>
  </si>
  <si>
    <t>ST0853</t>
  </si>
  <si>
    <t>ST0854</t>
  </si>
  <si>
    <t>Fatou Ba</t>
  </si>
  <si>
    <t>ST0855</t>
  </si>
  <si>
    <t>ST0856</t>
  </si>
  <si>
    <t>ST0857</t>
  </si>
  <si>
    <t>ST0858</t>
  </si>
  <si>
    <t>ST0859</t>
  </si>
  <si>
    <t>ST0860</t>
  </si>
  <si>
    <t>ST0861</t>
  </si>
  <si>
    <t>ST0862</t>
  </si>
  <si>
    <t>ST0863</t>
  </si>
  <si>
    <t>ST0864</t>
  </si>
  <si>
    <t>ST0865</t>
  </si>
  <si>
    <t>ST0866</t>
  </si>
  <si>
    <t>ST0867</t>
  </si>
  <si>
    <t>ST0868</t>
  </si>
  <si>
    <t>ST0869</t>
  </si>
  <si>
    <t>ST0870</t>
  </si>
  <si>
    <t>ST0871</t>
  </si>
  <si>
    <t>ST0872</t>
  </si>
  <si>
    <t>ST0873</t>
  </si>
  <si>
    <t>Sokhna Ndiaye</t>
  </si>
  <si>
    <t>ST0874</t>
  </si>
  <si>
    <t>ST0875</t>
  </si>
  <si>
    <t>ST0876</t>
  </si>
  <si>
    <t>ST0877</t>
  </si>
  <si>
    <t>ST0878</t>
  </si>
  <si>
    <t>ST0879</t>
  </si>
  <si>
    <t>ST0880</t>
  </si>
  <si>
    <t>ST0881</t>
  </si>
  <si>
    <t>ST0882</t>
  </si>
  <si>
    <t>ST0883</t>
  </si>
  <si>
    <t>ST0884</t>
  </si>
  <si>
    <t>ST0885</t>
  </si>
  <si>
    <t>ST0886</t>
  </si>
  <si>
    <t>ST0887</t>
  </si>
  <si>
    <t>ST0888</t>
  </si>
  <si>
    <t>ST0889</t>
  </si>
  <si>
    <t>ST0890</t>
  </si>
  <si>
    <t>ST0891</t>
  </si>
  <si>
    <t>ST0892</t>
  </si>
  <si>
    <t>ST0893</t>
  </si>
  <si>
    <t>ST0894</t>
  </si>
  <si>
    <t>ST0895</t>
  </si>
  <si>
    <t>ST0896</t>
  </si>
  <si>
    <t>ST0897</t>
  </si>
  <si>
    <t>ST0898</t>
  </si>
  <si>
    <t>ST0899</t>
  </si>
  <si>
    <t>ST0900</t>
  </si>
  <si>
    <t>Ousmane Cisse</t>
  </si>
  <si>
    <t>ST0901</t>
  </si>
  <si>
    <t>ST0902</t>
  </si>
  <si>
    <t>ST0903</t>
  </si>
  <si>
    <t>ST0904</t>
  </si>
  <si>
    <t>ST0905</t>
  </si>
  <si>
    <t>ST0906</t>
  </si>
  <si>
    <t>ST0907</t>
  </si>
  <si>
    <t>ST0908</t>
  </si>
  <si>
    <t>ST0909</t>
  </si>
  <si>
    <t>ST0910</t>
  </si>
  <si>
    <t>ST0911</t>
  </si>
  <si>
    <t>ST0912</t>
  </si>
  <si>
    <t>Coumba Sow</t>
  </si>
  <si>
    <t>ST0913</t>
  </si>
  <si>
    <t>ST0914</t>
  </si>
  <si>
    <t>ST0915</t>
  </si>
  <si>
    <t>ST0916</t>
  </si>
  <si>
    <t>ST0917</t>
  </si>
  <si>
    <t>ST0918</t>
  </si>
  <si>
    <t>ST0919</t>
  </si>
  <si>
    <t>ST0920</t>
  </si>
  <si>
    <t>ST0921</t>
  </si>
  <si>
    <t>ST0922</t>
  </si>
  <si>
    <t>ST0923</t>
  </si>
  <si>
    <t>ST0924</t>
  </si>
  <si>
    <t>ST0925</t>
  </si>
  <si>
    <t>ST0926</t>
  </si>
  <si>
    <t>ST0927</t>
  </si>
  <si>
    <t>ST0928</t>
  </si>
  <si>
    <t>ST0929</t>
  </si>
  <si>
    <t>ST0930</t>
  </si>
  <si>
    <t>ST0931</t>
  </si>
  <si>
    <t>ST0932</t>
  </si>
  <si>
    <t>ST0933</t>
  </si>
  <si>
    <t>ST0934</t>
  </si>
  <si>
    <t>ST0935</t>
  </si>
  <si>
    <t>ST0936</t>
  </si>
  <si>
    <t>ST0937</t>
  </si>
  <si>
    <t>ST0938</t>
  </si>
  <si>
    <t>ST0939</t>
  </si>
  <si>
    <t>ST0940</t>
  </si>
  <si>
    <t>ST0941</t>
  </si>
  <si>
    <t>ST0942</t>
  </si>
  <si>
    <t>ST0943</t>
  </si>
  <si>
    <t>ST0944</t>
  </si>
  <si>
    <t>ST0945</t>
  </si>
  <si>
    <t>ST0946</t>
  </si>
  <si>
    <t>ST0947</t>
  </si>
  <si>
    <t>ST0948</t>
  </si>
  <si>
    <t>Ndeye Ba</t>
  </si>
  <si>
    <t>ST0949</t>
  </si>
  <si>
    <t>ST0950</t>
  </si>
  <si>
    <t>ST0951</t>
  </si>
  <si>
    <t>ST0952</t>
  </si>
  <si>
    <t>ST0953</t>
  </si>
  <si>
    <t>ST0954</t>
  </si>
  <si>
    <t>ST0955</t>
  </si>
  <si>
    <t>ST0956</t>
  </si>
  <si>
    <t>ST0957</t>
  </si>
  <si>
    <t>ST0958</t>
  </si>
  <si>
    <t>ST0959</t>
  </si>
  <si>
    <t>ST0960</t>
  </si>
  <si>
    <t>ST0961</t>
  </si>
  <si>
    <t>ST0962</t>
  </si>
  <si>
    <t>ST0963</t>
  </si>
  <si>
    <t>ST0964</t>
  </si>
  <si>
    <t>ST0965</t>
  </si>
  <si>
    <t>ST0966</t>
  </si>
  <si>
    <t>ST0967</t>
  </si>
  <si>
    <t>ST0968</t>
  </si>
  <si>
    <t>ST0969</t>
  </si>
  <si>
    <t>ST0970</t>
  </si>
  <si>
    <t>ST0971</t>
  </si>
  <si>
    <t>ST0972</t>
  </si>
  <si>
    <t>ST0973</t>
  </si>
  <si>
    <t>ST0974</t>
  </si>
  <si>
    <t>ST0975</t>
  </si>
  <si>
    <t>Khadija Mbaye</t>
  </si>
  <si>
    <t>ST0976</t>
  </si>
  <si>
    <t>ST0977</t>
  </si>
  <si>
    <t>ST0978</t>
  </si>
  <si>
    <t>ST0979</t>
  </si>
  <si>
    <t>ST0980</t>
  </si>
  <si>
    <t>ST0981</t>
  </si>
  <si>
    <t>ST0982</t>
  </si>
  <si>
    <t>ST0983</t>
  </si>
  <si>
    <t>ST0984</t>
  </si>
  <si>
    <t>ST0985</t>
  </si>
  <si>
    <t>Abdoulaye Diop</t>
  </si>
  <si>
    <t>ST0986</t>
  </si>
  <si>
    <t>ST0987</t>
  </si>
  <si>
    <t>ST0988</t>
  </si>
  <si>
    <t>ST0989</t>
  </si>
  <si>
    <t>ST0990</t>
  </si>
  <si>
    <t>ST0991</t>
  </si>
  <si>
    <t>ST0992</t>
  </si>
  <si>
    <t>ST0993</t>
  </si>
  <si>
    <t>Mariama Seck</t>
  </si>
  <si>
    <t>ST0994</t>
  </si>
  <si>
    <t>ST0995</t>
  </si>
  <si>
    <t>ST0996</t>
  </si>
  <si>
    <t>ST0997</t>
  </si>
  <si>
    <t>ST0998</t>
  </si>
  <si>
    <t>ST0999</t>
  </si>
  <si>
    <t>ST1000</t>
  </si>
  <si>
    <t>Resultat</t>
  </si>
  <si>
    <t>Profil_Eligible</t>
  </si>
  <si>
    <t>Alerte</t>
  </si>
  <si>
    <t>Statut_Filiere</t>
  </si>
  <si>
    <t>Niveau</t>
  </si>
  <si>
    <t>Total</t>
  </si>
  <si>
    <t>Nombre</t>
  </si>
  <si>
    <t>Moyenne</t>
  </si>
  <si>
    <t>Moyenne avec IFERROR</t>
  </si>
  <si>
    <t>Decision</t>
  </si>
  <si>
    <t>Mention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</si>
</sst>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top"/>
    </xf>
    <xf numFmtId="0" fontId="0" fillId="4" borderId="0" xfId="0" applyFill="1"/>
    <xf numFmtId="0" fontId="2" fillId="0" borderId="1" xfId="0" applyFont="1" applyFill="1" applyBorder="1" applyAlignment="1">
      <alignment horizontal="center" vertical="top"/>
    </xf>
    <xf numFmtId="0" fontId="0" fillId="0" borderId="0" xfId="0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73">
    <dxf>
      <font>
        <b/>
        <i val="0"/>
        <color rgb="FF92D050"/>
      </font>
    </dxf>
    <dxf>
      <font>
        <color rgb="FFFFFF00"/>
      </font>
    </dxf>
    <dxf>
      <font>
        <b/>
        <i val="0"/>
        <color rgb="FF92D050"/>
      </font>
    </dxf>
    <dxf>
      <font>
        <b/>
        <i val="0"/>
        <color theme="9" tint="-0.24994659260841701"/>
      </font>
    </dxf>
    <dxf>
      <font>
        <color rgb="FFFF0000"/>
      </font>
    </dxf>
    <dxf>
      <font>
        <b/>
        <i val="0"/>
        <color rgb="FF00B050"/>
      </font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</dxf>
    <dxf>
      <font>
        <b/>
        <i val="0"/>
        <color rgb="FF92D050"/>
      </font>
    </dxf>
    <dxf>
      <font>
        <color rgb="FFFFFF00"/>
      </font>
    </dxf>
    <dxf>
      <font>
        <b/>
        <i val="0"/>
        <color rgb="FF92D050"/>
      </font>
    </dxf>
    <dxf>
      <font>
        <b/>
        <i val="0"/>
        <color rgb="FF92D050"/>
      </font>
    </dxf>
    <dxf>
      <font>
        <color rgb="FFFFFF00"/>
      </font>
    </dxf>
    <dxf>
      <font>
        <b/>
        <i val="0"/>
        <color rgb="FF92D050"/>
      </font>
    </dxf>
    <dxf>
      <font>
        <color rgb="FFFFFF00"/>
      </font>
    </dxf>
    <dxf>
      <font>
        <b/>
        <i val="0"/>
        <color rgb="FF92D050"/>
      </font>
    </dxf>
    <dxf>
      <font>
        <b/>
        <i val="0"/>
        <color rgb="FF92D050"/>
      </font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opLeftCell="A982" workbookViewId="0">
      <selection activeCell="O2" sqref="O2:O1001"/>
    </sheetView>
  </sheetViews>
  <sheetFormatPr baseColWidth="10" defaultColWidth="9.06640625" defaultRowHeight="14.25" x14ac:dyDescent="0.45"/>
  <cols>
    <col min="2" max="2" width="16.19921875" bestFit="1" customWidth="1"/>
    <col min="9" max="9" width="12.53125" customWidth="1"/>
    <col min="10" max="10" width="14.33203125" customWidth="1"/>
    <col min="11" max="11" width="10.265625" bestFit="1" customWidth="1"/>
    <col min="12" max="12" width="10.265625" customWidth="1"/>
    <col min="13" max="13" width="11.53125" bestFit="1" customWidth="1"/>
    <col min="14" max="14" width="11.53125" style="8" customWidth="1"/>
    <col min="16" max="16" width="10.1328125" bestFit="1" customWidth="1"/>
    <col min="17" max="17" width="17.53125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1332</v>
      </c>
      <c r="J1" s="5" t="s">
        <v>1333</v>
      </c>
      <c r="K1" s="3" t="s">
        <v>8</v>
      </c>
      <c r="L1" s="5" t="s">
        <v>1334</v>
      </c>
      <c r="M1" s="5" t="s">
        <v>1335</v>
      </c>
      <c r="N1" s="7" t="s">
        <v>1336</v>
      </c>
      <c r="O1" s="1" t="s">
        <v>9</v>
      </c>
      <c r="P1" s="1" t="s">
        <v>10</v>
      </c>
      <c r="Q1" s="1" t="s">
        <v>11</v>
      </c>
    </row>
    <row r="2" spans="1:1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12.13</v>
      </c>
      <c r="G2">
        <v>11.08</v>
      </c>
      <c r="H2">
        <v>11.09</v>
      </c>
      <c r="I2" s="4" t="str">
        <f>IF(H2&gt;=10,"Admis","Non admis")</f>
        <v>Admis</v>
      </c>
      <c r="J2" s="4" t="str">
        <f>IF(AND(F2&gt;=12,H2&gt;=12,O2&gt;=0.8),"Eligible","Non eligible")</f>
        <v>Non eligible</v>
      </c>
      <c r="K2">
        <v>14.41</v>
      </c>
      <c r="L2" s="6" t="str">
        <f>IF(OR(F2&lt;10,H2&lt;10),"A surveiller","RAS")</f>
        <v>RAS</v>
      </c>
      <c r="M2" s="6" t="str">
        <f>IF(NOT(E2="Data"),"Hors Data","Data")</f>
        <v>Data</v>
      </c>
      <c r="N2" s="8" t="str" cm="1">
        <f t="array" ref="N2">_xlfn.IFS(H2&gt;=16,"Excellent",H2&gt;=14,"Très bien",H2&gt;=12,"Bien",H2&gt;=10,"Passable",TRUE,"Insuffisant")</f>
        <v>Passable</v>
      </c>
      <c r="O2">
        <v>0.91869999999999996</v>
      </c>
      <c r="P2">
        <v>75000</v>
      </c>
      <c r="Q2" s="2">
        <v>45854</v>
      </c>
    </row>
    <row r="3" spans="1:17" x14ac:dyDescent="0.4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15.39</v>
      </c>
      <c r="G3">
        <v>18.309999999999999</v>
      </c>
      <c r="H3">
        <v>20</v>
      </c>
      <c r="I3" s="4" t="str">
        <f t="shared" ref="I3:I66" si="0">IF(H3&gt;=10,"Admis","Non admis")</f>
        <v>Admis</v>
      </c>
      <c r="J3" s="4" t="str">
        <f t="shared" ref="J3:J66" si="1">IF(AND(F3&gt;=12,H3&gt;=12,O3&gt;=0.8),"Eligible","Non eligible")</f>
        <v>Eligible</v>
      </c>
      <c r="K3">
        <v>12.86</v>
      </c>
      <c r="L3" s="6" t="str">
        <f t="shared" ref="L3:L66" si="2">IF(OR(F3&lt;10,H3&lt;10),"A surveiller","RAS")</f>
        <v>RAS</v>
      </c>
      <c r="M3" s="6" t="str">
        <f t="shared" ref="M3:M66" si="3">IF(NOT(E3="Data"),"Hors Data","Data")</f>
        <v>Hors Data</v>
      </c>
      <c r="N3" s="8" t="str" cm="1">
        <f t="array" ref="N3">_xlfn.IFS(H3&gt;=16,"Excellent",H3&gt;=14,"Très bien",H3&gt;=12,"Bien",H3&gt;=10,"Passable",TRUE,"Insuffisant")</f>
        <v>Excellent</v>
      </c>
      <c r="O3">
        <v>0.81930000000000003</v>
      </c>
      <c r="P3">
        <v>90000</v>
      </c>
      <c r="Q3" s="2">
        <v>45633</v>
      </c>
    </row>
    <row r="4" spans="1:17" x14ac:dyDescent="0.45">
      <c r="A4" t="s">
        <v>22</v>
      </c>
      <c r="B4" t="s">
        <v>23</v>
      </c>
      <c r="C4" t="s">
        <v>19</v>
      </c>
      <c r="D4" t="s">
        <v>15</v>
      </c>
      <c r="E4" t="s">
        <v>16</v>
      </c>
      <c r="F4">
        <v>11.17</v>
      </c>
      <c r="G4">
        <v>14.41</v>
      </c>
      <c r="H4">
        <v>19.760000000000002</v>
      </c>
      <c r="I4" s="4" t="str">
        <f t="shared" si="0"/>
        <v>Admis</v>
      </c>
      <c r="J4" s="4" t="str">
        <f t="shared" si="1"/>
        <v>Non eligible</v>
      </c>
      <c r="K4">
        <v>13.06</v>
      </c>
      <c r="L4" s="6" t="str">
        <f t="shared" si="2"/>
        <v>RAS</v>
      </c>
      <c r="M4" s="6" t="str">
        <f t="shared" si="3"/>
        <v>Data</v>
      </c>
      <c r="N4" s="8" t="str" cm="1">
        <f t="array" ref="N4">_xlfn.IFS(H4&gt;=16,"Excellent",H4&gt;=14,"Très bien",H4&gt;=12,"Bien",H4&gt;=10,"Passable",TRUE,"Insuffisant")</f>
        <v>Excellent</v>
      </c>
      <c r="O4">
        <v>0.79079999999999995</v>
      </c>
      <c r="P4">
        <v>85000</v>
      </c>
      <c r="Q4" s="2">
        <v>45682</v>
      </c>
    </row>
    <row r="5" spans="1:17" x14ac:dyDescent="0.45">
      <c r="A5" t="s">
        <v>24</v>
      </c>
      <c r="B5" t="s">
        <v>25</v>
      </c>
      <c r="C5" t="s">
        <v>14</v>
      </c>
      <c r="D5" t="s">
        <v>20</v>
      </c>
      <c r="E5" t="s">
        <v>21</v>
      </c>
      <c r="F5">
        <v>14.17</v>
      </c>
      <c r="G5">
        <v>10.220000000000001</v>
      </c>
      <c r="H5">
        <v>10.26</v>
      </c>
      <c r="I5" s="4" t="str">
        <f t="shared" si="0"/>
        <v>Admis</v>
      </c>
      <c r="J5" s="4" t="str">
        <f t="shared" si="1"/>
        <v>Non eligible</v>
      </c>
      <c r="K5">
        <v>14.91</v>
      </c>
      <c r="L5" s="6" t="str">
        <f t="shared" si="2"/>
        <v>RAS</v>
      </c>
      <c r="M5" s="6" t="str">
        <f t="shared" si="3"/>
        <v>Hors Data</v>
      </c>
      <c r="N5" s="8" t="str" cm="1">
        <f t="array" ref="N5">_xlfn.IFS(H5&gt;=16,"Excellent",H5&gt;=14,"Très bien",H5&gt;=12,"Bien",H5&gt;=10,"Passable",TRUE,"Insuffisant")</f>
        <v>Passable</v>
      </c>
      <c r="O5">
        <v>0.76400000000000001</v>
      </c>
      <c r="P5">
        <v>120000</v>
      </c>
      <c r="Q5" s="2">
        <v>45844</v>
      </c>
    </row>
    <row r="6" spans="1:17" x14ac:dyDescent="0.45">
      <c r="A6" t="s">
        <v>26</v>
      </c>
      <c r="B6" t="s">
        <v>27</v>
      </c>
      <c r="C6" t="s">
        <v>14</v>
      </c>
      <c r="D6" t="s">
        <v>28</v>
      </c>
      <c r="E6" t="s">
        <v>29</v>
      </c>
      <c r="F6">
        <v>13.23</v>
      </c>
      <c r="G6">
        <v>10.49</v>
      </c>
      <c r="H6">
        <v>10.63</v>
      </c>
      <c r="I6" s="4" t="str">
        <f t="shared" si="0"/>
        <v>Admis</v>
      </c>
      <c r="J6" s="4" t="str">
        <f t="shared" si="1"/>
        <v>Non eligible</v>
      </c>
      <c r="K6">
        <v>13.04</v>
      </c>
      <c r="L6" s="6" t="str">
        <f t="shared" si="2"/>
        <v>RAS</v>
      </c>
      <c r="M6" s="6" t="str">
        <f t="shared" si="3"/>
        <v>Hors Data</v>
      </c>
      <c r="N6" s="8" t="str" cm="1">
        <f t="array" ref="N6">_xlfn.IFS(H6&gt;=16,"Excellent",H6&gt;=14,"Très bien",H6&gt;=12,"Bien",H6&gt;=10,"Passable",TRUE,"Insuffisant")</f>
        <v>Passable</v>
      </c>
      <c r="O6">
        <v>0.73070000000000002</v>
      </c>
      <c r="P6">
        <v>70000</v>
      </c>
      <c r="Q6" s="2">
        <v>46019</v>
      </c>
    </row>
    <row r="7" spans="1:17" x14ac:dyDescent="0.45">
      <c r="A7" t="s">
        <v>30</v>
      </c>
      <c r="B7" t="s">
        <v>31</v>
      </c>
      <c r="C7" t="s">
        <v>19</v>
      </c>
      <c r="D7" t="s">
        <v>32</v>
      </c>
      <c r="E7" t="s">
        <v>21</v>
      </c>
      <c r="F7">
        <v>16.079999999999998</v>
      </c>
      <c r="G7">
        <v>16.989999999999998</v>
      </c>
      <c r="H7">
        <v>12.22</v>
      </c>
      <c r="I7" s="4" t="str">
        <f t="shared" si="0"/>
        <v>Admis</v>
      </c>
      <c r="J7" s="4" t="str">
        <f t="shared" si="1"/>
        <v>Non eligible</v>
      </c>
      <c r="K7">
        <v>11.87</v>
      </c>
      <c r="L7" s="6" t="str">
        <f t="shared" si="2"/>
        <v>RAS</v>
      </c>
      <c r="M7" s="6" t="str">
        <f t="shared" si="3"/>
        <v>Hors Data</v>
      </c>
      <c r="N7" s="8" t="str" cm="1">
        <f t="array" ref="N7">_xlfn.IFS(H7&gt;=16,"Excellent",H7&gt;=14,"Très bien",H7&gt;=12,"Bien",H7&gt;=10,"Passable",TRUE,"Insuffisant")</f>
        <v>Bien</v>
      </c>
      <c r="O7">
        <v>0.7429</v>
      </c>
      <c r="P7">
        <v>85000</v>
      </c>
      <c r="Q7" s="2">
        <v>45826</v>
      </c>
    </row>
    <row r="8" spans="1:17" x14ac:dyDescent="0.45">
      <c r="A8" t="s">
        <v>33</v>
      </c>
      <c r="B8" t="s">
        <v>34</v>
      </c>
      <c r="C8" t="s">
        <v>14</v>
      </c>
      <c r="D8" t="s">
        <v>35</v>
      </c>
      <c r="E8" t="s">
        <v>21</v>
      </c>
      <c r="F8">
        <v>16.97</v>
      </c>
      <c r="G8">
        <v>18.260000000000002</v>
      </c>
      <c r="H8">
        <v>15.2</v>
      </c>
      <c r="I8" s="4" t="str">
        <f t="shared" si="0"/>
        <v>Admis</v>
      </c>
      <c r="J8" s="4" t="str">
        <f t="shared" si="1"/>
        <v>Non eligible</v>
      </c>
      <c r="K8">
        <v>12.16</v>
      </c>
      <c r="L8" s="6" t="str">
        <f t="shared" si="2"/>
        <v>RAS</v>
      </c>
      <c r="M8" s="6" t="str">
        <f t="shared" si="3"/>
        <v>Hors Data</v>
      </c>
      <c r="N8" s="8" t="str" cm="1">
        <f t="array" ref="N8">_xlfn.IFS(H8&gt;=16,"Excellent",H8&gt;=14,"Très bien",H8&gt;=12,"Bien",H8&gt;=10,"Passable",TRUE,"Insuffisant")</f>
        <v>Très bien</v>
      </c>
      <c r="O8">
        <v>0.75839999999999996</v>
      </c>
      <c r="P8">
        <v>60000</v>
      </c>
      <c r="Q8" s="2">
        <v>45915</v>
      </c>
    </row>
    <row r="9" spans="1:17" x14ac:dyDescent="0.45">
      <c r="A9" t="s">
        <v>36</v>
      </c>
      <c r="B9" t="s">
        <v>37</v>
      </c>
      <c r="C9" t="s">
        <v>19</v>
      </c>
      <c r="D9" t="s">
        <v>20</v>
      </c>
      <c r="E9" t="s">
        <v>21</v>
      </c>
      <c r="F9">
        <v>7.57</v>
      </c>
      <c r="G9">
        <v>11.81</v>
      </c>
      <c r="H9">
        <v>12.87</v>
      </c>
      <c r="I9" s="4" t="str">
        <f t="shared" si="0"/>
        <v>Admis</v>
      </c>
      <c r="J9" s="4" t="str">
        <f t="shared" si="1"/>
        <v>Non eligible</v>
      </c>
      <c r="K9">
        <v>10.09</v>
      </c>
      <c r="L9" s="6" t="str">
        <f t="shared" si="2"/>
        <v>A surveiller</v>
      </c>
      <c r="M9" s="6" t="str">
        <f t="shared" si="3"/>
        <v>Hors Data</v>
      </c>
      <c r="N9" s="8" t="str" cm="1">
        <f t="array" ref="N9">_xlfn.IFS(H9&gt;=16,"Excellent",H9&gt;=14,"Très bien",H9&gt;=12,"Bien",H9&gt;=10,"Passable",TRUE,"Insuffisant")</f>
        <v>Bien</v>
      </c>
      <c r="O9">
        <v>0.95250000000000001</v>
      </c>
      <c r="P9">
        <v>90000</v>
      </c>
      <c r="Q9" s="2">
        <v>45901</v>
      </c>
    </row>
    <row r="10" spans="1:17" x14ac:dyDescent="0.45">
      <c r="A10" t="s">
        <v>38</v>
      </c>
      <c r="B10" t="s">
        <v>39</v>
      </c>
      <c r="C10" t="s">
        <v>14</v>
      </c>
      <c r="D10" t="s">
        <v>20</v>
      </c>
      <c r="E10" t="s">
        <v>21</v>
      </c>
      <c r="F10">
        <v>7.43</v>
      </c>
      <c r="G10">
        <v>14.27</v>
      </c>
      <c r="H10">
        <v>12.08</v>
      </c>
      <c r="I10" s="4" t="str">
        <f t="shared" si="0"/>
        <v>Admis</v>
      </c>
      <c r="J10" s="4" t="str">
        <f t="shared" si="1"/>
        <v>Non eligible</v>
      </c>
      <c r="K10">
        <v>8.82</v>
      </c>
      <c r="L10" s="6" t="str">
        <f t="shared" si="2"/>
        <v>A surveiller</v>
      </c>
      <c r="M10" s="6" t="str">
        <f t="shared" si="3"/>
        <v>Hors Data</v>
      </c>
      <c r="N10" s="8" t="str" cm="1">
        <f t="array" ref="N10">_xlfn.IFS(H10&gt;=16,"Excellent",H10&gt;=14,"Très bien",H10&gt;=12,"Bien",H10&gt;=10,"Passable",TRUE,"Insuffisant")</f>
        <v>Bien</v>
      </c>
      <c r="O10">
        <v>0.87990000000000002</v>
      </c>
      <c r="P10">
        <v>50000</v>
      </c>
      <c r="Q10" s="2">
        <v>45724</v>
      </c>
    </row>
    <row r="11" spans="1:17" x14ac:dyDescent="0.45">
      <c r="A11" t="s">
        <v>40</v>
      </c>
      <c r="B11" t="s">
        <v>41</v>
      </c>
      <c r="C11" t="s">
        <v>14</v>
      </c>
      <c r="D11" t="s">
        <v>35</v>
      </c>
      <c r="E11" t="s">
        <v>42</v>
      </c>
      <c r="F11">
        <v>14.93</v>
      </c>
      <c r="G11">
        <v>19.32</v>
      </c>
      <c r="H11">
        <v>17.170000000000002</v>
      </c>
      <c r="I11" s="4" t="str">
        <f t="shared" si="0"/>
        <v>Admis</v>
      </c>
      <c r="J11" s="4" t="str">
        <f t="shared" si="1"/>
        <v>Non eligible</v>
      </c>
      <c r="K11">
        <v>16.940000000000001</v>
      </c>
      <c r="L11" s="6" t="str">
        <f t="shared" si="2"/>
        <v>RAS</v>
      </c>
      <c r="M11" s="6" t="str">
        <f t="shared" si="3"/>
        <v>Hors Data</v>
      </c>
      <c r="N11" s="8" t="str" cm="1">
        <f t="array" ref="N11">_xlfn.IFS(H11&gt;=16,"Excellent",H11&gt;=14,"Très bien",H11&gt;=12,"Bien",H11&gt;=10,"Passable",TRUE,"Insuffisant")</f>
        <v>Excellent</v>
      </c>
      <c r="O11">
        <v>0.74860000000000004</v>
      </c>
      <c r="P11">
        <v>80000</v>
      </c>
      <c r="Q11" s="2">
        <v>45731</v>
      </c>
    </row>
    <row r="12" spans="1:17" x14ac:dyDescent="0.45">
      <c r="A12" t="s">
        <v>43</v>
      </c>
      <c r="B12" t="s">
        <v>44</v>
      </c>
      <c r="C12" t="s">
        <v>19</v>
      </c>
      <c r="D12" t="s">
        <v>32</v>
      </c>
      <c r="E12" t="s">
        <v>21</v>
      </c>
      <c r="F12">
        <v>10.02</v>
      </c>
      <c r="G12">
        <v>14.25</v>
      </c>
      <c r="H12">
        <v>13.71</v>
      </c>
      <c r="I12" s="4" t="str">
        <f t="shared" si="0"/>
        <v>Admis</v>
      </c>
      <c r="J12" s="4" t="str">
        <f t="shared" si="1"/>
        <v>Non eligible</v>
      </c>
      <c r="K12">
        <v>9.16</v>
      </c>
      <c r="L12" s="6" t="str">
        <f t="shared" si="2"/>
        <v>RAS</v>
      </c>
      <c r="M12" s="6" t="str">
        <f t="shared" si="3"/>
        <v>Hors Data</v>
      </c>
      <c r="N12" s="8" t="str" cm="1">
        <f t="array" ref="N12">_xlfn.IFS(H12&gt;=16,"Excellent",H12&gt;=14,"Très bien",H12&gt;=12,"Bien",H12&gt;=10,"Passable",TRUE,"Insuffisant")</f>
        <v>Bien</v>
      </c>
      <c r="O12">
        <v>0.78959999999999997</v>
      </c>
      <c r="P12">
        <v>50000</v>
      </c>
      <c r="Q12" s="2">
        <v>45834</v>
      </c>
    </row>
    <row r="13" spans="1:17" x14ac:dyDescent="0.45">
      <c r="A13" t="s">
        <v>45</v>
      </c>
      <c r="B13" t="s">
        <v>46</v>
      </c>
      <c r="C13" t="s">
        <v>19</v>
      </c>
      <c r="D13" t="s">
        <v>47</v>
      </c>
      <c r="E13" t="s">
        <v>16</v>
      </c>
      <c r="F13">
        <v>11.19</v>
      </c>
      <c r="G13">
        <v>7.93</v>
      </c>
      <c r="H13">
        <v>8.2100000000000009</v>
      </c>
      <c r="I13" s="4" t="str">
        <f t="shared" si="0"/>
        <v>Non admis</v>
      </c>
      <c r="J13" s="4" t="str">
        <f t="shared" si="1"/>
        <v>Non eligible</v>
      </c>
      <c r="K13">
        <v>11.22</v>
      </c>
      <c r="L13" s="6" t="str">
        <f t="shared" si="2"/>
        <v>A surveiller</v>
      </c>
      <c r="M13" s="6" t="str">
        <f t="shared" si="3"/>
        <v>Data</v>
      </c>
      <c r="N13" s="8" t="str" cm="1">
        <f t="array" ref="N13">_xlfn.IFS(H13&gt;=16,"Excellent",H13&gt;=14,"Très bien",H13&gt;=12,"Bien",H13&gt;=10,"Passable",TRUE,"Insuffisant")</f>
        <v>Insuffisant</v>
      </c>
      <c r="O13">
        <v>0.9133</v>
      </c>
      <c r="P13">
        <v>75000</v>
      </c>
      <c r="Q13" s="2">
        <v>45558</v>
      </c>
    </row>
    <row r="14" spans="1:17" x14ac:dyDescent="0.45">
      <c r="A14" t="s">
        <v>48</v>
      </c>
      <c r="B14" t="s">
        <v>49</v>
      </c>
      <c r="C14" t="s">
        <v>19</v>
      </c>
      <c r="D14" t="s">
        <v>28</v>
      </c>
      <c r="E14" t="s">
        <v>16</v>
      </c>
      <c r="F14">
        <v>15.52</v>
      </c>
      <c r="G14">
        <v>18.95</v>
      </c>
      <c r="H14">
        <v>14.41</v>
      </c>
      <c r="I14" s="4" t="str">
        <f t="shared" si="0"/>
        <v>Admis</v>
      </c>
      <c r="J14" s="4" t="str">
        <f t="shared" si="1"/>
        <v>Eligible</v>
      </c>
      <c r="K14">
        <v>14.9</v>
      </c>
      <c r="L14" s="6" t="str">
        <f t="shared" si="2"/>
        <v>RAS</v>
      </c>
      <c r="M14" s="6" t="str">
        <f t="shared" si="3"/>
        <v>Data</v>
      </c>
      <c r="N14" s="8" t="str" cm="1">
        <f t="array" ref="N14">_xlfn.IFS(H14&gt;=16,"Excellent",H14&gt;=14,"Très bien",H14&gt;=12,"Bien",H14&gt;=10,"Passable",TRUE,"Insuffisant")</f>
        <v>Très bien</v>
      </c>
      <c r="O14">
        <v>0.87109999999999999</v>
      </c>
      <c r="P14">
        <v>85000</v>
      </c>
      <c r="Q14" s="2">
        <v>46015</v>
      </c>
    </row>
    <row r="15" spans="1:17" x14ac:dyDescent="0.45">
      <c r="A15" t="s">
        <v>50</v>
      </c>
      <c r="B15" t="s">
        <v>51</v>
      </c>
      <c r="C15" t="s">
        <v>19</v>
      </c>
      <c r="D15" t="s">
        <v>32</v>
      </c>
      <c r="E15" t="s">
        <v>42</v>
      </c>
      <c r="F15">
        <v>17.22</v>
      </c>
      <c r="G15">
        <v>16.38</v>
      </c>
      <c r="H15">
        <v>14.95</v>
      </c>
      <c r="I15" s="4" t="str">
        <f t="shared" si="0"/>
        <v>Admis</v>
      </c>
      <c r="J15" s="4" t="str">
        <f t="shared" si="1"/>
        <v>Non eligible</v>
      </c>
      <c r="K15">
        <v>15.12</v>
      </c>
      <c r="L15" s="6" t="str">
        <f t="shared" si="2"/>
        <v>RAS</v>
      </c>
      <c r="M15" s="6" t="str">
        <f t="shared" si="3"/>
        <v>Hors Data</v>
      </c>
      <c r="N15" s="8" t="str" cm="1">
        <f t="array" ref="N15">_xlfn.IFS(H15&gt;=16,"Excellent",H15&gt;=14,"Très bien",H15&gt;=12,"Bien",H15&gt;=10,"Passable",TRUE,"Insuffisant")</f>
        <v>Très bien</v>
      </c>
      <c r="O15">
        <v>0.73260000000000003</v>
      </c>
      <c r="P15">
        <v>75000</v>
      </c>
      <c r="Q15" s="2">
        <v>45966</v>
      </c>
    </row>
    <row r="16" spans="1:17" x14ac:dyDescent="0.45">
      <c r="A16" t="s">
        <v>52</v>
      </c>
      <c r="B16" t="s">
        <v>53</v>
      </c>
      <c r="C16" t="s">
        <v>19</v>
      </c>
      <c r="D16" t="s">
        <v>15</v>
      </c>
      <c r="E16" t="s">
        <v>21</v>
      </c>
      <c r="F16">
        <v>10.09</v>
      </c>
      <c r="G16">
        <v>8.77</v>
      </c>
      <c r="H16">
        <v>5.93</v>
      </c>
      <c r="I16" s="4" t="str">
        <f t="shared" si="0"/>
        <v>Non admis</v>
      </c>
      <c r="J16" s="4" t="str">
        <f t="shared" si="1"/>
        <v>Non eligible</v>
      </c>
      <c r="K16">
        <v>12.28</v>
      </c>
      <c r="L16" s="6" t="str">
        <f t="shared" si="2"/>
        <v>A surveiller</v>
      </c>
      <c r="M16" s="6" t="str">
        <f t="shared" si="3"/>
        <v>Hors Data</v>
      </c>
      <c r="N16" s="8" t="str" cm="1">
        <f t="array" ref="N16">_xlfn.IFS(H16&gt;=16,"Excellent",H16&gt;=14,"Très bien",H16&gt;=12,"Bien",H16&gt;=10,"Passable",TRUE,"Insuffisant")</f>
        <v>Insuffisant</v>
      </c>
      <c r="O16">
        <v>0.95089999999999997</v>
      </c>
      <c r="P16">
        <v>80000</v>
      </c>
      <c r="Q16" s="2">
        <v>45750</v>
      </c>
    </row>
    <row r="17" spans="1:17" x14ac:dyDescent="0.45">
      <c r="A17" t="s">
        <v>54</v>
      </c>
      <c r="B17" t="s">
        <v>55</v>
      </c>
      <c r="C17" t="s">
        <v>19</v>
      </c>
      <c r="D17" t="s">
        <v>32</v>
      </c>
      <c r="E17" t="s">
        <v>21</v>
      </c>
      <c r="F17">
        <v>14.6</v>
      </c>
      <c r="G17">
        <v>13.07</v>
      </c>
      <c r="H17">
        <v>11.79</v>
      </c>
      <c r="I17" s="4" t="str">
        <f t="shared" si="0"/>
        <v>Admis</v>
      </c>
      <c r="J17" s="4" t="str">
        <f t="shared" si="1"/>
        <v>Non eligible</v>
      </c>
      <c r="K17">
        <v>13.08</v>
      </c>
      <c r="L17" s="6" t="str">
        <f t="shared" si="2"/>
        <v>RAS</v>
      </c>
      <c r="M17" s="6" t="str">
        <f t="shared" si="3"/>
        <v>Hors Data</v>
      </c>
      <c r="N17" s="8" t="str" cm="1">
        <f t="array" ref="N17">_xlfn.IFS(H17&gt;=16,"Excellent",H17&gt;=14,"Très bien",H17&gt;=12,"Bien",H17&gt;=10,"Passable",TRUE,"Insuffisant")</f>
        <v>Passable</v>
      </c>
      <c r="O17">
        <v>0.79810000000000003</v>
      </c>
      <c r="P17">
        <v>60000</v>
      </c>
      <c r="Q17" s="2">
        <v>45797</v>
      </c>
    </row>
    <row r="18" spans="1:17" x14ac:dyDescent="0.45">
      <c r="A18" t="s">
        <v>56</v>
      </c>
      <c r="B18" t="s">
        <v>57</v>
      </c>
      <c r="C18" t="s">
        <v>19</v>
      </c>
      <c r="D18" t="s">
        <v>15</v>
      </c>
      <c r="E18" t="s">
        <v>42</v>
      </c>
      <c r="F18">
        <v>18.2</v>
      </c>
      <c r="G18">
        <v>16.52</v>
      </c>
      <c r="H18">
        <v>13.29</v>
      </c>
      <c r="I18" s="4" t="str">
        <f t="shared" si="0"/>
        <v>Admis</v>
      </c>
      <c r="J18" s="4" t="str">
        <f t="shared" si="1"/>
        <v>Eligible</v>
      </c>
      <c r="K18">
        <v>13.86</v>
      </c>
      <c r="L18" s="6" t="str">
        <f t="shared" si="2"/>
        <v>RAS</v>
      </c>
      <c r="M18" s="6" t="str">
        <f t="shared" si="3"/>
        <v>Hors Data</v>
      </c>
      <c r="N18" s="8" t="str" cm="1">
        <f t="array" ref="N18">_xlfn.IFS(H18&gt;=16,"Excellent",H18&gt;=14,"Très bien",H18&gt;=12,"Bien",H18&gt;=10,"Passable",TRUE,"Insuffisant")</f>
        <v>Bien</v>
      </c>
      <c r="O18">
        <v>0.84589999999999999</v>
      </c>
      <c r="P18">
        <v>100000</v>
      </c>
      <c r="Q18" s="2">
        <v>45766</v>
      </c>
    </row>
    <row r="19" spans="1:17" x14ac:dyDescent="0.45">
      <c r="A19" t="s">
        <v>58</v>
      </c>
      <c r="B19" t="s">
        <v>59</v>
      </c>
      <c r="C19" t="s">
        <v>14</v>
      </c>
      <c r="D19" t="s">
        <v>15</v>
      </c>
      <c r="E19" t="s">
        <v>42</v>
      </c>
      <c r="F19">
        <v>15.58</v>
      </c>
      <c r="G19">
        <v>11.27</v>
      </c>
      <c r="H19">
        <v>16.43</v>
      </c>
      <c r="I19" s="4" t="str">
        <f t="shared" si="0"/>
        <v>Admis</v>
      </c>
      <c r="J19" s="4" t="str">
        <f t="shared" si="1"/>
        <v>Non eligible</v>
      </c>
      <c r="K19">
        <v>13.24</v>
      </c>
      <c r="L19" s="6" t="str">
        <f t="shared" si="2"/>
        <v>RAS</v>
      </c>
      <c r="M19" s="6" t="str">
        <f t="shared" si="3"/>
        <v>Hors Data</v>
      </c>
      <c r="N19" s="8" t="str" cm="1">
        <f t="array" ref="N19">_xlfn.IFS(H19&gt;=16,"Excellent",H19&gt;=14,"Très bien",H19&gt;=12,"Bien",H19&gt;=10,"Passable",TRUE,"Insuffisant")</f>
        <v>Excellent</v>
      </c>
      <c r="O19">
        <v>0.55000000000000004</v>
      </c>
      <c r="P19">
        <v>110000</v>
      </c>
      <c r="Q19" s="2">
        <v>45991</v>
      </c>
    </row>
    <row r="20" spans="1:17" x14ac:dyDescent="0.45">
      <c r="A20" t="s">
        <v>60</v>
      </c>
      <c r="B20" t="s">
        <v>61</v>
      </c>
      <c r="C20" t="s">
        <v>19</v>
      </c>
      <c r="D20" t="s">
        <v>15</v>
      </c>
      <c r="E20" t="s">
        <v>42</v>
      </c>
      <c r="F20">
        <v>15.42</v>
      </c>
      <c r="G20">
        <v>17.21</v>
      </c>
      <c r="H20">
        <v>16.010000000000002</v>
      </c>
      <c r="I20" s="4" t="str">
        <f t="shared" si="0"/>
        <v>Admis</v>
      </c>
      <c r="J20" s="4" t="str">
        <f t="shared" si="1"/>
        <v>Non eligible</v>
      </c>
      <c r="K20">
        <v>14.75</v>
      </c>
      <c r="L20" s="6" t="str">
        <f t="shared" si="2"/>
        <v>RAS</v>
      </c>
      <c r="M20" s="6" t="str">
        <f t="shared" si="3"/>
        <v>Hors Data</v>
      </c>
      <c r="N20" s="8" t="str" cm="1">
        <f t="array" ref="N20">_xlfn.IFS(H20&gt;=16,"Excellent",H20&gt;=14,"Très bien",H20&gt;=12,"Bien",H20&gt;=10,"Passable",TRUE,"Insuffisant")</f>
        <v>Excellent</v>
      </c>
      <c r="O20">
        <v>0.55000000000000004</v>
      </c>
      <c r="P20">
        <v>85000</v>
      </c>
      <c r="Q20" s="2">
        <v>46067</v>
      </c>
    </row>
    <row r="21" spans="1:17" x14ac:dyDescent="0.45">
      <c r="A21" t="s">
        <v>62</v>
      </c>
      <c r="B21" t="s">
        <v>63</v>
      </c>
      <c r="C21" t="s">
        <v>14</v>
      </c>
      <c r="D21" t="s">
        <v>20</v>
      </c>
      <c r="E21" t="s">
        <v>21</v>
      </c>
      <c r="F21">
        <v>12.83</v>
      </c>
      <c r="G21">
        <v>7.87</v>
      </c>
      <c r="H21">
        <v>11.11</v>
      </c>
      <c r="I21" s="4" t="str">
        <f t="shared" si="0"/>
        <v>Admis</v>
      </c>
      <c r="J21" s="4" t="str">
        <f t="shared" si="1"/>
        <v>Non eligible</v>
      </c>
      <c r="K21">
        <v>9.27</v>
      </c>
      <c r="L21" s="6" t="str">
        <f t="shared" si="2"/>
        <v>RAS</v>
      </c>
      <c r="M21" s="6" t="str">
        <f t="shared" si="3"/>
        <v>Hors Data</v>
      </c>
      <c r="N21" s="8" t="str" cm="1">
        <f t="array" ref="N21">_xlfn.IFS(H21&gt;=16,"Excellent",H21&gt;=14,"Très bien",H21&gt;=12,"Bien",H21&gt;=10,"Passable",TRUE,"Insuffisant")</f>
        <v>Passable</v>
      </c>
      <c r="O21">
        <v>0.82350000000000001</v>
      </c>
      <c r="P21">
        <v>50000</v>
      </c>
      <c r="Q21" s="2">
        <v>45612</v>
      </c>
    </row>
    <row r="22" spans="1:17" x14ac:dyDescent="0.45">
      <c r="A22" t="s">
        <v>64</v>
      </c>
      <c r="B22" t="s">
        <v>65</v>
      </c>
      <c r="C22" t="s">
        <v>19</v>
      </c>
      <c r="D22" t="s">
        <v>28</v>
      </c>
      <c r="E22" t="s">
        <v>21</v>
      </c>
      <c r="F22">
        <v>14.68</v>
      </c>
      <c r="G22">
        <v>15.64</v>
      </c>
      <c r="H22">
        <v>10.58</v>
      </c>
      <c r="I22" s="4" t="str">
        <f t="shared" si="0"/>
        <v>Admis</v>
      </c>
      <c r="J22" s="4" t="str">
        <f t="shared" si="1"/>
        <v>Non eligible</v>
      </c>
      <c r="K22">
        <v>12.5</v>
      </c>
      <c r="L22" s="6" t="str">
        <f t="shared" si="2"/>
        <v>RAS</v>
      </c>
      <c r="M22" s="6" t="str">
        <f t="shared" si="3"/>
        <v>Hors Data</v>
      </c>
      <c r="N22" s="8" t="str" cm="1">
        <f t="array" ref="N22">_xlfn.IFS(H22&gt;=16,"Excellent",H22&gt;=14,"Très bien",H22&gt;=12,"Bien",H22&gt;=10,"Passable",TRUE,"Insuffisant")</f>
        <v>Passable</v>
      </c>
      <c r="O22">
        <v>0.87709999999999999</v>
      </c>
      <c r="P22">
        <v>50000</v>
      </c>
      <c r="Q22" s="2">
        <v>45825</v>
      </c>
    </row>
    <row r="23" spans="1:17" x14ac:dyDescent="0.45">
      <c r="A23" t="s">
        <v>66</v>
      </c>
      <c r="B23" t="s">
        <v>67</v>
      </c>
      <c r="C23" t="s">
        <v>14</v>
      </c>
      <c r="D23" t="s">
        <v>15</v>
      </c>
      <c r="E23" t="s">
        <v>16</v>
      </c>
      <c r="F23">
        <v>11.98</v>
      </c>
      <c r="G23">
        <v>11.91</v>
      </c>
      <c r="H23">
        <v>9.59</v>
      </c>
      <c r="I23" s="4" t="str">
        <f t="shared" si="0"/>
        <v>Non admis</v>
      </c>
      <c r="J23" s="4" t="str">
        <f t="shared" si="1"/>
        <v>Non eligible</v>
      </c>
      <c r="K23">
        <v>8.1</v>
      </c>
      <c r="L23" s="6" t="str">
        <f t="shared" si="2"/>
        <v>A surveiller</v>
      </c>
      <c r="M23" s="6" t="str">
        <f t="shared" si="3"/>
        <v>Data</v>
      </c>
      <c r="N23" s="8" t="str" cm="1">
        <f t="array" ref="N23">_xlfn.IFS(H23&gt;=16,"Excellent",H23&gt;=14,"Très bien",H23&gt;=12,"Bien",H23&gt;=10,"Passable",TRUE,"Insuffisant")</f>
        <v>Insuffisant</v>
      </c>
      <c r="O23">
        <v>0.83630000000000004</v>
      </c>
      <c r="P23">
        <v>100000</v>
      </c>
      <c r="Q23" s="2">
        <v>45545</v>
      </c>
    </row>
    <row r="24" spans="1:17" x14ac:dyDescent="0.45">
      <c r="A24" t="s">
        <v>68</v>
      </c>
      <c r="B24" t="s">
        <v>69</v>
      </c>
      <c r="C24" t="s">
        <v>14</v>
      </c>
      <c r="D24" t="s">
        <v>47</v>
      </c>
      <c r="E24" t="s">
        <v>42</v>
      </c>
      <c r="F24">
        <v>10.3</v>
      </c>
      <c r="G24">
        <v>11.97</v>
      </c>
      <c r="H24">
        <v>13.81</v>
      </c>
      <c r="I24" s="4" t="str">
        <f t="shared" si="0"/>
        <v>Admis</v>
      </c>
      <c r="J24" s="4" t="str">
        <f t="shared" si="1"/>
        <v>Non eligible</v>
      </c>
      <c r="K24">
        <v>10.81</v>
      </c>
      <c r="L24" s="6" t="str">
        <f t="shared" si="2"/>
        <v>RAS</v>
      </c>
      <c r="M24" s="6" t="str">
        <f t="shared" si="3"/>
        <v>Hors Data</v>
      </c>
      <c r="N24" s="8" t="str" cm="1">
        <f t="array" ref="N24">_xlfn.IFS(H24&gt;=16,"Excellent",H24&gt;=14,"Très bien",H24&gt;=12,"Bien",H24&gt;=10,"Passable",TRUE,"Insuffisant")</f>
        <v>Bien</v>
      </c>
      <c r="O24">
        <v>0.94589999999999996</v>
      </c>
      <c r="P24">
        <v>130000</v>
      </c>
      <c r="Q24" s="2">
        <v>45852</v>
      </c>
    </row>
    <row r="25" spans="1:17" x14ac:dyDescent="0.45">
      <c r="A25" t="s">
        <v>70</v>
      </c>
      <c r="B25" t="s">
        <v>71</v>
      </c>
      <c r="C25" t="s">
        <v>19</v>
      </c>
      <c r="D25" t="s">
        <v>28</v>
      </c>
      <c r="E25" t="s">
        <v>29</v>
      </c>
      <c r="F25">
        <v>17.48</v>
      </c>
      <c r="G25">
        <v>14.67</v>
      </c>
      <c r="H25">
        <v>10.02</v>
      </c>
      <c r="I25" s="4" t="str">
        <f t="shared" si="0"/>
        <v>Admis</v>
      </c>
      <c r="J25" s="4" t="str">
        <f t="shared" si="1"/>
        <v>Non eligible</v>
      </c>
      <c r="K25">
        <v>16.63</v>
      </c>
      <c r="L25" s="6" t="str">
        <f t="shared" si="2"/>
        <v>RAS</v>
      </c>
      <c r="M25" s="6" t="str">
        <f t="shared" si="3"/>
        <v>Hors Data</v>
      </c>
      <c r="N25" s="8" t="str" cm="1">
        <f t="array" ref="N25">_xlfn.IFS(H25&gt;=16,"Excellent",H25&gt;=14,"Très bien",H25&gt;=12,"Bien",H25&gt;=10,"Passable",TRUE,"Insuffisant")</f>
        <v>Passable</v>
      </c>
      <c r="O25">
        <v>0.58579999999999999</v>
      </c>
      <c r="P25">
        <v>120000</v>
      </c>
      <c r="Q25" s="2">
        <v>45709</v>
      </c>
    </row>
    <row r="26" spans="1:17" x14ac:dyDescent="0.45">
      <c r="A26" t="s">
        <v>72</v>
      </c>
      <c r="B26" t="s">
        <v>73</v>
      </c>
      <c r="C26" t="s">
        <v>19</v>
      </c>
      <c r="D26" t="s">
        <v>32</v>
      </c>
      <c r="E26" t="s">
        <v>21</v>
      </c>
      <c r="F26">
        <v>20</v>
      </c>
      <c r="G26">
        <v>17.690000000000001</v>
      </c>
      <c r="H26">
        <v>20</v>
      </c>
      <c r="I26" s="4" t="str">
        <f t="shared" si="0"/>
        <v>Admis</v>
      </c>
      <c r="J26" s="4" t="str">
        <f t="shared" si="1"/>
        <v>Eligible</v>
      </c>
      <c r="K26">
        <v>17.84</v>
      </c>
      <c r="L26" s="6" t="str">
        <f t="shared" si="2"/>
        <v>RAS</v>
      </c>
      <c r="M26" s="6" t="str">
        <f t="shared" si="3"/>
        <v>Hors Data</v>
      </c>
      <c r="N26" s="8" t="str" cm="1">
        <f t="array" ref="N26">_xlfn.IFS(H26&gt;=16,"Excellent",H26&gt;=14,"Très bien",H26&gt;=12,"Bien",H26&gt;=10,"Passable",TRUE,"Insuffisant")</f>
        <v>Excellent</v>
      </c>
      <c r="O26">
        <v>0.9405</v>
      </c>
      <c r="P26">
        <v>80000</v>
      </c>
      <c r="Q26" s="2">
        <v>45771</v>
      </c>
    </row>
    <row r="27" spans="1:17" x14ac:dyDescent="0.45">
      <c r="A27" t="s">
        <v>74</v>
      </c>
      <c r="B27" t="s">
        <v>75</v>
      </c>
      <c r="C27" t="s">
        <v>19</v>
      </c>
      <c r="D27" t="s">
        <v>32</v>
      </c>
      <c r="E27" t="s">
        <v>42</v>
      </c>
      <c r="F27">
        <v>18.41</v>
      </c>
      <c r="G27">
        <v>20</v>
      </c>
      <c r="H27">
        <v>14.71</v>
      </c>
      <c r="I27" s="4" t="str">
        <f t="shared" si="0"/>
        <v>Admis</v>
      </c>
      <c r="J27" s="4" t="str">
        <f t="shared" si="1"/>
        <v>Eligible</v>
      </c>
      <c r="K27">
        <v>20</v>
      </c>
      <c r="L27" s="6" t="str">
        <f t="shared" si="2"/>
        <v>RAS</v>
      </c>
      <c r="M27" s="6" t="str">
        <f t="shared" si="3"/>
        <v>Hors Data</v>
      </c>
      <c r="N27" s="8" t="str" cm="1">
        <f t="array" ref="N27">_xlfn.IFS(H27&gt;=16,"Excellent",H27&gt;=14,"Très bien",H27&gt;=12,"Bien",H27&gt;=10,"Passable",TRUE,"Insuffisant")</f>
        <v>Très bien</v>
      </c>
      <c r="O27">
        <v>0.81899999999999995</v>
      </c>
      <c r="P27">
        <v>85000</v>
      </c>
      <c r="Q27" s="2">
        <v>45855</v>
      </c>
    </row>
    <row r="28" spans="1:17" x14ac:dyDescent="0.45">
      <c r="A28" t="s">
        <v>76</v>
      </c>
      <c r="B28" t="s">
        <v>77</v>
      </c>
      <c r="C28" t="s">
        <v>14</v>
      </c>
      <c r="D28" t="s">
        <v>15</v>
      </c>
      <c r="E28" t="s">
        <v>21</v>
      </c>
      <c r="F28">
        <v>20</v>
      </c>
      <c r="G28">
        <v>20</v>
      </c>
      <c r="H28">
        <v>19.239999999999998</v>
      </c>
      <c r="I28" s="4" t="str">
        <f t="shared" si="0"/>
        <v>Admis</v>
      </c>
      <c r="J28" s="4" t="str">
        <f t="shared" si="1"/>
        <v>Non eligible</v>
      </c>
      <c r="K28">
        <v>20</v>
      </c>
      <c r="L28" s="6" t="str">
        <f t="shared" si="2"/>
        <v>RAS</v>
      </c>
      <c r="M28" s="6" t="str">
        <f t="shared" si="3"/>
        <v>Hors Data</v>
      </c>
      <c r="N28" s="8" t="str" cm="1">
        <f t="array" ref="N28">_xlfn.IFS(H28&gt;=16,"Excellent",H28&gt;=14,"Très bien",H28&gt;=12,"Bien",H28&gt;=10,"Passable",TRUE,"Insuffisant")</f>
        <v>Excellent</v>
      </c>
      <c r="O28">
        <v>0.76739999999999997</v>
      </c>
      <c r="P28">
        <v>60000</v>
      </c>
      <c r="Q28" s="2">
        <v>45762</v>
      </c>
    </row>
    <row r="29" spans="1:17" x14ac:dyDescent="0.45">
      <c r="A29" t="s">
        <v>78</v>
      </c>
      <c r="B29" t="s">
        <v>79</v>
      </c>
      <c r="C29" t="s">
        <v>19</v>
      </c>
      <c r="D29" t="s">
        <v>47</v>
      </c>
      <c r="E29" t="s">
        <v>29</v>
      </c>
      <c r="F29">
        <v>8.86</v>
      </c>
      <c r="G29">
        <v>14.37</v>
      </c>
      <c r="H29">
        <v>11.44</v>
      </c>
      <c r="I29" s="4" t="str">
        <f t="shared" si="0"/>
        <v>Admis</v>
      </c>
      <c r="J29" s="4" t="str">
        <f t="shared" si="1"/>
        <v>Non eligible</v>
      </c>
      <c r="K29">
        <v>14.76</v>
      </c>
      <c r="L29" s="6" t="str">
        <f t="shared" si="2"/>
        <v>A surveiller</v>
      </c>
      <c r="M29" s="6" t="str">
        <f t="shared" si="3"/>
        <v>Hors Data</v>
      </c>
      <c r="N29" s="8" t="str" cm="1">
        <f t="array" ref="N29">_xlfn.IFS(H29&gt;=16,"Excellent",H29&gt;=14,"Très bien",H29&gt;=12,"Bien",H29&gt;=10,"Passable",TRUE,"Insuffisant")</f>
        <v>Passable</v>
      </c>
      <c r="O29">
        <v>0.81159999999999999</v>
      </c>
      <c r="P29">
        <v>50000</v>
      </c>
      <c r="Q29" s="2">
        <v>45811</v>
      </c>
    </row>
    <row r="30" spans="1:17" x14ac:dyDescent="0.45">
      <c r="A30" t="s">
        <v>80</v>
      </c>
      <c r="B30" t="s">
        <v>53</v>
      </c>
      <c r="C30" t="s">
        <v>19</v>
      </c>
      <c r="D30" t="s">
        <v>15</v>
      </c>
      <c r="E30" t="s">
        <v>42</v>
      </c>
      <c r="F30">
        <v>14.37</v>
      </c>
      <c r="G30">
        <v>14.83</v>
      </c>
      <c r="H30">
        <v>17</v>
      </c>
      <c r="I30" s="4" t="str">
        <f t="shared" si="0"/>
        <v>Admis</v>
      </c>
      <c r="J30" s="4" t="str">
        <f t="shared" si="1"/>
        <v>Eligible</v>
      </c>
      <c r="K30">
        <v>17.43</v>
      </c>
      <c r="L30" s="6" t="str">
        <f t="shared" si="2"/>
        <v>RAS</v>
      </c>
      <c r="M30" s="6" t="str">
        <f t="shared" si="3"/>
        <v>Hors Data</v>
      </c>
      <c r="N30" s="8" t="str" cm="1">
        <f t="array" ref="N30">_xlfn.IFS(H30&gt;=16,"Excellent",H30&gt;=14,"Très bien",H30&gt;=12,"Bien",H30&gt;=10,"Passable",TRUE,"Insuffisant")</f>
        <v>Excellent</v>
      </c>
      <c r="O30">
        <v>0.97089999999999999</v>
      </c>
      <c r="P30">
        <v>110000</v>
      </c>
      <c r="Q30" s="2">
        <v>46071</v>
      </c>
    </row>
    <row r="31" spans="1:17" x14ac:dyDescent="0.45">
      <c r="A31" t="s">
        <v>81</v>
      </c>
      <c r="B31" t="s">
        <v>82</v>
      </c>
      <c r="C31" t="s">
        <v>14</v>
      </c>
      <c r="D31" t="s">
        <v>32</v>
      </c>
      <c r="E31" t="s">
        <v>16</v>
      </c>
      <c r="F31">
        <v>15.56</v>
      </c>
      <c r="G31">
        <v>17.899999999999999</v>
      </c>
      <c r="H31">
        <v>20</v>
      </c>
      <c r="I31" s="4" t="str">
        <f t="shared" si="0"/>
        <v>Admis</v>
      </c>
      <c r="J31" s="4" t="str">
        <f t="shared" si="1"/>
        <v>Non eligible</v>
      </c>
      <c r="K31">
        <v>17.23</v>
      </c>
      <c r="L31" s="6" t="str">
        <f t="shared" si="2"/>
        <v>RAS</v>
      </c>
      <c r="M31" s="6" t="str">
        <f t="shared" si="3"/>
        <v>Data</v>
      </c>
      <c r="N31" s="8" t="str" cm="1">
        <f t="array" ref="N31">_xlfn.IFS(H31&gt;=16,"Excellent",H31&gt;=14,"Très bien",H31&gt;=12,"Bien",H31&gt;=10,"Passable",TRUE,"Insuffisant")</f>
        <v>Excellent</v>
      </c>
      <c r="O31">
        <v>0.55000000000000004</v>
      </c>
      <c r="P31">
        <v>80000</v>
      </c>
      <c r="Q31" s="2">
        <v>46103</v>
      </c>
    </row>
    <row r="32" spans="1:17" x14ac:dyDescent="0.45">
      <c r="A32" t="s">
        <v>83</v>
      </c>
      <c r="B32" t="s">
        <v>84</v>
      </c>
      <c r="C32" t="s">
        <v>14</v>
      </c>
      <c r="D32" t="s">
        <v>35</v>
      </c>
      <c r="E32" t="s">
        <v>21</v>
      </c>
      <c r="F32">
        <v>12.24</v>
      </c>
      <c r="G32">
        <v>16.73</v>
      </c>
      <c r="H32">
        <v>9.0399999999999991</v>
      </c>
      <c r="I32" s="4" t="str">
        <f t="shared" si="0"/>
        <v>Non admis</v>
      </c>
      <c r="J32" s="4" t="str">
        <f t="shared" si="1"/>
        <v>Non eligible</v>
      </c>
      <c r="K32">
        <v>17.5</v>
      </c>
      <c r="L32" s="6" t="str">
        <f t="shared" si="2"/>
        <v>A surveiller</v>
      </c>
      <c r="M32" s="6" t="str">
        <f t="shared" si="3"/>
        <v>Hors Data</v>
      </c>
      <c r="N32" s="8" t="str" cm="1">
        <f t="array" ref="N32">_xlfn.IFS(H32&gt;=16,"Excellent",H32&gt;=14,"Très bien",H32&gt;=12,"Bien",H32&gt;=10,"Passable",TRUE,"Insuffisant")</f>
        <v>Insuffisant</v>
      </c>
      <c r="O32">
        <v>0.98560000000000003</v>
      </c>
      <c r="P32">
        <v>85000</v>
      </c>
      <c r="Q32" s="2">
        <v>45540</v>
      </c>
    </row>
    <row r="33" spans="1:17" x14ac:dyDescent="0.45">
      <c r="A33" t="s">
        <v>85</v>
      </c>
      <c r="B33" t="s">
        <v>86</v>
      </c>
      <c r="C33" t="s">
        <v>14</v>
      </c>
      <c r="D33" t="s">
        <v>35</v>
      </c>
      <c r="E33" t="s">
        <v>16</v>
      </c>
      <c r="F33">
        <v>19.11</v>
      </c>
      <c r="G33">
        <v>12.44</v>
      </c>
      <c r="H33">
        <v>15.6</v>
      </c>
      <c r="I33" s="4" t="str">
        <f t="shared" si="0"/>
        <v>Admis</v>
      </c>
      <c r="J33" s="4" t="str">
        <f t="shared" si="1"/>
        <v>Eligible</v>
      </c>
      <c r="K33">
        <v>17.84</v>
      </c>
      <c r="L33" s="6" t="str">
        <f t="shared" si="2"/>
        <v>RAS</v>
      </c>
      <c r="M33" s="6" t="str">
        <f t="shared" si="3"/>
        <v>Data</v>
      </c>
      <c r="N33" s="8" t="str" cm="1">
        <f t="array" ref="N33">_xlfn.IFS(H33&gt;=16,"Excellent",H33&gt;=14,"Très bien",H33&gt;=12,"Bien",H33&gt;=10,"Passable",TRUE,"Insuffisant")</f>
        <v>Très bien</v>
      </c>
      <c r="O33">
        <v>0.93830000000000002</v>
      </c>
      <c r="P33">
        <v>75000</v>
      </c>
      <c r="Q33" s="2">
        <v>45800</v>
      </c>
    </row>
    <row r="34" spans="1:17" x14ac:dyDescent="0.45">
      <c r="A34" t="s">
        <v>87</v>
      </c>
      <c r="B34" t="s">
        <v>88</v>
      </c>
      <c r="C34" t="s">
        <v>14</v>
      </c>
      <c r="D34" t="s">
        <v>47</v>
      </c>
      <c r="E34" t="s">
        <v>29</v>
      </c>
      <c r="F34">
        <v>15.66</v>
      </c>
      <c r="G34">
        <v>16.04</v>
      </c>
      <c r="H34">
        <v>12.03</v>
      </c>
      <c r="I34" s="4" t="str">
        <f t="shared" si="0"/>
        <v>Admis</v>
      </c>
      <c r="J34" s="4" t="str">
        <f t="shared" si="1"/>
        <v>Non eligible</v>
      </c>
      <c r="K34">
        <v>17.8</v>
      </c>
      <c r="L34" s="6" t="str">
        <f t="shared" si="2"/>
        <v>RAS</v>
      </c>
      <c r="M34" s="6" t="str">
        <f t="shared" si="3"/>
        <v>Hors Data</v>
      </c>
      <c r="N34" s="8" t="str" cm="1">
        <f t="array" ref="N34">_xlfn.IFS(H34&gt;=16,"Excellent",H34&gt;=14,"Très bien",H34&gt;=12,"Bien",H34&gt;=10,"Passable",TRUE,"Insuffisant")</f>
        <v>Bien</v>
      </c>
      <c r="O34">
        <v>0.79310000000000003</v>
      </c>
      <c r="P34">
        <v>75000</v>
      </c>
      <c r="Q34" s="2">
        <v>46128</v>
      </c>
    </row>
    <row r="35" spans="1:17" x14ac:dyDescent="0.45">
      <c r="A35" t="s">
        <v>89</v>
      </c>
      <c r="B35" t="s">
        <v>90</v>
      </c>
      <c r="C35" t="s">
        <v>19</v>
      </c>
      <c r="D35" t="s">
        <v>28</v>
      </c>
      <c r="E35" t="s">
        <v>21</v>
      </c>
      <c r="F35">
        <v>12.44</v>
      </c>
      <c r="G35">
        <v>9.73</v>
      </c>
      <c r="H35">
        <v>14.47</v>
      </c>
      <c r="I35" s="4" t="str">
        <f t="shared" si="0"/>
        <v>Admis</v>
      </c>
      <c r="J35" s="4" t="str">
        <f t="shared" si="1"/>
        <v>Eligible</v>
      </c>
      <c r="K35">
        <v>14.79</v>
      </c>
      <c r="L35" s="6" t="str">
        <f t="shared" si="2"/>
        <v>RAS</v>
      </c>
      <c r="M35" s="6" t="str">
        <f t="shared" si="3"/>
        <v>Hors Data</v>
      </c>
      <c r="N35" s="8" t="str" cm="1">
        <f t="array" ref="N35">_xlfn.IFS(H35&gt;=16,"Excellent",H35&gt;=14,"Très bien",H35&gt;=12,"Bien",H35&gt;=10,"Passable",TRUE,"Insuffisant")</f>
        <v>Très bien</v>
      </c>
      <c r="O35">
        <v>0.85240000000000005</v>
      </c>
      <c r="P35">
        <v>130000</v>
      </c>
      <c r="Q35" s="2">
        <v>45907</v>
      </c>
    </row>
    <row r="36" spans="1:17" x14ac:dyDescent="0.45">
      <c r="A36" t="s">
        <v>91</v>
      </c>
      <c r="B36" t="s">
        <v>92</v>
      </c>
      <c r="C36" t="s">
        <v>19</v>
      </c>
      <c r="D36" t="s">
        <v>28</v>
      </c>
      <c r="E36" t="s">
        <v>21</v>
      </c>
      <c r="F36">
        <v>11.52</v>
      </c>
      <c r="G36">
        <v>14.33</v>
      </c>
      <c r="H36">
        <v>11.2</v>
      </c>
      <c r="I36" s="4" t="str">
        <f t="shared" si="0"/>
        <v>Admis</v>
      </c>
      <c r="J36" s="4" t="str">
        <f t="shared" si="1"/>
        <v>Non eligible</v>
      </c>
      <c r="K36">
        <v>10.91</v>
      </c>
      <c r="L36" s="6" t="str">
        <f t="shared" si="2"/>
        <v>RAS</v>
      </c>
      <c r="M36" s="6" t="str">
        <f t="shared" si="3"/>
        <v>Hors Data</v>
      </c>
      <c r="N36" s="8" t="str" cm="1">
        <f t="array" ref="N36">_xlfn.IFS(H36&gt;=16,"Excellent",H36&gt;=14,"Très bien",H36&gt;=12,"Bien",H36&gt;=10,"Passable",TRUE,"Insuffisant")</f>
        <v>Passable</v>
      </c>
      <c r="O36">
        <v>0.75270000000000004</v>
      </c>
      <c r="P36">
        <v>110000</v>
      </c>
      <c r="Q36" s="2">
        <v>45679</v>
      </c>
    </row>
    <row r="37" spans="1:17" x14ac:dyDescent="0.45">
      <c r="A37" t="s">
        <v>93</v>
      </c>
      <c r="B37" t="s">
        <v>94</v>
      </c>
      <c r="C37" t="s">
        <v>14</v>
      </c>
      <c r="D37" t="s">
        <v>15</v>
      </c>
      <c r="E37" t="s">
        <v>29</v>
      </c>
      <c r="F37">
        <v>7.93</v>
      </c>
      <c r="G37">
        <v>17.28</v>
      </c>
      <c r="H37">
        <v>12.82</v>
      </c>
      <c r="I37" s="4" t="str">
        <f t="shared" si="0"/>
        <v>Admis</v>
      </c>
      <c r="J37" s="4" t="str">
        <f t="shared" si="1"/>
        <v>Non eligible</v>
      </c>
      <c r="K37">
        <v>12.15</v>
      </c>
      <c r="L37" s="6" t="str">
        <f t="shared" si="2"/>
        <v>A surveiller</v>
      </c>
      <c r="M37" s="6" t="str">
        <f t="shared" si="3"/>
        <v>Hors Data</v>
      </c>
      <c r="N37" s="8" t="str" cm="1">
        <f t="array" ref="N37">_xlfn.IFS(H37&gt;=16,"Excellent",H37&gt;=14,"Très bien",H37&gt;=12,"Bien",H37&gt;=10,"Passable",TRUE,"Insuffisant")</f>
        <v>Bien</v>
      </c>
      <c r="O37">
        <v>0.7046</v>
      </c>
      <c r="P37">
        <v>100000</v>
      </c>
      <c r="Q37" s="2">
        <v>45951</v>
      </c>
    </row>
    <row r="38" spans="1:17" x14ac:dyDescent="0.45">
      <c r="A38" t="s">
        <v>95</v>
      </c>
      <c r="B38" t="s">
        <v>96</v>
      </c>
      <c r="C38" t="s">
        <v>19</v>
      </c>
      <c r="D38" t="s">
        <v>15</v>
      </c>
      <c r="E38" t="s">
        <v>29</v>
      </c>
      <c r="F38">
        <v>13.6</v>
      </c>
      <c r="G38">
        <v>15.85</v>
      </c>
      <c r="H38">
        <v>13.47</v>
      </c>
      <c r="I38" s="4" t="str">
        <f t="shared" si="0"/>
        <v>Admis</v>
      </c>
      <c r="J38" s="4" t="str">
        <f t="shared" si="1"/>
        <v>Eligible</v>
      </c>
      <c r="K38">
        <v>14.43</v>
      </c>
      <c r="L38" s="6" t="str">
        <f t="shared" si="2"/>
        <v>RAS</v>
      </c>
      <c r="M38" s="6" t="str">
        <f t="shared" si="3"/>
        <v>Hors Data</v>
      </c>
      <c r="N38" s="8" t="str" cm="1">
        <f t="array" ref="N38">_xlfn.IFS(H38&gt;=16,"Excellent",H38&gt;=14,"Très bien",H38&gt;=12,"Bien",H38&gt;=10,"Passable",TRUE,"Insuffisant")</f>
        <v>Bien</v>
      </c>
      <c r="O38">
        <v>0.92279999999999995</v>
      </c>
      <c r="P38">
        <v>80000</v>
      </c>
      <c r="Q38" s="2">
        <v>45637</v>
      </c>
    </row>
    <row r="39" spans="1:17" x14ac:dyDescent="0.45">
      <c r="A39" t="s">
        <v>97</v>
      </c>
      <c r="B39" t="s">
        <v>98</v>
      </c>
      <c r="C39" t="s">
        <v>19</v>
      </c>
      <c r="D39" t="s">
        <v>20</v>
      </c>
      <c r="E39" t="s">
        <v>16</v>
      </c>
      <c r="F39">
        <v>15.67</v>
      </c>
      <c r="G39">
        <v>9.23</v>
      </c>
      <c r="H39">
        <v>15.43</v>
      </c>
      <c r="I39" s="4" t="str">
        <f t="shared" si="0"/>
        <v>Admis</v>
      </c>
      <c r="J39" s="4" t="str">
        <f t="shared" si="1"/>
        <v>Eligible</v>
      </c>
      <c r="K39">
        <v>14.78</v>
      </c>
      <c r="L39" s="6" t="str">
        <f t="shared" si="2"/>
        <v>RAS</v>
      </c>
      <c r="M39" s="6" t="str">
        <f t="shared" si="3"/>
        <v>Data</v>
      </c>
      <c r="N39" s="8" t="str" cm="1">
        <f t="array" ref="N39">_xlfn.IFS(H39&gt;=16,"Excellent",H39&gt;=14,"Très bien",H39&gt;=12,"Bien",H39&gt;=10,"Passable",TRUE,"Insuffisant")</f>
        <v>Très bien</v>
      </c>
      <c r="O39">
        <v>0.82920000000000005</v>
      </c>
      <c r="P39">
        <v>100000</v>
      </c>
      <c r="Q39" s="2">
        <v>45551</v>
      </c>
    </row>
    <row r="40" spans="1:17" x14ac:dyDescent="0.45">
      <c r="A40" t="s">
        <v>99</v>
      </c>
      <c r="B40" t="s">
        <v>100</v>
      </c>
      <c r="C40" t="s">
        <v>14</v>
      </c>
      <c r="D40" t="s">
        <v>15</v>
      </c>
      <c r="E40" t="s">
        <v>21</v>
      </c>
      <c r="F40">
        <v>13.07</v>
      </c>
      <c r="G40">
        <v>16.190000000000001</v>
      </c>
      <c r="H40">
        <v>11.47</v>
      </c>
      <c r="I40" s="4" t="str">
        <f t="shared" si="0"/>
        <v>Admis</v>
      </c>
      <c r="J40" s="4" t="str">
        <f t="shared" si="1"/>
        <v>Non eligible</v>
      </c>
      <c r="K40">
        <v>12.77</v>
      </c>
      <c r="L40" s="6" t="str">
        <f t="shared" si="2"/>
        <v>RAS</v>
      </c>
      <c r="M40" s="6" t="str">
        <f t="shared" si="3"/>
        <v>Hors Data</v>
      </c>
      <c r="N40" s="8" t="str" cm="1">
        <f t="array" ref="N40">_xlfn.IFS(H40&gt;=16,"Excellent",H40&gt;=14,"Très bien",H40&gt;=12,"Bien",H40&gt;=10,"Passable",TRUE,"Insuffisant")</f>
        <v>Passable</v>
      </c>
      <c r="O40">
        <v>0.92720000000000002</v>
      </c>
      <c r="P40">
        <v>75000</v>
      </c>
      <c r="Q40" s="2">
        <v>45978</v>
      </c>
    </row>
    <row r="41" spans="1:17" x14ac:dyDescent="0.45">
      <c r="A41" t="s">
        <v>101</v>
      </c>
      <c r="B41" t="s">
        <v>71</v>
      </c>
      <c r="C41" t="s">
        <v>19</v>
      </c>
      <c r="D41" t="s">
        <v>47</v>
      </c>
      <c r="E41" t="s">
        <v>16</v>
      </c>
      <c r="F41">
        <v>13.55</v>
      </c>
      <c r="G41">
        <v>13.79</v>
      </c>
      <c r="H41">
        <v>18.309999999999999</v>
      </c>
      <c r="I41" s="4" t="str">
        <f t="shared" si="0"/>
        <v>Admis</v>
      </c>
      <c r="J41" s="4" t="str">
        <f t="shared" si="1"/>
        <v>Eligible</v>
      </c>
      <c r="K41">
        <v>14.86</v>
      </c>
      <c r="L41" s="6" t="str">
        <f t="shared" si="2"/>
        <v>RAS</v>
      </c>
      <c r="M41" s="6" t="str">
        <f t="shared" si="3"/>
        <v>Data</v>
      </c>
      <c r="N41" s="8" t="str" cm="1">
        <f t="array" ref="N41">_xlfn.IFS(H41&gt;=16,"Excellent",H41&gt;=14,"Très bien",H41&gt;=12,"Bien",H41&gt;=10,"Passable",TRUE,"Insuffisant")</f>
        <v>Excellent</v>
      </c>
      <c r="O41">
        <v>0.95599999999999996</v>
      </c>
      <c r="P41">
        <v>85000</v>
      </c>
      <c r="Q41" s="2">
        <v>45896</v>
      </c>
    </row>
    <row r="42" spans="1:17" x14ac:dyDescent="0.45">
      <c r="A42" t="s">
        <v>102</v>
      </c>
      <c r="B42" t="s">
        <v>103</v>
      </c>
      <c r="C42" t="s">
        <v>14</v>
      </c>
      <c r="D42" t="s">
        <v>15</v>
      </c>
      <c r="E42" t="s">
        <v>16</v>
      </c>
      <c r="F42">
        <v>15.33</v>
      </c>
      <c r="G42">
        <v>11.39</v>
      </c>
      <c r="H42">
        <v>11.75</v>
      </c>
      <c r="I42" s="4" t="str">
        <f t="shared" si="0"/>
        <v>Admis</v>
      </c>
      <c r="J42" s="4" t="str">
        <f t="shared" si="1"/>
        <v>Non eligible</v>
      </c>
      <c r="K42">
        <v>7.17</v>
      </c>
      <c r="L42" s="6" t="str">
        <f t="shared" si="2"/>
        <v>RAS</v>
      </c>
      <c r="M42" s="6" t="str">
        <f t="shared" si="3"/>
        <v>Data</v>
      </c>
      <c r="N42" s="8" t="str" cm="1">
        <f t="array" ref="N42">_xlfn.IFS(H42&gt;=16,"Excellent",H42&gt;=14,"Très bien",H42&gt;=12,"Bien",H42&gt;=10,"Passable",TRUE,"Insuffisant")</f>
        <v>Passable</v>
      </c>
      <c r="O42">
        <v>0.77600000000000002</v>
      </c>
      <c r="P42">
        <v>60000</v>
      </c>
      <c r="Q42" s="2">
        <v>46065</v>
      </c>
    </row>
    <row r="43" spans="1:17" x14ac:dyDescent="0.45">
      <c r="A43" t="s">
        <v>104</v>
      </c>
      <c r="B43" t="s">
        <v>105</v>
      </c>
      <c r="C43" t="s">
        <v>19</v>
      </c>
      <c r="D43" t="s">
        <v>32</v>
      </c>
      <c r="E43" t="s">
        <v>29</v>
      </c>
      <c r="F43">
        <v>18.57</v>
      </c>
      <c r="G43">
        <v>17.399999999999999</v>
      </c>
      <c r="H43">
        <v>12.73</v>
      </c>
      <c r="I43" s="4" t="str">
        <f t="shared" si="0"/>
        <v>Admis</v>
      </c>
      <c r="J43" s="4" t="str">
        <f t="shared" si="1"/>
        <v>Eligible</v>
      </c>
      <c r="K43">
        <v>19.309999999999999</v>
      </c>
      <c r="L43" s="6" t="str">
        <f t="shared" si="2"/>
        <v>RAS</v>
      </c>
      <c r="M43" s="6" t="str">
        <f t="shared" si="3"/>
        <v>Hors Data</v>
      </c>
      <c r="N43" s="8" t="str" cm="1">
        <f t="array" ref="N43">_xlfn.IFS(H43&gt;=16,"Excellent",H43&gt;=14,"Très bien",H43&gt;=12,"Bien",H43&gt;=10,"Passable",TRUE,"Insuffisant")</f>
        <v>Bien</v>
      </c>
      <c r="O43">
        <v>0.90200000000000002</v>
      </c>
      <c r="P43">
        <v>100000</v>
      </c>
      <c r="Q43" s="2">
        <v>45777</v>
      </c>
    </row>
    <row r="44" spans="1:17" x14ac:dyDescent="0.45">
      <c r="A44" t="s">
        <v>106</v>
      </c>
      <c r="B44" t="s">
        <v>107</v>
      </c>
      <c r="C44" t="s">
        <v>19</v>
      </c>
      <c r="D44" t="s">
        <v>15</v>
      </c>
      <c r="E44" t="s">
        <v>16</v>
      </c>
      <c r="F44">
        <v>15.7</v>
      </c>
      <c r="G44">
        <v>15.52</v>
      </c>
      <c r="H44">
        <v>18.27</v>
      </c>
      <c r="I44" s="4" t="str">
        <f t="shared" si="0"/>
        <v>Admis</v>
      </c>
      <c r="J44" s="4" t="str">
        <f t="shared" si="1"/>
        <v>Eligible</v>
      </c>
      <c r="K44">
        <v>13.98</v>
      </c>
      <c r="L44" s="6" t="str">
        <f t="shared" si="2"/>
        <v>RAS</v>
      </c>
      <c r="M44" s="6" t="str">
        <f t="shared" si="3"/>
        <v>Data</v>
      </c>
      <c r="N44" s="8" t="str" cm="1">
        <f t="array" ref="N44">_xlfn.IFS(H44&gt;=16,"Excellent",H44&gt;=14,"Très bien",H44&gt;=12,"Bien",H44&gt;=10,"Passable",TRUE,"Insuffisant")</f>
        <v>Excellent</v>
      </c>
      <c r="O44">
        <v>0.94040000000000001</v>
      </c>
      <c r="P44">
        <v>50000</v>
      </c>
      <c r="Q44" s="2">
        <v>46133</v>
      </c>
    </row>
    <row r="45" spans="1:17" x14ac:dyDescent="0.45">
      <c r="A45" t="s">
        <v>108</v>
      </c>
      <c r="B45" t="s">
        <v>109</v>
      </c>
      <c r="C45" t="s">
        <v>14</v>
      </c>
      <c r="D45" t="s">
        <v>32</v>
      </c>
      <c r="E45" t="s">
        <v>16</v>
      </c>
      <c r="F45">
        <v>9.0399999999999991</v>
      </c>
      <c r="G45">
        <v>9.3699999999999992</v>
      </c>
      <c r="H45">
        <v>10.09</v>
      </c>
      <c r="I45" s="4" t="str">
        <f t="shared" si="0"/>
        <v>Admis</v>
      </c>
      <c r="J45" s="4" t="str">
        <f t="shared" si="1"/>
        <v>Non eligible</v>
      </c>
      <c r="K45">
        <v>10.94</v>
      </c>
      <c r="L45" s="6" t="str">
        <f t="shared" si="2"/>
        <v>A surveiller</v>
      </c>
      <c r="M45" s="6" t="str">
        <f t="shared" si="3"/>
        <v>Data</v>
      </c>
      <c r="N45" s="8" t="str" cm="1">
        <f t="array" ref="N45">_xlfn.IFS(H45&gt;=16,"Excellent",H45&gt;=14,"Très bien",H45&gt;=12,"Bien",H45&gt;=10,"Passable",TRUE,"Insuffisant")</f>
        <v>Passable</v>
      </c>
      <c r="O45">
        <v>0.86899999999999999</v>
      </c>
      <c r="P45">
        <v>100000</v>
      </c>
      <c r="Q45" s="2">
        <v>45830</v>
      </c>
    </row>
    <row r="46" spans="1:17" x14ac:dyDescent="0.45">
      <c r="A46" t="s">
        <v>110</v>
      </c>
      <c r="B46" t="s">
        <v>111</v>
      </c>
      <c r="C46" t="s">
        <v>14</v>
      </c>
      <c r="D46" t="s">
        <v>47</v>
      </c>
      <c r="E46" t="s">
        <v>42</v>
      </c>
      <c r="F46">
        <v>17.010000000000002</v>
      </c>
      <c r="G46">
        <v>16.510000000000002</v>
      </c>
      <c r="H46">
        <v>20</v>
      </c>
      <c r="I46" s="4" t="str">
        <f t="shared" si="0"/>
        <v>Admis</v>
      </c>
      <c r="J46" s="4" t="str">
        <f t="shared" si="1"/>
        <v>Eligible</v>
      </c>
      <c r="K46">
        <v>20</v>
      </c>
      <c r="L46" s="6" t="str">
        <f t="shared" si="2"/>
        <v>RAS</v>
      </c>
      <c r="M46" s="6" t="str">
        <f t="shared" si="3"/>
        <v>Hors Data</v>
      </c>
      <c r="N46" s="8" t="str" cm="1">
        <f t="array" ref="N46">_xlfn.IFS(H46&gt;=16,"Excellent",H46&gt;=14,"Très bien",H46&gt;=12,"Bien",H46&gt;=10,"Passable",TRUE,"Insuffisant")</f>
        <v>Excellent</v>
      </c>
      <c r="O46">
        <v>0.91449999999999998</v>
      </c>
      <c r="P46">
        <v>90000</v>
      </c>
      <c r="Q46" s="2">
        <v>46052</v>
      </c>
    </row>
    <row r="47" spans="1:17" x14ac:dyDescent="0.45">
      <c r="A47" t="s">
        <v>112</v>
      </c>
      <c r="B47" t="s">
        <v>113</v>
      </c>
      <c r="C47" t="s">
        <v>19</v>
      </c>
      <c r="D47" t="s">
        <v>35</v>
      </c>
      <c r="E47" t="s">
        <v>42</v>
      </c>
      <c r="F47">
        <v>10.33</v>
      </c>
      <c r="G47">
        <v>12.77</v>
      </c>
      <c r="H47">
        <v>14.98</v>
      </c>
      <c r="I47" s="4" t="str">
        <f t="shared" si="0"/>
        <v>Admis</v>
      </c>
      <c r="J47" s="4" t="str">
        <f t="shared" si="1"/>
        <v>Non eligible</v>
      </c>
      <c r="K47">
        <v>12.66</v>
      </c>
      <c r="L47" s="6" t="str">
        <f t="shared" si="2"/>
        <v>RAS</v>
      </c>
      <c r="M47" s="6" t="str">
        <f t="shared" si="3"/>
        <v>Hors Data</v>
      </c>
      <c r="N47" s="8" t="str" cm="1">
        <f t="array" ref="N47">_xlfn.IFS(H47&gt;=16,"Excellent",H47&gt;=14,"Très bien",H47&gt;=12,"Bien",H47&gt;=10,"Passable",TRUE,"Insuffisant")</f>
        <v>Très bien</v>
      </c>
      <c r="O47">
        <v>0.98260000000000003</v>
      </c>
      <c r="P47">
        <v>50000</v>
      </c>
      <c r="Q47" s="2">
        <v>45606</v>
      </c>
    </row>
    <row r="48" spans="1:17" x14ac:dyDescent="0.45">
      <c r="A48" t="s">
        <v>114</v>
      </c>
      <c r="B48" t="s">
        <v>115</v>
      </c>
      <c r="C48" t="s">
        <v>14</v>
      </c>
      <c r="D48" t="s">
        <v>47</v>
      </c>
      <c r="E48" t="s">
        <v>29</v>
      </c>
      <c r="F48">
        <v>6.68</v>
      </c>
      <c r="G48">
        <v>8.36</v>
      </c>
      <c r="H48">
        <v>7.31</v>
      </c>
      <c r="I48" s="4" t="str">
        <f t="shared" si="0"/>
        <v>Non admis</v>
      </c>
      <c r="J48" s="4" t="str">
        <f t="shared" si="1"/>
        <v>Non eligible</v>
      </c>
      <c r="K48">
        <v>11.94</v>
      </c>
      <c r="L48" s="6" t="str">
        <f t="shared" si="2"/>
        <v>A surveiller</v>
      </c>
      <c r="M48" s="6" t="str">
        <f t="shared" si="3"/>
        <v>Hors Data</v>
      </c>
      <c r="N48" s="8" t="str" cm="1">
        <f t="array" ref="N48">_xlfn.IFS(H48&gt;=16,"Excellent",H48&gt;=14,"Très bien",H48&gt;=12,"Bien",H48&gt;=10,"Passable",TRUE,"Insuffisant")</f>
        <v>Insuffisant</v>
      </c>
      <c r="O48">
        <v>0.94130000000000003</v>
      </c>
      <c r="P48">
        <v>85000</v>
      </c>
      <c r="Q48" s="2">
        <v>45604</v>
      </c>
    </row>
    <row r="49" spans="1:17" x14ac:dyDescent="0.45">
      <c r="A49" t="s">
        <v>116</v>
      </c>
      <c r="B49" t="s">
        <v>117</v>
      </c>
      <c r="C49" t="s">
        <v>19</v>
      </c>
      <c r="D49" t="s">
        <v>20</v>
      </c>
      <c r="E49" t="s">
        <v>21</v>
      </c>
      <c r="F49">
        <v>8.2799999999999994</v>
      </c>
      <c r="G49">
        <v>8.5299999999999994</v>
      </c>
      <c r="H49">
        <v>10.59</v>
      </c>
      <c r="I49" s="4" t="str">
        <f t="shared" si="0"/>
        <v>Admis</v>
      </c>
      <c r="J49" s="4" t="str">
        <f t="shared" si="1"/>
        <v>Non eligible</v>
      </c>
      <c r="K49">
        <v>7.74</v>
      </c>
      <c r="L49" s="6" t="str">
        <f t="shared" si="2"/>
        <v>A surveiller</v>
      </c>
      <c r="M49" s="6" t="str">
        <f t="shared" si="3"/>
        <v>Hors Data</v>
      </c>
      <c r="N49" s="8" t="str" cm="1">
        <f t="array" ref="N49">_xlfn.IFS(H49&gt;=16,"Excellent",H49&gt;=14,"Très bien",H49&gt;=12,"Bien",H49&gt;=10,"Passable",TRUE,"Insuffisant")</f>
        <v>Passable</v>
      </c>
      <c r="O49">
        <v>0.93630000000000002</v>
      </c>
      <c r="P49">
        <v>70000</v>
      </c>
      <c r="Q49" s="2">
        <v>46083</v>
      </c>
    </row>
    <row r="50" spans="1:17" x14ac:dyDescent="0.45">
      <c r="A50" t="s">
        <v>118</v>
      </c>
      <c r="B50" t="s">
        <v>119</v>
      </c>
      <c r="C50" t="s">
        <v>19</v>
      </c>
      <c r="D50" t="s">
        <v>20</v>
      </c>
      <c r="E50" t="s">
        <v>42</v>
      </c>
      <c r="F50">
        <v>9.2799999999999994</v>
      </c>
      <c r="G50">
        <v>10.31</v>
      </c>
      <c r="H50">
        <v>11.11</v>
      </c>
      <c r="I50" s="4" t="str">
        <f t="shared" si="0"/>
        <v>Admis</v>
      </c>
      <c r="J50" s="4" t="str">
        <f t="shared" si="1"/>
        <v>Non eligible</v>
      </c>
      <c r="K50">
        <v>15.82</v>
      </c>
      <c r="L50" s="6" t="str">
        <f t="shared" si="2"/>
        <v>A surveiller</v>
      </c>
      <c r="M50" s="6" t="str">
        <f t="shared" si="3"/>
        <v>Hors Data</v>
      </c>
      <c r="N50" s="8" t="str" cm="1">
        <f t="array" ref="N50">_xlfn.IFS(H50&gt;=16,"Excellent",H50&gt;=14,"Très bien",H50&gt;=12,"Bien",H50&gt;=10,"Passable",TRUE,"Insuffisant")</f>
        <v>Passable</v>
      </c>
      <c r="O50">
        <v>0.92930000000000001</v>
      </c>
      <c r="P50">
        <v>85000</v>
      </c>
      <c r="Q50" s="2">
        <v>46119</v>
      </c>
    </row>
    <row r="51" spans="1:17" x14ac:dyDescent="0.45">
      <c r="A51" t="s">
        <v>120</v>
      </c>
      <c r="B51" t="s">
        <v>121</v>
      </c>
      <c r="C51" t="s">
        <v>19</v>
      </c>
      <c r="D51" t="s">
        <v>28</v>
      </c>
      <c r="E51" t="s">
        <v>16</v>
      </c>
      <c r="F51">
        <v>11.37</v>
      </c>
      <c r="G51">
        <v>14.79</v>
      </c>
      <c r="H51">
        <v>17.2</v>
      </c>
      <c r="I51" s="4" t="str">
        <f t="shared" si="0"/>
        <v>Admis</v>
      </c>
      <c r="J51" s="4" t="str">
        <f t="shared" si="1"/>
        <v>Non eligible</v>
      </c>
      <c r="K51">
        <v>15.94</v>
      </c>
      <c r="L51" s="6" t="str">
        <f t="shared" si="2"/>
        <v>RAS</v>
      </c>
      <c r="M51" s="6" t="str">
        <f t="shared" si="3"/>
        <v>Data</v>
      </c>
      <c r="N51" s="8" t="str" cm="1">
        <f t="array" ref="N51">_xlfn.IFS(H51&gt;=16,"Excellent",H51&gt;=14,"Très bien",H51&gt;=12,"Bien",H51&gt;=10,"Passable",TRUE,"Insuffisant")</f>
        <v>Excellent</v>
      </c>
      <c r="O51">
        <v>0.77490000000000003</v>
      </c>
      <c r="P51">
        <v>50000</v>
      </c>
      <c r="Q51" s="2">
        <v>46195</v>
      </c>
    </row>
    <row r="52" spans="1:17" x14ac:dyDescent="0.45">
      <c r="A52" t="s">
        <v>122</v>
      </c>
      <c r="B52" t="s">
        <v>123</v>
      </c>
      <c r="C52" t="s">
        <v>19</v>
      </c>
      <c r="D52" t="s">
        <v>35</v>
      </c>
      <c r="E52" t="s">
        <v>42</v>
      </c>
      <c r="F52">
        <v>9.2899999999999991</v>
      </c>
      <c r="G52">
        <v>12.74</v>
      </c>
      <c r="H52">
        <v>13.9</v>
      </c>
      <c r="I52" s="4" t="str">
        <f t="shared" si="0"/>
        <v>Admis</v>
      </c>
      <c r="J52" s="4" t="str">
        <f t="shared" si="1"/>
        <v>Non eligible</v>
      </c>
      <c r="K52">
        <v>13.09</v>
      </c>
      <c r="L52" s="6" t="str">
        <f t="shared" si="2"/>
        <v>A surveiller</v>
      </c>
      <c r="M52" s="6" t="str">
        <f t="shared" si="3"/>
        <v>Hors Data</v>
      </c>
      <c r="N52" s="8" t="str" cm="1">
        <f t="array" ref="N52">_xlfn.IFS(H52&gt;=16,"Excellent",H52&gt;=14,"Très bien",H52&gt;=12,"Bien",H52&gt;=10,"Passable",TRUE,"Insuffisant")</f>
        <v>Bien</v>
      </c>
      <c r="O52">
        <v>0.95179999999999998</v>
      </c>
      <c r="P52">
        <v>100000</v>
      </c>
      <c r="Q52" s="2">
        <v>45763</v>
      </c>
    </row>
    <row r="53" spans="1:17" x14ac:dyDescent="0.45">
      <c r="A53" t="s">
        <v>124</v>
      </c>
      <c r="B53" t="s">
        <v>125</v>
      </c>
      <c r="C53" t="s">
        <v>14</v>
      </c>
      <c r="D53" t="s">
        <v>47</v>
      </c>
      <c r="E53" t="s">
        <v>42</v>
      </c>
      <c r="F53">
        <v>13.04</v>
      </c>
      <c r="G53">
        <v>9.85</v>
      </c>
      <c r="H53">
        <v>13.14</v>
      </c>
      <c r="I53" s="4" t="str">
        <f t="shared" si="0"/>
        <v>Admis</v>
      </c>
      <c r="J53" s="4" t="str">
        <f t="shared" si="1"/>
        <v>Eligible</v>
      </c>
      <c r="K53">
        <v>15.59</v>
      </c>
      <c r="L53" s="6" t="str">
        <f t="shared" si="2"/>
        <v>RAS</v>
      </c>
      <c r="M53" s="6" t="str">
        <f t="shared" si="3"/>
        <v>Hors Data</v>
      </c>
      <c r="N53" s="8" t="str" cm="1">
        <f t="array" ref="N53">_xlfn.IFS(H53&gt;=16,"Excellent",H53&gt;=14,"Très bien",H53&gt;=12,"Bien",H53&gt;=10,"Passable",TRUE,"Insuffisant")</f>
        <v>Bien</v>
      </c>
      <c r="O53">
        <v>0.9385</v>
      </c>
      <c r="P53">
        <v>85000</v>
      </c>
      <c r="Q53" s="2">
        <v>45551</v>
      </c>
    </row>
    <row r="54" spans="1:17" x14ac:dyDescent="0.45">
      <c r="A54" t="s">
        <v>126</v>
      </c>
      <c r="B54" t="s">
        <v>127</v>
      </c>
      <c r="C54" t="s">
        <v>14</v>
      </c>
      <c r="D54" t="s">
        <v>32</v>
      </c>
      <c r="E54" t="s">
        <v>21</v>
      </c>
      <c r="F54">
        <v>15.75</v>
      </c>
      <c r="G54">
        <v>17.809999999999999</v>
      </c>
      <c r="H54">
        <v>15</v>
      </c>
      <c r="I54" s="4" t="str">
        <f t="shared" si="0"/>
        <v>Admis</v>
      </c>
      <c r="J54" s="4" t="str">
        <f t="shared" si="1"/>
        <v>Eligible</v>
      </c>
      <c r="K54">
        <v>12.56</v>
      </c>
      <c r="L54" s="6" t="str">
        <f t="shared" si="2"/>
        <v>RAS</v>
      </c>
      <c r="M54" s="6" t="str">
        <f t="shared" si="3"/>
        <v>Hors Data</v>
      </c>
      <c r="N54" s="8" t="str" cm="1">
        <f t="array" ref="N54">_xlfn.IFS(H54&gt;=16,"Excellent",H54&gt;=14,"Très bien",H54&gt;=12,"Bien",H54&gt;=10,"Passable",TRUE,"Insuffisant")</f>
        <v>Très bien</v>
      </c>
      <c r="O54">
        <v>0.92410000000000003</v>
      </c>
      <c r="P54">
        <v>75000</v>
      </c>
      <c r="Q54" s="2">
        <v>46221</v>
      </c>
    </row>
    <row r="55" spans="1:17" x14ac:dyDescent="0.45">
      <c r="A55" t="s">
        <v>128</v>
      </c>
      <c r="B55" t="s">
        <v>129</v>
      </c>
      <c r="C55" t="s">
        <v>14</v>
      </c>
      <c r="D55" t="s">
        <v>32</v>
      </c>
      <c r="E55" t="s">
        <v>16</v>
      </c>
      <c r="F55">
        <v>18.190000000000001</v>
      </c>
      <c r="G55">
        <v>8.83</v>
      </c>
      <c r="H55">
        <v>14.54</v>
      </c>
      <c r="I55" s="4" t="str">
        <f t="shared" si="0"/>
        <v>Admis</v>
      </c>
      <c r="J55" s="4" t="str">
        <f t="shared" si="1"/>
        <v>Non eligible</v>
      </c>
      <c r="K55">
        <v>13.72</v>
      </c>
      <c r="L55" s="6" t="str">
        <f t="shared" si="2"/>
        <v>RAS</v>
      </c>
      <c r="M55" s="6" t="str">
        <f t="shared" si="3"/>
        <v>Data</v>
      </c>
      <c r="N55" s="8" t="str" cm="1">
        <f t="array" ref="N55">_xlfn.IFS(H55&gt;=16,"Excellent",H55&gt;=14,"Très bien",H55&gt;=12,"Bien",H55&gt;=10,"Passable",TRUE,"Insuffisant")</f>
        <v>Très bien</v>
      </c>
      <c r="O55">
        <v>0.79700000000000004</v>
      </c>
      <c r="P55">
        <v>120000</v>
      </c>
      <c r="Q55" s="2">
        <v>45956</v>
      </c>
    </row>
    <row r="56" spans="1:17" x14ac:dyDescent="0.45">
      <c r="A56" t="s">
        <v>130</v>
      </c>
      <c r="B56" t="s">
        <v>131</v>
      </c>
      <c r="C56" t="s">
        <v>14</v>
      </c>
      <c r="D56" t="s">
        <v>28</v>
      </c>
      <c r="E56" t="s">
        <v>16</v>
      </c>
      <c r="F56">
        <v>12.91</v>
      </c>
      <c r="G56">
        <v>13.8</v>
      </c>
      <c r="H56">
        <v>17.46</v>
      </c>
      <c r="I56" s="4" t="str">
        <f t="shared" si="0"/>
        <v>Admis</v>
      </c>
      <c r="J56" s="4" t="str">
        <f t="shared" si="1"/>
        <v>Eligible</v>
      </c>
      <c r="K56">
        <v>17.46</v>
      </c>
      <c r="L56" s="6" t="str">
        <f t="shared" si="2"/>
        <v>RAS</v>
      </c>
      <c r="M56" s="6" t="str">
        <f t="shared" si="3"/>
        <v>Data</v>
      </c>
      <c r="N56" s="8" t="str" cm="1">
        <f t="array" ref="N56">_xlfn.IFS(H56&gt;=16,"Excellent",H56&gt;=14,"Très bien",H56&gt;=12,"Bien",H56&gt;=10,"Passable",TRUE,"Insuffisant")</f>
        <v>Excellent</v>
      </c>
      <c r="O56">
        <v>0.80020000000000002</v>
      </c>
      <c r="P56">
        <v>100000</v>
      </c>
      <c r="Q56" s="2">
        <v>45708</v>
      </c>
    </row>
    <row r="57" spans="1:17" x14ac:dyDescent="0.45">
      <c r="A57" t="s">
        <v>132</v>
      </c>
      <c r="B57" t="s">
        <v>133</v>
      </c>
      <c r="C57" t="s">
        <v>14</v>
      </c>
      <c r="D57" t="s">
        <v>28</v>
      </c>
      <c r="E57" t="s">
        <v>29</v>
      </c>
      <c r="F57">
        <v>15.3</v>
      </c>
      <c r="G57">
        <v>13.68</v>
      </c>
      <c r="H57">
        <v>14.86</v>
      </c>
      <c r="I57" s="4" t="str">
        <f t="shared" si="0"/>
        <v>Admis</v>
      </c>
      <c r="J57" s="4" t="str">
        <f t="shared" si="1"/>
        <v>Eligible</v>
      </c>
      <c r="K57">
        <v>10.44</v>
      </c>
      <c r="L57" s="6" t="str">
        <f t="shared" si="2"/>
        <v>RAS</v>
      </c>
      <c r="M57" s="6" t="str">
        <f t="shared" si="3"/>
        <v>Hors Data</v>
      </c>
      <c r="N57" s="8" t="str" cm="1">
        <f t="array" ref="N57">_xlfn.IFS(H57&gt;=16,"Excellent",H57&gt;=14,"Très bien",H57&gt;=12,"Bien",H57&gt;=10,"Passable",TRUE,"Insuffisant")</f>
        <v>Très bien</v>
      </c>
      <c r="O57">
        <v>0.89</v>
      </c>
      <c r="P57">
        <v>90000</v>
      </c>
      <c r="Q57" s="2">
        <v>46070</v>
      </c>
    </row>
    <row r="58" spans="1:17" x14ac:dyDescent="0.45">
      <c r="A58" t="s">
        <v>134</v>
      </c>
      <c r="B58" t="s">
        <v>135</v>
      </c>
      <c r="C58" t="s">
        <v>19</v>
      </c>
      <c r="D58" t="s">
        <v>35</v>
      </c>
      <c r="E58" t="s">
        <v>29</v>
      </c>
      <c r="F58">
        <v>15.91</v>
      </c>
      <c r="G58">
        <v>15.95</v>
      </c>
      <c r="H58">
        <v>14.56</v>
      </c>
      <c r="I58" s="4" t="str">
        <f t="shared" si="0"/>
        <v>Admis</v>
      </c>
      <c r="J58" s="4" t="str">
        <f t="shared" si="1"/>
        <v>Non eligible</v>
      </c>
      <c r="K58">
        <v>16.36</v>
      </c>
      <c r="L58" s="6" t="str">
        <f t="shared" si="2"/>
        <v>RAS</v>
      </c>
      <c r="M58" s="6" t="str">
        <f t="shared" si="3"/>
        <v>Hors Data</v>
      </c>
      <c r="N58" s="8" t="str" cm="1">
        <f t="array" ref="N58">_xlfn.IFS(H58&gt;=16,"Excellent",H58&gt;=14,"Très bien",H58&gt;=12,"Bien",H58&gt;=10,"Passable",TRUE,"Insuffisant")</f>
        <v>Très bien</v>
      </c>
      <c r="O58">
        <v>0.74680000000000002</v>
      </c>
      <c r="P58">
        <v>60000</v>
      </c>
      <c r="Q58" s="2">
        <v>46168</v>
      </c>
    </row>
    <row r="59" spans="1:17" x14ac:dyDescent="0.45">
      <c r="A59" t="s">
        <v>136</v>
      </c>
      <c r="B59" t="s">
        <v>103</v>
      </c>
      <c r="C59" t="s">
        <v>14</v>
      </c>
      <c r="D59" t="s">
        <v>15</v>
      </c>
      <c r="E59" t="s">
        <v>21</v>
      </c>
      <c r="F59">
        <v>7.04</v>
      </c>
      <c r="G59">
        <v>9.23</v>
      </c>
      <c r="H59">
        <v>6.56</v>
      </c>
      <c r="I59" s="4" t="str">
        <f t="shared" si="0"/>
        <v>Non admis</v>
      </c>
      <c r="J59" s="4" t="str">
        <f t="shared" si="1"/>
        <v>Non eligible</v>
      </c>
      <c r="K59">
        <v>8.67</v>
      </c>
      <c r="L59" s="6" t="str">
        <f t="shared" si="2"/>
        <v>A surveiller</v>
      </c>
      <c r="M59" s="6" t="str">
        <f t="shared" si="3"/>
        <v>Hors Data</v>
      </c>
      <c r="N59" s="8" t="str" cm="1">
        <f t="array" ref="N59">_xlfn.IFS(H59&gt;=16,"Excellent",H59&gt;=14,"Très bien",H59&gt;=12,"Bien",H59&gt;=10,"Passable",TRUE,"Insuffisant")</f>
        <v>Insuffisant</v>
      </c>
      <c r="O59">
        <v>0.6895</v>
      </c>
      <c r="P59">
        <v>85000</v>
      </c>
      <c r="Q59" s="2">
        <v>45735</v>
      </c>
    </row>
    <row r="60" spans="1:17" x14ac:dyDescent="0.45">
      <c r="A60" t="s">
        <v>137</v>
      </c>
      <c r="B60" t="s">
        <v>138</v>
      </c>
      <c r="C60" t="s">
        <v>19</v>
      </c>
      <c r="D60" t="s">
        <v>32</v>
      </c>
      <c r="E60" t="s">
        <v>42</v>
      </c>
      <c r="F60">
        <v>14.12</v>
      </c>
      <c r="G60">
        <v>15.36</v>
      </c>
      <c r="H60">
        <v>11.46</v>
      </c>
      <c r="I60" s="4" t="str">
        <f t="shared" si="0"/>
        <v>Admis</v>
      </c>
      <c r="J60" s="4" t="str">
        <f t="shared" si="1"/>
        <v>Non eligible</v>
      </c>
      <c r="K60">
        <v>16.71</v>
      </c>
      <c r="L60" s="6" t="str">
        <f t="shared" si="2"/>
        <v>RAS</v>
      </c>
      <c r="M60" s="6" t="str">
        <f t="shared" si="3"/>
        <v>Hors Data</v>
      </c>
      <c r="N60" s="8" t="str" cm="1">
        <f t="array" ref="N60">_xlfn.IFS(H60&gt;=16,"Excellent",H60&gt;=14,"Très bien",H60&gt;=12,"Bien",H60&gt;=10,"Passable",TRUE,"Insuffisant")</f>
        <v>Passable</v>
      </c>
      <c r="O60">
        <v>0.9617</v>
      </c>
      <c r="P60">
        <v>100000</v>
      </c>
      <c r="Q60" s="2">
        <v>46074</v>
      </c>
    </row>
    <row r="61" spans="1:17" x14ac:dyDescent="0.45">
      <c r="A61" t="s">
        <v>139</v>
      </c>
      <c r="B61" t="s">
        <v>140</v>
      </c>
      <c r="C61" t="s">
        <v>19</v>
      </c>
      <c r="D61" t="s">
        <v>35</v>
      </c>
      <c r="E61" t="s">
        <v>42</v>
      </c>
      <c r="F61">
        <v>9.1</v>
      </c>
      <c r="G61">
        <v>6.23</v>
      </c>
      <c r="H61">
        <v>4.51</v>
      </c>
      <c r="I61" s="4" t="str">
        <f t="shared" si="0"/>
        <v>Non admis</v>
      </c>
      <c r="J61" s="4" t="str">
        <f t="shared" si="1"/>
        <v>Non eligible</v>
      </c>
      <c r="K61">
        <v>3.81</v>
      </c>
      <c r="L61" s="6" t="str">
        <f t="shared" si="2"/>
        <v>A surveiller</v>
      </c>
      <c r="M61" s="6" t="str">
        <f t="shared" si="3"/>
        <v>Hors Data</v>
      </c>
      <c r="N61" s="8" t="str" cm="1">
        <f t="array" ref="N61">_xlfn.IFS(H61&gt;=16,"Excellent",H61&gt;=14,"Très bien",H61&gt;=12,"Bien",H61&gt;=10,"Passable",TRUE,"Insuffisant")</f>
        <v>Insuffisant</v>
      </c>
      <c r="O61">
        <v>0.91279999999999994</v>
      </c>
      <c r="P61">
        <v>130000</v>
      </c>
      <c r="Q61" s="2">
        <v>46087</v>
      </c>
    </row>
    <row r="62" spans="1:17" x14ac:dyDescent="0.45">
      <c r="A62" t="s">
        <v>141</v>
      </c>
      <c r="B62" t="s">
        <v>142</v>
      </c>
      <c r="C62" t="s">
        <v>19</v>
      </c>
      <c r="D62" t="s">
        <v>20</v>
      </c>
      <c r="E62" t="s">
        <v>42</v>
      </c>
      <c r="F62">
        <v>14.32</v>
      </c>
      <c r="G62">
        <v>15.29</v>
      </c>
      <c r="H62">
        <v>12.15</v>
      </c>
      <c r="I62" s="4" t="str">
        <f t="shared" si="0"/>
        <v>Admis</v>
      </c>
      <c r="J62" s="4" t="str">
        <f t="shared" si="1"/>
        <v>Non eligible</v>
      </c>
      <c r="K62">
        <v>17.04</v>
      </c>
      <c r="L62" s="6" t="str">
        <f t="shared" si="2"/>
        <v>RAS</v>
      </c>
      <c r="M62" s="6" t="str">
        <f t="shared" si="3"/>
        <v>Hors Data</v>
      </c>
      <c r="N62" s="8" t="str" cm="1">
        <f t="array" ref="N62">_xlfn.IFS(H62&gt;=16,"Excellent",H62&gt;=14,"Très bien",H62&gt;=12,"Bien",H62&gt;=10,"Passable",TRUE,"Insuffisant")</f>
        <v>Bien</v>
      </c>
      <c r="O62">
        <v>0.55000000000000004</v>
      </c>
      <c r="P62">
        <v>90000</v>
      </c>
      <c r="Q62" s="2">
        <v>45887</v>
      </c>
    </row>
    <row r="63" spans="1:17" x14ac:dyDescent="0.45">
      <c r="A63" t="s">
        <v>143</v>
      </c>
      <c r="B63" t="s">
        <v>144</v>
      </c>
      <c r="C63" t="s">
        <v>19</v>
      </c>
      <c r="D63" t="s">
        <v>20</v>
      </c>
      <c r="E63" t="s">
        <v>21</v>
      </c>
      <c r="F63">
        <v>12.92</v>
      </c>
      <c r="G63">
        <v>14.32</v>
      </c>
      <c r="H63">
        <v>16.98</v>
      </c>
      <c r="I63" s="4" t="str">
        <f t="shared" si="0"/>
        <v>Admis</v>
      </c>
      <c r="J63" s="4" t="str">
        <f t="shared" si="1"/>
        <v>Eligible</v>
      </c>
      <c r="K63">
        <v>12.16</v>
      </c>
      <c r="L63" s="6" t="str">
        <f t="shared" si="2"/>
        <v>RAS</v>
      </c>
      <c r="M63" s="6" t="str">
        <f t="shared" si="3"/>
        <v>Hors Data</v>
      </c>
      <c r="N63" s="8" t="str" cm="1">
        <f t="array" ref="N63">_xlfn.IFS(H63&gt;=16,"Excellent",H63&gt;=14,"Très bien",H63&gt;=12,"Bien",H63&gt;=10,"Passable",TRUE,"Insuffisant")</f>
        <v>Excellent</v>
      </c>
      <c r="O63">
        <v>0.95489999999999997</v>
      </c>
      <c r="P63">
        <v>60000</v>
      </c>
      <c r="Q63" s="2">
        <v>45978</v>
      </c>
    </row>
    <row r="64" spans="1:17" x14ac:dyDescent="0.45">
      <c r="A64" t="s">
        <v>145</v>
      </c>
      <c r="B64" t="s">
        <v>146</v>
      </c>
      <c r="C64" t="s">
        <v>14</v>
      </c>
      <c r="D64" t="s">
        <v>15</v>
      </c>
      <c r="E64" t="s">
        <v>29</v>
      </c>
      <c r="F64">
        <v>15.64</v>
      </c>
      <c r="G64">
        <v>13.06</v>
      </c>
      <c r="H64">
        <v>16.170000000000002</v>
      </c>
      <c r="I64" s="4" t="str">
        <f t="shared" si="0"/>
        <v>Admis</v>
      </c>
      <c r="J64" s="4" t="str">
        <f t="shared" si="1"/>
        <v>Eligible</v>
      </c>
      <c r="K64">
        <v>15.34</v>
      </c>
      <c r="L64" s="6" t="str">
        <f t="shared" si="2"/>
        <v>RAS</v>
      </c>
      <c r="M64" s="6" t="str">
        <f t="shared" si="3"/>
        <v>Hors Data</v>
      </c>
      <c r="N64" s="8" t="str" cm="1">
        <f t="array" ref="N64">_xlfn.IFS(H64&gt;=16,"Excellent",H64&gt;=14,"Très bien",H64&gt;=12,"Bien",H64&gt;=10,"Passable",TRUE,"Insuffisant")</f>
        <v>Excellent</v>
      </c>
      <c r="O64">
        <v>0.84250000000000003</v>
      </c>
      <c r="P64">
        <v>100000</v>
      </c>
      <c r="Q64" s="2">
        <v>45724</v>
      </c>
    </row>
    <row r="65" spans="1:17" x14ac:dyDescent="0.45">
      <c r="A65" t="s">
        <v>147</v>
      </c>
      <c r="B65" t="s">
        <v>46</v>
      </c>
      <c r="C65" t="s">
        <v>19</v>
      </c>
      <c r="D65" t="s">
        <v>15</v>
      </c>
      <c r="E65" t="s">
        <v>16</v>
      </c>
      <c r="F65">
        <v>13.82</v>
      </c>
      <c r="G65">
        <v>20</v>
      </c>
      <c r="H65">
        <v>18.579999999999998</v>
      </c>
      <c r="I65" s="4" t="str">
        <f t="shared" si="0"/>
        <v>Admis</v>
      </c>
      <c r="J65" s="4" t="str">
        <f t="shared" si="1"/>
        <v>Eligible</v>
      </c>
      <c r="K65">
        <v>14.04</v>
      </c>
      <c r="L65" s="6" t="str">
        <f t="shared" si="2"/>
        <v>RAS</v>
      </c>
      <c r="M65" s="6" t="str">
        <f t="shared" si="3"/>
        <v>Data</v>
      </c>
      <c r="N65" s="8" t="str" cm="1">
        <f t="array" ref="N65">_xlfn.IFS(H65&gt;=16,"Excellent",H65&gt;=14,"Très bien",H65&gt;=12,"Bien",H65&gt;=10,"Passable",TRUE,"Insuffisant")</f>
        <v>Excellent</v>
      </c>
      <c r="O65">
        <v>0.9204</v>
      </c>
      <c r="P65">
        <v>50000</v>
      </c>
      <c r="Q65" s="2">
        <v>46186</v>
      </c>
    </row>
    <row r="66" spans="1:17" x14ac:dyDescent="0.45">
      <c r="A66" t="s">
        <v>148</v>
      </c>
      <c r="B66" t="s">
        <v>149</v>
      </c>
      <c r="C66" t="s">
        <v>14</v>
      </c>
      <c r="D66" t="s">
        <v>15</v>
      </c>
      <c r="E66" t="s">
        <v>16</v>
      </c>
      <c r="F66">
        <v>12.29</v>
      </c>
      <c r="G66">
        <v>11.3</v>
      </c>
      <c r="H66">
        <v>8.81</v>
      </c>
      <c r="I66" s="4" t="str">
        <f t="shared" si="0"/>
        <v>Non admis</v>
      </c>
      <c r="J66" s="4" t="str">
        <f t="shared" si="1"/>
        <v>Non eligible</v>
      </c>
      <c r="K66">
        <v>11.57</v>
      </c>
      <c r="L66" s="6" t="str">
        <f t="shared" si="2"/>
        <v>A surveiller</v>
      </c>
      <c r="M66" s="6" t="str">
        <f t="shared" si="3"/>
        <v>Data</v>
      </c>
      <c r="N66" s="8" t="str" cm="1">
        <f t="array" ref="N66">_xlfn.IFS(H66&gt;=16,"Excellent",H66&gt;=14,"Très bien",H66&gt;=12,"Bien",H66&gt;=10,"Passable",TRUE,"Insuffisant")</f>
        <v>Insuffisant</v>
      </c>
      <c r="O66">
        <v>0.80159999999999998</v>
      </c>
      <c r="P66">
        <v>75000</v>
      </c>
      <c r="Q66" s="2">
        <v>46224</v>
      </c>
    </row>
    <row r="67" spans="1:17" x14ac:dyDescent="0.45">
      <c r="A67" t="s">
        <v>150</v>
      </c>
      <c r="B67" t="s">
        <v>151</v>
      </c>
      <c r="C67" t="s">
        <v>14</v>
      </c>
      <c r="D67" t="s">
        <v>20</v>
      </c>
      <c r="E67" t="s">
        <v>29</v>
      </c>
      <c r="F67">
        <v>10.73</v>
      </c>
      <c r="G67">
        <v>13.42</v>
      </c>
      <c r="H67">
        <v>13.55</v>
      </c>
      <c r="I67" s="4" t="str">
        <f t="shared" ref="I67:I130" si="4">IF(H67&gt;=10,"Admis","Non admis")</f>
        <v>Admis</v>
      </c>
      <c r="J67" s="4" t="str">
        <f t="shared" ref="J67:J130" si="5">IF(AND(F67&gt;=12,H67&gt;=12,O67&gt;=0.8),"Eligible","Non eligible")</f>
        <v>Non eligible</v>
      </c>
      <c r="K67">
        <v>12.89</v>
      </c>
      <c r="L67" s="6" t="str">
        <f t="shared" ref="L67:L130" si="6">IF(OR(F67&lt;10,H67&lt;10),"A surveiller","RAS")</f>
        <v>RAS</v>
      </c>
      <c r="M67" s="6" t="str">
        <f t="shared" ref="M67:M130" si="7">IF(NOT(E67="Data"),"Hors Data","Data")</f>
        <v>Hors Data</v>
      </c>
      <c r="N67" s="8" t="str" cm="1">
        <f t="array" ref="N67">_xlfn.IFS(H67&gt;=16,"Excellent",H67&gt;=14,"Très bien",H67&gt;=12,"Bien",H67&gt;=10,"Passable",TRUE,"Insuffisant")</f>
        <v>Bien</v>
      </c>
      <c r="O67">
        <v>0.87060000000000004</v>
      </c>
      <c r="P67">
        <v>130000</v>
      </c>
      <c r="Q67" s="2">
        <v>46222</v>
      </c>
    </row>
    <row r="68" spans="1:17" x14ac:dyDescent="0.45">
      <c r="A68" t="s">
        <v>152</v>
      </c>
      <c r="B68" t="s">
        <v>153</v>
      </c>
      <c r="C68" t="s">
        <v>19</v>
      </c>
      <c r="D68" t="s">
        <v>32</v>
      </c>
      <c r="E68" t="s">
        <v>42</v>
      </c>
      <c r="F68">
        <v>12.39</v>
      </c>
      <c r="G68">
        <v>16.12</v>
      </c>
      <c r="H68">
        <v>14.7</v>
      </c>
      <c r="I68" s="4" t="str">
        <f t="shared" si="4"/>
        <v>Admis</v>
      </c>
      <c r="J68" s="4" t="str">
        <f t="shared" si="5"/>
        <v>Eligible</v>
      </c>
      <c r="K68">
        <v>12.31</v>
      </c>
      <c r="L68" s="6" t="str">
        <f t="shared" si="6"/>
        <v>RAS</v>
      </c>
      <c r="M68" s="6" t="str">
        <f t="shared" si="7"/>
        <v>Hors Data</v>
      </c>
      <c r="N68" s="8" t="str" cm="1">
        <f t="array" ref="N68">_xlfn.IFS(H68&gt;=16,"Excellent",H68&gt;=14,"Très bien",H68&gt;=12,"Bien",H68&gt;=10,"Passable",TRUE,"Insuffisant")</f>
        <v>Très bien</v>
      </c>
      <c r="O68">
        <v>0.84919999999999995</v>
      </c>
      <c r="P68">
        <v>110000</v>
      </c>
      <c r="Q68" s="2">
        <v>46051</v>
      </c>
    </row>
    <row r="69" spans="1:17" x14ac:dyDescent="0.45">
      <c r="A69" t="s">
        <v>154</v>
      </c>
      <c r="B69" t="s">
        <v>155</v>
      </c>
      <c r="C69" t="s">
        <v>14</v>
      </c>
      <c r="D69" t="s">
        <v>35</v>
      </c>
      <c r="E69" t="s">
        <v>29</v>
      </c>
      <c r="F69">
        <v>12.99</v>
      </c>
      <c r="G69">
        <v>13.03</v>
      </c>
      <c r="H69">
        <v>11.16</v>
      </c>
      <c r="I69" s="4" t="str">
        <f t="shared" si="4"/>
        <v>Admis</v>
      </c>
      <c r="J69" s="4" t="str">
        <f t="shared" si="5"/>
        <v>Non eligible</v>
      </c>
      <c r="K69">
        <v>13.55</v>
      </c>
      <c r="L69" s="6" t="str">
        <f t="shared" si="6"/>
        <v>RAS</v>
      </c>
      <c r="M69" s="6" t="str">
        <f t="shared" si="7"/>
        <v>Hors Data</v>
      </c>
      <c r="N69" s="8" t="str" cm="1">
        <f t="array" ref="N69">_xlfn.IFS(H69&gt;=16,"Excellent",H69&gt;=14,"Très bien",H69&gt;=12,"Bien",H69&gt;=10,"Passable",TRUE,"Insuffisant")</f>
        <v>Passable</v>
      </c>
      <c r="O69">
        <v>0.80720000000000003</v>
      </c>
      <c r="P69">
        <v>120000</v>
      </c>
      <c r="Q69" s="2">
        <v>45565</v>
      </c>
    </row>
    <row r="70" spans="1:17" x14ac:dyDescent="0.45">
      <c r="A70" t="s">
        <v>156</v>
      </c>
      <c r="B70" t="s">
        <v>109</v>
      </c>
      <c r="C70" t="s">
        <v>14</v>
      </c>
      <c r="D70" t="s">
        <v>32</v>
      </c>
      <c r="E70" t="s">
        <v>29</v>
      </c>
      <c r="F70">
        <v>16.13</v>
      </c>
      <c r="G70">
        <v>12.81</v>
      </c>
      <c r="H70">
        <v>14.09</v>
      </c>
      <c r="I70" s="4" t="str">
        <f t="shared" si="4"/>
        <v>Admis</v>
      </c>
      <c r="J70" s="4" t="str">
        <f t="shared" si="5"/>
        <v>Eligible</v>
      </c>
      <c r="K70">
        <v>11.94</v>
      </c>
      <c r="L70" s="6" t="str">
        <f t="shared" si="6"/>
        <v>RAS</v>
      </c>
      <c r="M70" s="6" t="str">
        <f t="shared" si="7"/>
        <v>Hors Data</v>
      </c>
      <c r="N70" s="8" t="str" cm="1">
        <f t="array" ref="N70">_xlfn.IFS(H70&gt;=16,"Excellent",H70&gt;=14,"Très bien",H70&gt;=12,"Bien",H70&gt;=10,"Passable",TRUE,"Insuffisant")</f>
        <v>Très bien</v>
      </c>
      <c r="O70">
        <v>0.86950000000000005</v>
      </c>
      <c r="P70">
        <v>75000</v>
      </c>
      <c r="Q70" s="2">
        <v>45792</v>
      </c>
    </row>
    <row r="71" spans="1:17" x14ac:dyDescent="0.45">
      <c r="A71" t="s">
        <v>157</v>
      </c>
      <c r="B71" t="s">
        <v>158</v>
      </c>
      <c r="C71" t="s">
        <v>14</v>
      </c>
      <c r="D71" t="s">
        <v>15</v>
      </c>
      <c r="E71" t="s">
        <v>29</v>
      </c>
      <c r="F71">
        <v>14.26</v>
      </c>
      <c r="G71">
        <v>18.48</v>
      </c>
      <c r="H71">
        <v>15.37</v>
      </c>
      <c r="I71" s="4" t="str">
        <f t="shared" si="4"/>
        <v>Admis</v>
      </c>
      <c r="J71" s="4" t="str">
        <f t="shared" si="5"/>
        <v>Non eligible</v>
      </c>
      <c r="K71">
        <v>13.49</v>
      </c>
      <c r="L71" s="6" t="str">
        <f t="shared" si="6"/>
        <v>RAS</v>
      </c>
      <c r="M71" s="6" t="str">
        <f t="shared" si="7"/>
        <v>Hors Data</v>
      </c>
      <c r="N71" s="8" t="str" cm="1">
        <f t="array" ref="N71">_xlfn.IFS(H71&gt;=16,"Excellent",H71&gt;=14,"Très bien",H71&gt;=12,"Bien",H71&gt;=10,"Passable",TRUE,"Insuffisant")</f>
        <v>Très bien</v>
      </c>
      <c r="O71">
        <v>0.72430000000000005</v>
      </c>
      <c r="P71">
        <v>100000</v>
      </c>
      <c r="Q71" s="2">
        <v>45847</v>
      </c>
    </row>
    <row r="72" spans="1:17" x14ac:dyDescent="0.45">
      <c r="A72" t="s">
        <v>159</v>
      </c>
      <c r="B72" t="s">
        <v>160</v>
      </c>
      <c r="C72" t="s">
        <v>19</v>
      </c>
      <c r="D72" t="s">
        <v>32</v>
      </c>
      <c r="E72" t="s">
        <v>21</v>
      </c>
      <c r="F72">
        <v>12.56</v>
      </c>
      <c r="G72">
        <v>8.91</v>
      </c>
      <c r="H72">
        <v>7.47</v>
      </c>
      <c r="I72" s="4" t="str">
        <f t="shared" si="4"/>
        <v>Non admis</v>
      </c>
      <c r="J72" s="4" t="str">
        <f t="shared" si="5"/>
        <v>Non eligible</v>
      </c>
      <c r="K72">
        <v>10.68</v>
      </c>
      <c r="L72" s="6" t="str">
        <f t="shared" si="6"/>
        <v>A surveiller</v>
      </c>
      <c r="M72" s="6" t="str">
        <f t="shared" si="7"/>
        <v>Hors Data</v>
      </c>
      <c r="N72" s="8" t="str" cm="1">
        <f t="array" ref="N72">_xlfn.IFS(H72&gt;=16,"Excellent",H72&gt;=14,"Très bien",H72&gt;=12,"Bien",H72&gt;=10,"Passable",TRUE,"Insuffisant")</f>
        <v>Insuffisant</v>
      </c>
      <c r="O72">
        <v>0.7157</v>
      </c>
      <c r="P72">
        <v>100000</v>
      </c>
      <c r="Q72" s="2">
        <v>46207</v>
      </c>
    </row>
    <row r="73" spans="1:17" x14ac:dyDescent="0.45">
      <c r="A73" t="s">
        <v>161</v>
      </c>
      <c r="B73" t="s">
        <v>162</v>
      </c>
      <c r="C73" t="s">
        <v>14</v>
      </c>
      <c r="D73" t="s">
        <v>28</v>
      </c>
      <c r="E73" t="s">
        <v>21</v>
      </c>
      <c r="F73">
        <v>13.48</v>
      </c>
      <c r="G73">
        <v>16.010000000000002</v>
      </c>
      <c r="H73">
        <v>17.98</v>
      </c>
      <c r="I73" s="4" t="str">
        <f t="shared" si="4"/>
        <v>Admis</v>
      </c>
      <c r="J73" s="4" t="str">
        <f t="shared" si="5"/>
        <v>Eligible</v>
      </c>
      <c r="K73">
        <v>16.399999999999999</v>
      </c>
      <c r="L73" s="6" t="str">
        <f t="shared" si="6"/>
        <v>RAS</v>
      </c>
      <c r="M73" s="6" t="str">
        <f t="shared" si="7"/>
        <v>Hors Data</v>
      </c>
      <c r="N73" s="8" t="str" cm="1">
        <f t="array" ref="N73">_xlfn.IFS(H73&gt;=16,"Excellent",H73&gt;=14,"Très bien",H73&gt;=12,"Bien",H73&gt;=10,"Passable",TRUE,"Insuffisant")</f>
        <v>Excellent</v>
      </c>
      <c r="O73">
        <v>0.88990000000000002</v>
      </c>
      <c r="P73">
        <v>70000</v>
      </c>
      <c r="Q73" s="2">
        <v>45918</v>
      </c>
    </row>
    <row r="74" spans="1:17" x14ac:dyDescent="0.45">
      <c r="A74" t="s">
        <v>163</v>
      </c>
      <c r="B74" t="s">
        <v>164</v>
      </c>
      <c r="C74" t="s">
        <v>14</v>
      </c>
      <c r="D74" t="s">
        <v>20</v>
      </c>
      <c r="E74" t="s">
        <v>16</v>
      </c>
      <c r="F74">
        <v>14.73</v>
      </c>
      <c r="G74">
        <v>14.56</v>
      </c>
      <c r="H74">
        <v>16.13</v>
      </c>
      <c r="I74" s="4" t="str">
        <f t="shared" si="4"/>
        <v>Admis</v>
      </c>
      <c r="J74" s="4" t="str">
        <f t="shared" si="5"/>
        <v>Non eligible</v>
      </c>
      <c r="K74">
        <v>14.69</v>
      </c>
      <c r="L74" s="6" t="str">
        <f t="shared" si="6"/>
        <v>RAS</v>
      </c>
      <c r="M74" s="6" t="str">
        <f t="shared" si="7"/>
        <v>Data</v>
      </c>
      <c r="N74" s="8" t="str" cm="1">
        <f t="array" ref="N74">_xlfn.IFS(H74&gt;=16,"Excellent",H74&gt;=14,"Très bien",H74&gt;=12,"Bien",H74&gt;=10,"Passable",TRUE,"Insuffisant")</f>
        <v>Excellent</v>
      </c>
      <c r="O74">
        <v>0.76880000000000004</v>
      </c>
      <c r="P74">
        <v>130000</v>
      </c>
      <c r="Q74" s="2">
        <v>45911</v>
      </c>
    </row>
    <row r="75" spans="1:17" x14ac:dyDescent="0.45">
      <c r="A75" t="s">
        <v>165</v>
      </c>
      <c r="B75" t="s">
        <v>127</v>
      </c>
      <c r="C75" t="s">
        <v>14</v>
      </c>
      <c r="D75" t="s">
        <v>35</v>
      </c>
      <c r="E75" t="s">
        <v>16</v>
      </c>
      <c r="F75">
        <v>9.31</v>
      </c>
      <c r="G75">
        <v>9.74</v>
      </c>
      <c r="H75">
        <v>10.34</v>
      </c>
      <c r="I75" s="4" t="str">
        <f t="shared" si="4"/>
        <v>Admis</v>
      </c>
      <c r="J75" s="4" t="str">
        <f t="shared" si="5"/>
        <v>Non eligible</v>
      </c>
      <c r="K75">
        <v>10.8</v>
      </c>
      <c r="L75" s="6" t="str">
        <f t="shared" si="6"/>
        <v>A surveiller</v>
      </c>
      <c r="M75" s="6" t="str">
        <f t="shared" si="7"/>
        <v>Data</v>
      </c>
      <c r="N75" s="8" t="str" cm="1">
        <f t="array" ref="N75">_xlfn.IFS(H75&gt;=16,"Excellent",H75&gt;=14,"Très bien",H75&gt;=12,"Bien",H75&gt;=10,"Passable",TRUE,"Insuffisant")</f>
        <v>Passable</v>
      </c>
      <c r="O75">
        <v>0.90290000000000004</v>
      </c>
      <c r="P75">
        <v>130000</v>
      </c>
      <c r="Q75" s="2">
        <v>45638</v>
      </c>
    </row>
    <row r="76" spans="1:17" x14ac:dyDescent="0.45">
      <c r="A76" t="s">
        <v>166</v>
      </c>
      <c r="B76" t="s">
        <v>167</v>
      </c>
      <c r="C76" t="s">
        <v>19</v>
      </c>
      <c r="D76" t="s">
        <v>20</v>
      </c>
      <c r="E76" t="s">
        <v>16</v>
      </c>
      <c r="F76">
        <v>17.55</v>
      </c>
      <c r="G76">
        <v>17.57</v>
      </c>
      <c r="H76">
        <v>14.3</v>
      </c>
      <c r="I76" s="4" t="str">
        <f t="shared" si="4"/>
        <v>Admis</v>
      </c>
      <c r="J76" s="4" t="str">
        <f t="shared" si="5"/>
        <v>Eligible</v>
      </c>
      <c r="K76">
        <v>17.66</v>
      </c>
      <c r="L76" s="6" t="str">
        <f t="shared" si="6"/>
        <v>RAS</v>
      </c>
      <c r="M76" s="6" t="str">
        <f t="shared" si="7"/>
        <v>Data</v>
      </c>
      <c r="N76" s="8" t="str" cm="1">
        <f t="array" ref="N76">_xlfn.IFS(H76&gt;=16,"Excellent",H76&gt;=14,"Très bien",H76&gt;=12,"Bien",H76&gt;=10,"Passable",TRUE,"Insuffisant")</f>
        <v>Très bien</v>
      </c>
      <c r="O76">
        <v>0.96130000000000004</v>
      </c>
      <c r="P76">
        <v>60000</v>
      </c>
      <c r="Q76" s="2">
        <v>46091</v>
      </c>
    </row>
    <row r="77" spans="1:17" x14ac:dyDescent="0.45">
      <c r="A77" t="s">
        <v>168</v>
      </c>
      <c r="B77" t="s">
        <v>169</v>
      </c>
      <c r="C77" t="s">
        <v>14</v>
      </c>
      <c r="D77" t="s">
        <v>32</v>
      </c>
      <c r="E77" t="s">
        <v>21</v>
      </c>
      <c r="F77">
        <v>13.96</v>
      </c>
      <c r="G77">
        <v>18.23</v>
      </c>
      <c r="H77">
        <v>12.42</v>
      </c>
      <c r="I77" s="4" t="str">
        <f t="shared" si="4"/>
        <v>Admis</v>
      </c>
      <c r="J77" s="4" t="str">
        <f t="shared" si="5"/>
        <v>Non eligible</v>
      </c>
      <c r="K77">
        <v>17.739999999999998</v>
      </c>
      <c r="L77" s="6" t="str">
        <f t="shared" si="6"/>
        <v>RAS</v>
      </c>
      <c r="M77" s="6" t="str">
        <f t="shared" si="7"/>
        <v>Hors Data</v>
      </c>
      <c r="N77" s="8" t="str" cm="1">
        <f t="array" ref="N77">_xlfn.IFS(H77&gt;=16,"Excellent",H77&gt;=14,"Très bien",H77&gt;=12,"Bien",H77&gt;=10,"Passable",TRUE,"Insuffisant")</f>
        <v>Bien</v>
      </c>
      <c r="O77">
        <v>0.65480000000000005</v>
      </c>
      <c r="P77">
        <v>110000</v>
      </c>
      <c r="Q77" s="2">
        <v>45771</v>
      </c>
    </row>
    <row r="78" spans="1:17" x14ac:dyDescent="0.45">
      <c r="A78" t="s">
        <v>170</v>
      </c>
      <c r="B78" t="s">
        <v>103</v>
      </c>
      <c r="C78" t="s">
        <v>14</v>
      </c>
      <c r="D78" t="s">
        <v>32</v>
      </c>
      <c r="E78" t="s">
        <v>29</v>
      </c>
      <c r="F78">
        <v>16.010000000000002</v>
      </c>
      <c r="G78">
        <v>13.43</v>
      </c>
      <c r="H78">
        <v>14.48</v>
      </c>
      <c r="I78" s="4" t="str">
        <f t="shared" si="4"/>
        <v>Admis</v>
      </c>
      <c r="J78" s="4" t="str">
        <f t="shared" si="5"/>
        <v>Eligible</v>
      </c>
      <c r="K78">
        <v>13</v>
      </c>
      <c r="L78" s="6" t="str">
        <f t="shared" si="6"/>
        <v>RAS</v>
      </c>
      <c r="M78" s="6" t="str">
        <f t="shared" si="7"/>
        <v>Hors Data</v>
      </c>
      <c r="N78" s="8" t="str" cm="1">
        <f t="array" ref="N78">_xlfn.IFS(H78&gt;=16,"Excellent",H78&gt;=14,"Très bien",H78&gt;=12,"Bien",H78&gt;=10,"Passable",TRUE,"Insuffisant")</f>
        <v>Très bien</v>
      </c>
      <c r="O78">
        <v>0.92200000000000004</v>
      </c>
      <c r="P78">
        <v>80000</v>
      </c>
      <c r="Q78" s="2">
        <v>45600</v>
      </c>
    </row>
    <row r="79" spans="1:17" x14ac:dyDescent="0.45">
      <c r="A79" t="s">
        <v>171</v>
      </c>
      <c r="B79" t="s">
        <v>172</v>
      </c>
      <c r="C79" t="s">
        <v>14</v>
      </c>
      <c r="D79" t="s">
        <v>35</v>
      </c>
      <c r="E79" t="s">
        <v>21</v>
      </c>
      <c r="F79">
        <v>10.82</v>
      </c>
      <c r="G79">
        <v>13.48</v>
      </c>
      <c r="H79">
        <v>15.12</v>
      </c>
      <c r="I79" s="4" t="str">
        <f t="shared" si="4"/>
        <v>Admis</v>
      </c>
      <c r="J79" s="4" t="str">
        <f t="shared" si="5"/>
        <v>Non eligible</v>
      </c>
      <c r="K79">
        <v>8.9700000000000006</v>
      </c>
      <c r="L79" s="6" t="str">
        <f t="shared" si="6"/>
        <v>RAS</v>
      </c>
      <c r="M79" s="6" t="str">
        <f t="shared" si="7"/>
        <v>Hors Data</v>
      </c>
      <c r="N79" s="8" t="str" cm="1">
        <f t="array" ref="N79">_xlfn.IFS(H79&gt;=16,"Excellent",H79&gt;=14,"Très bien",H79&gt;=12,"Bien",H79&gt;=10,"Passable",TRUE,"Insuffisant")</f>
        <v>Très bien</v>
      </c>
      <c r="O79">
        <v>0.83409999999999995</v>
      </c>
      <c r="P79">
        <v>100000</v>
      </c>
      <c r="Q79" s="2">
        <v>46227</v>
      </c>
    </row>
    <row r="80" spans="1:17" x14ac:dyDescent="0.45">
      <c r="A80" t="s">
        <v>173</v>
      </c>
      <c r="B80" t="s">
        <v>174</v>
      </c>
      <c r="C80" t="s">
        <v>19</v>
      </c>
      <c r="D80" t="s">
        <v>15</v>
      </c>
      <c r="E80" t="s">
        <v>42</v>
      </c>
      <c r="F80">
        <v>9.67</v>
      </c>
      <c r="G80">
        <v>11.6</v>
      </c>
      <c r="H80">
        <v>11.74</v>
      </c>
      <c r="I80" s="4" t="str">
        <f t="shared" si="4"/>
        <v>Admis</v>
      </c>
      <c r="J80" s="4" t="str">
        <f t="shared" si="5"/>
        <v>Non eligible</v>
      </c>
      <c r="K80">
        <v>11.16</v>
      </c>
      <c r="L80" s="6" t="str">
        <f t="shared" si="6"/>
        <v>A surveiller</v>
      </c>
      <c r="M80" s="6" t="str">
        <f t="shared" si="7"/>
        <v>Hors Data</v>
      </c>
      <c r="N80" s="8" t="str" cm="1">
        <f t="array" ref="N80">_xlfn.IFS(H80&gt;=16,"Excellent",H80&gt;=14,"Très bien",H80&gt;=12,"Bien",H80&gt;=10,"Passable",TRUE,"Insuffisant")</f>
        <v>Passable</v>
      </c>
      <c r="O80">
        <v>0.87749999999999995</v>
      </c>
      <c r="P80">
        <v>90000</v>
      </c>
      <c r="Q80" s="2">
        <v>45669</v>
      </c>
    </row>
    <row r="81" spans="1:17" x14ac:dyDescent="0.45">
      <c r="A81" t="s">
        <v>175</v>
      </c>
      <c r="B81" t="s">
        <v>176</v>
      </c>
      <c r="C81" t="s">
        <v>19</v>
      </c>
      <c r="D81" t="s">
        <v>47</v>
      </c>
      <c r="E81" t="s">
        <v>42</v>
      </c>
      <c r="F81">
        <v>9.24</v>
      </c>
      <c r="G81">
        <v>10.43</v>
      </c>
      <c r="H81">
        <v>9.15</v>
      </c>
      <c r="I81" s="4" t="str">
        <f t="shared" si="4"/>
        <v>Non admis</v>
      </c>
      <c r="J81" s="4" t="str">
        <f t="shared" si="5"/>
        <v>Non eligible</v>
      </c>
      <c r="K81">
        <v>12.93</v>
      </c>
      <c r="L81" s="6" t="str">
        <f t="shared" si="6"/>
        <v>A surveiller</v>
      </c>
      <c r="M81" s="6" t="str">
        <f t="shared" si="7"/>
        <v>Hors Data</v>
      </c>
      <c r="N81" s="8" t="str" cm="1">
        <f t="array" ref="N81">_xlfn.IFS(H81&gt;=16,"Excellent",H81&gt;=14,"Très bien",H81&gt;=12,"Bien",H81&gt;=10,"Passable",TRUE,"Insuffisant")</f>
        <v>Insuffisant</v>
      </c>
      <c r="O81">
        <v>0.95140000000000002</v>
      </c>
      <c r="P81">
        <v>70000</v>
      </c>
      <c r="Q81" s="2">
        <v>45547</v>
      </c>
    </row>
    <row r="82" spans="1:17" x14ac:dyDescent="0.45">
      <c r="A82" t="s">
        <v>177</v>
      </c>
      <c r="B82" t="s">
        <v>178</v>
      </c>
      <c r="C82" t="s">
        <v>19</v>
      </c>
      <c r="D82" t="s">
        <v>20</v>
      </c>
      <c r="E82" t="s">
        <v>29</v>
      </c>
      <c r="F82">
        <v>15.58</v>
      </c>
      <c r="G82">
        <v>14.85</v>
      </c>
      <c r="H82">
        <v>15.71</v>
      </c>
      <c r="I82" s="4" t="str">
        <f t="shared" si="4"/>
        <v>Admis</v>
      </c>
      <c r="J82" s="4" t="str">
        <f t="shared" si="5"/>
        <v>Eligible</v>
      </c>
      <c r="K82">
        <v>11.71</v>
      </c>
      <c r="L82" s="6" t="str">
        <f t="shared" si="6"/>
        <v>RAS</v>
      </c>
      <c r="M82" s="6" t="str">
        <f t="shared" si="7"/>
        <v>Hors Data</v>
      </c>
      <c r="N82" s="8" t="str" cm="1">
        <f t="array" ref="N82">_xlfn.IFS(H82&gt;=16,"Excellent",H82&gt;=14,"Très bien",H82&gt;=12,"Bien",H82&gt;=10,"Passable",TRUE,"Insuffisant")</f>
        <v>Très bien</v>
      </c>
      <c r="O82">
        <v>0.84179999999999999</v>
      </c>
      <c r="P82">
        <v>60000</v>
      </c>
      <c r="Q82" s="2">
        <v>45590</v>
      </c>
    </row>
    <row r="83" spans="1:17" x14ac:dyDescent="0.45">
      <c r="A83" t="s">
        <v>179</v>
      </c>
      <c r="B83" t="s">
        <v>180</v>
      </c>
      <c r="C83" t="s">
        <v>14</v>
      </c>
      <c r="D83" t="s">
        <v>28</v>
      </c>
      <c r="E83" t="s">
        <v>29</v>
      </c>
      <c r="F83">
        <v>12.79</v>
      </c>
      <c r="G83">
        <v>10.57</v>
      </c>
      <c r="H83">
        <v>10.91</v>
      </c>
      <c r="I83" s="4" t="str">
        <f t="shared" si="4"/>
        <v>Admis</v>
      </c>
      <c r="J83" s="4" t="str">
        <f t="shared" si="5"/>
        <v>Non eligible</v>
      </c>
      <c r="K83">
        <v>8.76</v>
      </c>
      <c r="L83" s="6" t="str">
        <f t="shared" si="6"/>
        <v>RAS</v>
      </c>
      <c r="M83" s="6" t="str">
        <f t="shared" si="7"/>
        <v>Hors Data</v>
      </c>
      <c r="N83" s="8" t="str" cm="1">
        <f t="array" ref="N83">_xlfn.IFS(H83&gt;=16,"Excellent",H83&gt;=14,"Très bien",H83&gt;=12,"Bien",H83&gt;=10,"Passable",TRUE,"Insuffisant")</f>
        <v>Passable</v>
      </c>
      <c r="O83">
        <v>0.93310000000000004</v>
      </c>
      <c r="P83">
        <v>85000</v>
      </c>
      <c r="Q83" s="2">
        <v>45852</v>
      </c>
    </row>
    <row r="84" spans="1:17" x14ac:dyDescent="0.45">
      <c r="A84" t="s">
        <v>181</v>
      </c>
      <c r="B84" t="s">
        <v>182</v>
      </c>
      <c r="C84" t="s">
        <v>14</v>
      </c>
      <c r="D84" t="s">
        <v>47</v>
      </c>
      <c r="E84" t="s">
        <v>16</v>
      </c>
      <c r="F84">
        <v>15.33</v>
      </c>
      <c r="G84">
        <v>13.59</v>
      </c>
      <c r="H84">
        <v>16.829999999999998</v>
      </c>
      <c r="I84" s="4" t="str">
        <f t="shared" si="4"/>
        <v>Admis</v>
      </c>
      <c r="J84" s="4" t="str">
        <f t="shared" si="5"/>
        <v>Eligible</v>
      </c>
      <c r="K84">
        <v>13.04</v>
      </c>
      <c r="L84" s="6" t="str">
        <f t="shared" si="6"/>
        <v>RAS</v>
      </c>
      <c r="M84" s="6" t="str">
        <f t="shared" si="7"/>
        <v>Data</v>
      </c>
      <c r="N84" s="8" t="str" cm="1">
        <f t="array" ref="N84">_xlfn.IFS(H84&gt;=16,"Excellent",H84&gt;=14,"Très bien",H84&gt;=12,"Bien",H84&gt;=10,"Passable",TRUE,"Insuffisant")</f>
        <v>Excellent</v>
      </c>
      <c r="O84">
        <v>0.93730000000000002</v>
      </c>
      <c r="P84">
        <v>120000</v>
      </c>
      <c r="Q84" s="2">
        <v>45608</v>
      </c>
    </row>
    <row r="85" spans="1:17" x14ac:dyDescent="0.45">
      <c r="A85" t="s">
        <v>183</v>
      </c>
      <c r="B85" t="s">
        <v>53</v>
      </c>
      <c r="C85" t="s">
        <v>19</v>
      </c>
      <c r="D85" t="s">
        <v>20</v>
      </c>
      <c r="E85" t="s">
        <v>42</v>
      </c>
      <c r="F85">
        <v>14.95</v>
      </c>
      <c r="G85">
        <v>11.37</v>
      </c>
      <c r="H85">
        <v>11.56</v>
      </c>
      <c r="I85" s="4" t="str">
        <f t="shared" si="4"/>
        <v>Admis</v>
      </c>
      <c r="J85" s="4" t="str">
        <f t="shared" si="5"/>
        <v>Non eligible</v>
      </c>
      <c r="K85">
        <v>9.4700000000000006</v>
      </c>
      <c r="L85" s="6" t="str">
        <f t="shared" si="6"/>
        <v>RAS</v>
      </c>
      <c r="M85" s="6" t="str">
        <f t="shared" si="7"/>
        <v>Hors Data</v>
      </c>
      <c r="N85" s="8" t="str" cm="1">
        <f t="array" ref="N85">_xlfn.IFS(H85&gt;=16,"Excellent",H85&gt;=14,"Très bien",H85&gt;=12,"Bien",H85&gt;=10,"Passable",TRUE,"Insuffisant")</f>
        <v>Passable</v>
      </c>
      <c r="O85">
        <v>0.83599999999999997</v>
      </c>
      <c r="P85">
        <v>120000</v>
      </c>
      <c r="Q85" s="2">
        <v>46125</v>
      </c>
    </row>
    <row r="86" spans="1:17" x14ac:dyDescent="0.45">
      <c r="A86" t="s">
        <v>184</v>
      </c>
      <c r="B86" t="s">
        <v>185</v>
      </c>
      <c r="C86" t="s">
        <v>19</v>
      </c>
      <c r="D86" t="s">
        <v>28</v>
      </c>
      <c r="E86" t="s">
        <v>29</v>
      </c>
      <c r="F86">
        <v>16.07</v>
      </c>
      <c r="G86">
        <v>13.84</v>
      </c>
      <c r="H86">
        <v>6.56</v>
      </c>
      <c r="I86" s="4" t="str">
        <f t="shared" si="4"/>
        <v>Non admis</v>
      </c>
      <c r="J86" s="4" t="str">
        <f t="shared" si="5"/>
        <v>Non eligible</v>
      </c>
      <c r="K86">
        <v>11.15</v>
      </c>
      <c r="L86" s="6" t="str">
        <f t="shared" si="6"/>
        <v>A surveiller</v>
      </c>
      <c r="M86" s="6" t="str">
        <f t="shared" si="7"/>
        <v>Hors Data</v>
      </c>
      <c r="N86" s="8" t="str" cm="1">
        <f t="array" ref="N86">_xlfn.IFS(H86&gt;=16,"Excellent",H86&gt;=14,"Très bien",H86&gt;=12,"Bien",H86&gt;=10,"Passable",TRUE,"Insuffisant")</f>
        <v>Insuffisant</v>
      </c>
      <c r="O86">
        <v>0.84530000000000005</v>
      </c>
      <c r="P86">
        <v>75000</v>
      </c>
      <c r="Q86" s="2">
        <v>45894</v>
      </c>
    </row>
    <row r="87" spans="1:17" x14ac:dyDescent="0.45">
      <c r="A87" t="s">
        <v>186</v>
      </c>
      <c r="B87" t="s">
        <v>73</v>
      </c>
      <c r="C87" t="s">
        <v>19</v>
      </c>
      <c r="D87" t="s">
        <v>28</v>
      </c>
      <c r="E87" t="s">
        <v>29</v>
      </c>
      <c r="F87">
        <v>13.13</v>
      </c>
      <c r="G87">
        <v>10.71</v>
      </c>
      <c r="H87">
        <v>15.21</v>
      </c>
      <c r="I87" s="4" t="str">
        <f t="shared" si="4"/>
        <v>Admis</v>
      </c>
      <c r="J87" s="4" t="str">
        <f t="shared" si="5"/>
        <v>Non eligible</v>
      </c>
      <c r="K87">
        <v>15.26</v>
      </c>
      <c r="L87" s="6" t="str">
        <f t="shared" si="6"/>
        <v>RAS</v>
      </c>
      <c r="M87" s="6" t="str">
        <f t="shared" si="7"/>
        <v>Hors Data</v>
      </c>
      <c r="N87" s="8" t="str" cm="1">
        <f t="array" ref="N87">_xlfn.IFS(H87&gt;=16,"Excellent",H87&gt;=14,"Très bien",H87&gt;=12,"Bien",H87&gt;=10,"Passable",TRUE,"Insuffisant")</f>
        <v>Très bien</v>
      </c>
      <c r="O87">
        <v>0.74470000000000003</v>
      </c>
      <c r="P87">
        <v>120000</v>
      </c>
      <c r="Q87" s="2">
        <v>45762</v>
      </c>
    </row>
    <row r="88" spans="1:17" x14ac:dyDescent="0.45">
      <c r="A88" t="s">
        <v>187</v>
      </c>
      <c r="B88" t="s">
        <v>188</v>
      </c>
      <c r="C88" t="s">
        <v>14</v>
      </c>
      <c r="D88" t="s">
        <v>35</v>
      </c>
      <c r="E88" t="s">
        <v>16</v>
      </c>
      <c r="F88">
        <v>19.649999999999999</v>
      </c>
      <c r="G88">
        <v>17.11</v>
      </c>
      <c r="H88">
        <v>18.34</v>
      </c>
      <c r="I88" s="4" t="str">
        <f t="shared" si="4"/>
        <v>Admis</v>
      </c>
      <c r="J88" s="4" t="str">
        <f t="shared" si="5"/>
        <v>Non eligible</v>
      </c>
      <c r="K88">
        <v>16.72</v>
      </c>
      <c r="L88" s="6" t="str">
        <f t="shared" si="6"/>
        <v>RAS</v>
      </c>
      <c r="M88" s="6" t="str">
        <f t="shared" si="7"/>
        <v>Data</v>
      </c>
      <c r="N88" s="8" t="str" cm="1">
        <f t="array" ref="N88">_xlfn.IFS(H88&gt;=16,"Excellent",H88&gt;=14,"Très bien",H88&gt;=12,"Bien",H88&gt;=10,"Passable",TRUE,"Insuffisant")</f>
        <v>Excellent</v>
      </c>
      <c r="O88">
        <v>0.67400000000000004</v>
      </c>
      <c r="P88">
        <v>75000</v>
      </c>
      <c r="Q88" s="2">
        <v>45538</v>
      </c>
    </row>
    <row r="89" spans="1:17" x14ac:dyDescent="0.45">
      <c r="A89" t="s">
        <v>189</v>
      </c>
      <c r="B89" t="s">
        <v>190</v>
      </c>
      <c r="C89" t="s">
        <v>14</v>
      </c>
      <c r="D89" t="s">
        <v>15</v>
      </c>
      <c r="E89" t="s">
        <v>21</v>
      </c>
      <c r="F89">
        <v>10.68</v>
      </c>
      <c r="G89">
        <v>10.98</v>
      </c>
      <c r="H89">
        <v>6.72</v>
      </c>
      <c r="I89" s="4" t="str">
        <f t="shared" si="4"/>
        <v>Non admis</v>
      </c>
      <c r="J89" s="4" t="str">
        <f t="shared" si="5"/>
        <v>Non eligible</v>
      </c>
      <c r="K89">
        <v>6.07</v>
      </c>
      <c r="L89" s="6" t="str">
        <f t="shared" si="6"/>
        <v>A surveiller</v>
      </c>
      <c r="M89" s="6" t="str">
        <f t="shared" si="7"/>
        <v>Hors Data</v>
      </c>
      <c r="N89" s="8" t="str" cm="1">
        <f t="array" ref="N89">_xlfn.IFS(H89&gt;=16,"Excellent",H89&gt;=14,"Très bien",H89&gt;=12,"Bien",H89&gt;=10,"Passable",TRUE,"Insuffisant")</f>
        <v>Insuffisant</v>
      </c>
      <c r="O89">
        <v>0.76039999999999996</v>
      </c>
      <c r="P89">
        <v>90000</v>
      </c>
      <c r="Q89" s="2">
        <v>45871</v>
      </c>
    </row>
    <row r="90" spans="1:17" x14ac:dyDescent="0.45">
      <c r="A90" t="s">
        <v>191</v>
      </c>
      <c r="B90" t="s">
        <v>192</v>
      </c>
      <c r="C90" t="s">
        <v>19</v>
      </c>
      <c r="D90" t="s">
        <v>15</v>
      </c>
      <c r="E90" t="s">
        <v>21</v>
      </c>
      <c r="F90">
        <v>15.78</v>
      </c>
      <c r="G90">
        <v>16.23</v>
      </c>
      <c r="H90">
        <v>17.41</v>
      </c>
      <c r="I90" s="4" t="str">
        <f t="shared" si="4"/>
        <v>Admis</v>
      </c>
      <c r="J90" s="4" t="str">
        <f t="shared" si="5"/>
        <v>Eligible</v>
      </c>
      <c r="K90">
        <v>16.79</v>
      </c>
      <c r="L90" s="6" t="str">
        <f t="shared" si="6"/>
        <v>RAS</v>
      </c>
      <c r="M90" s="6" t="str">
        <f t="shared" si="7"/>
        <v>Hors Data</v>
      </c>
      <c r="N90" s="8" t="str" cm="1">
        <f t="array" ref="N90">_xlfn.IFS(H90&gt;=16,"Excellent",H90&gt;=14,"Très bien",H90&gt;=12,"Bien",H90&gt;=10,"Passable",TRUE,"Insuffisant")</f>
        <v>Excellent</v>
      </c>
      <c r="O90">
        <v>0.84550000000000003</v>
      </c>
      <c r="P90">
        <v>75000</v>
      </c>
      <c r="Q90" s="2">
        <v>45641</v>
      </c>
    </row>
    <row r="91" spans="1:17" x14ac:dyDescent="0.45">
      <c r="A91" t="s">
        <v>193</v>
      </c>
      <c r="B91" t="s">
        <v>194</v>
      </c>
      <c r="C91" t="s">
        <v>19</v>
      </c>
      <c r="D91" t="s">
        <v>28</v>
      </c>
      <c r="E91" t="s">
        <v>29</v>
      </c>
      <c r="F91">
        <v>16.489999999999998</v>
      </c>
      <c r="G91">
        <v>14.98</v>
      </c>
      <c r="H91">
        <v>15.02</v>
      </c>
      <c r="I91" s="4" t="str">
        <f t="shared" si="4"/>
        <v>Admis</v>
      </c>
      <c r="J91" s="4" t="str">
        <f t="shared" si="5"/>
        <v>Non eligible</v>
      </c>
      <c r="K91">
        <v>13.43</v>
      </c>
      <c r="L91" s="6" t="str">
        <f t="shared" si="6"/>
        <v>RAS</v>
      </c>
      <c r="M91" s="6" t="str">
        <f t="shared" si="7"/>
        <v>Hors Data</v>
      </c>
      <c r="N91" s="8" t="str" cm="1">
        <f t="array" ref="N91">_xlfn.IFS(H91&gt;=16,"Excellent",H91&gt;=14,"Très bien",H91&gt;=12,"Bien",H91&gt;=10,"Passable",TRUE,"Insuffisant")</f>
        <v>Très bien</v>
      </c>
      <c r="O91">
        <v>0.67589999999999995</v>
      </c>
      <c r="P91">
        <v>85000</v>
      </c>
      <c r="Q91" s="2">
        <v>46220</v>
      </c>
    </row>
    <row r="92" spans="1:17" x14ac:dyDescent="0.45">
      <c r="A92" t="s">
        <v>195</v>
      </c>
      <c r="B92" t="s">
        <v>196</v>
      </c>
      <c r="C92" t="s">
        <v>14</v>
      </c>
      <c r="D92" t="s">
        <v>32</v>
      </c>
      <c r="E92" t="s">
        <v>42</v>
      </c>
      <c r="F92">
        <v>15.45</v>
      </c>
      <c r="G92">
        <v>16.77</v>
      </c>
      <c r="H92">
        <v>11.24</v>
      </c>
      <c r="I92" s="4" t="str">
        <f t="shared" si="4"/>
        <v>Admis</v>
      </c>
      <c r="J92" s="4" t="str">
        <f t="shared" si="5"/>
        <v>Non eligible</v>
      </c>
      <c r="K92">
        <v>11.35</v>
      </c>
      <c r="L92" s="6" t="str">
        <f t="shared" si="6"/>
        <v>RAS</v>
      </c>
      <c r="M92" s="6" t="str">
        <f t="shared" si="7"/>
        <v>Hors Data</v>
      </c>
      <c r="N92" s="8" t="str" cm="1">
        <f t="array" ref="N92">_xlfn.IFS(H92&gt;=16,"Excellent",H92&gt;=14,"Très bien",H92&gt;=12,"Bien",H92&gt;=10,"Passable",TRUE,"Insuffisant")</f>
        <v>Passable</v>
      </c>
      <c r="O92">
        <v>0.89300000000000002</v>
      </c>
      <c r="P92">
        <v>85000</v>
      </c>
      <c r="Q92" s="2">
        <v>45739</v>
      </c>
    </row>
    <row r="93" spans="1:17" x14ac:dyDescent="0.45">
      <c r="A93" t="s">
        <v>197</v>
      </c>
      <c r="B93" t="s">
        <v>198</v>
      </c>
      <c r="C93" t="s">
        <v>19</v>
      </c>
      <c r="D93" t="s">
        <v>47</v>
      </c>
      <c r="E93" t="s">
        <v>21</v>
      </c>
      <c r="F93">
        <v>14.4</v>
      </c>
      <c r="G93">
        <v>11.44</v>
      </c>
      <c r="H93">
        <v>15.58</v>
      </c>
      <c r="I93" s="4" t="str">
        <f t="shared" si="4"/>
        <v>Admis</v>
      </c>
      <c r="J93" s="4" t="str">
        <f t="shared" si="5"/>
        <v>Eligible</v>
      </c>
      <c r="K93">
        <v>12.4</v>
      </c>
      <c r="L93" s="6" t="str">
        <f t="shared" si="6"/>
        <v>RAS</v>
      </c>
      <c r="M93" s="6" t="str">
        <f t="shared" si="7"/>
        <v>Hors Data</v>
      </c>
      <c r="N93" s="8" t="str" cm="1">
        <f t="array" ref="N93">_xlfn.IFS(H93&gt;=16,"Excellent",H93&gt;=14,"Très bien",H93&gt;=12,"Bien",H93&gt;=10,"Passable",TRUE,"Insuffisant")</f>
        <v>Très bien</v>
      </c>
      <c r="O93">
        <v>0.94669999999999999</v>
      </c>
      <c r="P93">
        <v>100000</v>
      </c>
      <c r="Q93" s="2">
        <v>45868</v>
      </c>
    </row>
    <row r="94" spans="1:17" x14ac:dyDescent="0.45">
      <c r="A94" t="s">
        <v>199</v>
      </c>
      <c r="B94" t="s">
        <v>73</v>
      </c>
      <c r="C94" t="s">
        <v>19</v>
      </c>
      <c r="D94" t="s">
        <v>35</v>
      </c>
      <c r="E94" t="s">
        <v>42</v>
      </c>
      <c r="F94">
        <v>16.260000000000002</v>
      </c>
      <c r="G94">
        <v>12.04</v>
      </c>
      <c r="H94">
        <v>16.62</v>
      </c>
      <c r="I94" s="4" t="str">
        <f t="shared" si="4"/>
        <v>Admis</v>
      </c>
      <c r="J94" s="4" t="str">
        <f t="shared" si="5"/>
        <v>Eligible</v>
      </c>
      <c r="K94">
        <v>13.76</v>
      </c>
      <c r="L94" s="6" t="str">
        <f t="shared" si="6"/>
        <v>RAS</v>
      </c>
      <c r="M94" s="6" t="str">
        <f t="shared" si="7"/>
        <v>Hors Data</v>
      </c>
      <c r="N94" s="8" t="str" cm="1">
        <f t="array" ref="N94">_xlfn.IFS(H94&gt;=16,"Excellent",H94&gt;=14,"Très bien",H94&gt;=12,"Bien",H94&gt;=10,"Passable",TRUE,"Insuffisant")</f>
        <v>Excellent</v>
      </c>
      <c r="O94">
        <v>0.82809999999999995</v>
      </c>
      <c r="P94">
        <v>85000</v>
      </c>
      <c r="Q94" s="2">
        <v>45549</v>
      </c>
    </row>
    <row r="95" spans="1:17" x14ac:dyDescent="0.45">
      <c r="A95" t="s">
        <v>200</v>
      </c>
      <c r="B95" t="s">
        <v>201</v>
      </c>
      <c r="C95" t="s">
        <v>14</v>
      </c>
      <c r="D95" t="s">
        <v>32</v>
      </c>
      <c r="E95" t="s">
        <v>42</v>
      </c>
      <c r="F95">
        <v>16.86</v>
      </c>
      <c r="G95">
        <v>17.149999999999999</v>
      </c>
      <c r="H95">
        <v>13.37</v>
      </c>
      <c r="I95" s="4" t="str">
        <f t="shared" si="4"/>
        <v>Admis</v>
      </c>
      <c r="J95" s="4" t="str">
        <f t="shared" si="5"/>
        <v>Non eligible</v>
      </c>
      <c r="K95">
        <v>12.1</v>
      </c>
      <c r="L95" s="6" t="str">
        <f t="shared" si="6"/>
        <v>RAS</v>
      </c>
      <c r="M95" s="6" t="str">
        <f t="shared" si="7"/>
        <v>Hors Data</v>
      </c>
      <c r="N95" s="8" t="str" cm="1">
        <f t="array" ref="N95">_xlfn.IFS(H95&gt;=16,"Excellent",H95&gt;=14,"Très bien",H95&gt;=12,"Bien",H95&gt;=10,"Passable",TRUE,"Insuffisant")</f>
        <v>Bien</v>
      </c>
      <c r="O95">
        <v>0.73799999999999999</v>
      </c>
      <c r="P95">
        <v>85000</v>
      </c>
      <c r="Q95" s="2">
        <v>45627</v>
      </c>
    </row>
    <row r="96" spans="1:17" x14ac:dyDescent="0.45">
      <c r="A96" t="s">
        <v>202</v>
      </c>
      <c r="B96" t="s">
        <v>90</v>
      </c>
      <c r="C96" t="s">
        <v>19</v>
      </c>
      <c r="D96" t="s">
        <v>28</v>
      </c>
      <c r="E96" t="s">
        <v>29</v>
      </c>
      <c r="F96">
        <v>17.95</v>
      </c>
      <c r="G96">
        <v>18.739999999999998</v>
      </c>
      <c r="H96">
        <v>15.86</v>
      </c>
      <c r="I96" s="4" t="str">
        <f t="shared" si="4"/>
        <v>Admis</v>
      </c>
      <c r="J96" s="4" t="str">
        <f t="shared" si="5"/>
        <v>Eligible</v>
      </c>
      <c r="K96">
        <v>17.809999999999999</v>
      </c>
      <c r="L96" s="6" t="str">
        <f t="shared" si="6"/>
        <v>RAS</v>
      </c>
      <c r="M96" s="6" t="str">
        <f t="shared" si="7"/>
        <v>Hors Data</v>
      </c>
      <c r="N96" s="8" t="str" cm="1">
        <f t="array" ref="N96">_xlfn.IFS(H96&gt;=16,"Excellent",H96&gt;=14,"Très bien",H96&gt;=12,"Bien",H96&gt;=10,"Passable",TRUE,"Insuffisant")</f>
        <v>Très bien</v>
      </c>
      <c r="O96">
        <v>0.88939999999999997</v>
      </c>
      <c r="P96">
        <v>100000</v>
      </c>
      <c r="Q96" s="2">
        <v>45681</v>
      </c>
    </row>
    <row r="97" spans="1:17" x14ac:dyDescent="0.45">
      <c r="A97" t="s">
        <v>203</v>
      </c>
      <c r="B97" t="s">
        <v>204</v>
      </c>
      <c r="C97" t="s">
        <v>14</v>
      </c>
      <c r="D97" t="s">
        <v>32</v>
      </c>
      <c r="E97" t="s">
        <v>42</v>
      </c>
      <c r="F97">
        <v>11.97</v>
      </c>
      <c r="G97">
        <v>11.7</v>
      </c>
      <c r="H97">
        <v>10.27</v>
      </c>
      <c r="I97" s="4" t="str">
        <f t="shared" si="4"/>
        <v>Admis</v>
      </c>
      <c r="J97" s="4" t="str">
        <f t="shared" si="5"/>
        <v>Non eligible</v>
      </c>
      <c r="K97">
        <v>10.67</v>
      </c>
      <c r="L97" s="6" t="str">
        <f t="shared" si="6"/>
        <v>RAS</v>
      </c>
      <c r="M97" s="6" t="str">
        <f t="shared" si="7"/>
        <v>Hors Data</v>
      </c>
      <c r="N97" s="8" t="str" cm="1">
        <f t="array" ref="N97">_xlfn.IFS(H97&gt;=16,"Excellent",H97&gt;=14,"Très bien",H97&gt;=12,"Bien",H97&gt;=10,"Passable",TRUE,"Insuffisant")</f>
        <v>Passable</v>
      </c>
      <c r="O97">
        <v>0.83150000000000002</v>
      </c>
      <c r="P97">
        <v>80000</v>
      </c>
      <c r="Q97" s="2">
        <v>45572</v>
      </c>
    </row>
    <row r="98" spans="1:17" x14ac:dyDescent="0.45">
      <c r="A98" t="s">
        <v>205</v>
      </c>
      <c r="B98" t="s">
        <v>13</v>
      </c>
      <c r="C98" t="s">
        <v>14</v>
      </c>
      <c r="D98" t="s">
        <v>32</v>
      </c>
      <c r="E98" t="s">
        <v>42</v>
      </c>
      <c r="F98">
        <v>19.989999999999998</v>
      </c>
      <c r="G98">
        <v>15.02</v>
      </c>
      <c r="H98">
        <v>19.13</v>
      </c>
      <c r="I98" s="4" t="str">
        <f t="shared" si="4"/>
        <v>Admis</v>
      </c>
      <c r="J98" s="4" t="str">
        <f t="shared" si="5"/>
        <v>Eligible</v>
      </c>
      <c r="K98">
        <v>19.82</v>
      </c>
      <c r="L98" s="6" t="str">
        <f t="shared" si="6"/>
        <v>RAS</v>
      </c>
      <c r="M98" s="6" t="str">
        <f t="shared" si="7"/>
        <v>Hors Data</v>
      </c>
      <c r="N98" s="8" t="str" cm="1">
        <f t="array" ref="N98">_xlfn.IFS(H98&gt;=16,"Excellent",H98&gt;=14,"Très bien",H98&gt;=12,"Bien",H98&gt;=10,"Passable",TRUE,"Insuffisant")</f>
        <v>Excellent</v>
      </c>
      <c r="O98">
        <v>0.92949999999999999</v>
      </c>
      <c r="P98">
        <v>85000</v>
      </c>
      <c r="Q98" s="2">
        <v>46044</v>
      </c>
    </row>
    <row r="99" spans="1:17" x14ac:dyDescent="0.45">
      <c r="A99" t="s">
        <v>206</v>
      </c>
      <c r="B99" t="s">
        <v>207</v>
      </c>
      <c r="C99" t="s">
        <v>19</v>
      </c>
      <c r="D99" t="s">
        <v>28</v>
      </c>
      <c r="E99" t="s">
        <v>42</v>
      </c>
      <c r="F99">
        <v>13.82</v>
      </c>
      <c r="G99">
        <v>10.97</v>
      </c>
      <c r="H99">
        <v>8.57</v>
      </c>
      <c r="I99" s="4" t="str">
        <f t="shared" si="4"/>
        <v>Non admis</v>
      </c>
      <c r="J99" s="4" t="str">
        <f t="shared" si="5"/>
        <v>Non eligible</v>
      </c>
      <c r="K99">
        <v>12.67</v>
      </c>
      <c r="L99" s="6" t="str">
        <f t="shared" si="6"/>
        <v>A surveiller</v>
      </c>
      <c r="M99" s="6" t="str">
        <f t="shared" si="7"/>
        <v>Hors Data</v>
      </c>
      <c r="N99" s="8" t="str" cm="1">
        <f t="array" ref="N99">_xlfn.IFS(H99&gt;=16,"Excellent",H99&gt;=14,"Très bien",H99&gt;=12,"Bien",H99&gt;=10,"Passable",TRUE,"Insuffisant")</f>
        <v>Insuffisant</v>
      </c>
      <c r="O99">
        <v>0.94189999999999996</v>
      </c>
      <c r="P99">
        <v>50000</v>
      </c>
      <c r="Q99" s="2">
        <v>46197</v>
      </c>
    </row>
    <row r="100" spans="1:17" x14ac:dyDescent="0.45">
      <c r="A100" t="s">
        <v>208</v>
      </c>
      <c r="B100" t="s">
        <v>98</v>
      </c>
      <c r="C100" t="s">
        <v>19</v>
      </c>
      <c r="D100" t="s">
        <v>20</v>
      </c>
      <c r="E100" t="s">
        <v>42</v>
      </c>
      <c r="F100">
        <v>12.63</v>
      </c>
      <c r="G100">
        <v>11.11</v>
      </c>
      <c r="H100">
        <v>15.87</v>
      </c>
      <c r="I100" s="4" t="str">
        <f t="shared" si="4"/>
        <v>Admis</v>
      </c>
      <c r="J100" s="4" t="str">
        <f t="shared" si="5"/>
        <v>Eligible</v>
      </c>
      <c r="K100">
        <v>11.46</v>
      </c>
      <c r="L100" s="6" t="str">
        <f t="shared" si="6"/>
        <v>RAS</v>
      </c>
      <c r="M100" s="6" t="str">
        <f t="shared" si="7"/>
        <v>Hors Data</v>
      </c>
      <c r="N100" s="8" t="str" cm="1">
        <f t="array" ref="N100">_xlfn.IFS(H100&gt;=16,"Excellent",H100&gt;=14,"Très bien",H100&gt;=12,"Bien",H100&gt;=10,"Passable",TRUE,"Insuffisant")</f>
        <v>Très bien</v>
      </c>
      <c r="O100">
        <v>0.92549999999999999</v>
      </c>
      <c r="P100">
        <v>120000</v>
      </c>
      <c r="Q100" s="2">
        <v>46225</v>
      </c>
    </row>
    <row r="101" spans="1:17" x14ac:dyDescent="0.45">
      <c r="A101" t="s">
        <v>209</v>
      </c>
      <c r="B101" t="s">
        <v>210</v>
      </c>
      <c r="C101" t="s">
        <v>14</v>
      </c>
      <c r="D101" t="s">
        <v>15</v>
      </c>
      <c r="E101" t="s">
        <v>42</v>
      </c>
      <c r="F101">
        <v>10.51</v>
      </c>
      <c r="G101">
        <v>12.84</v>
      </c>
      <c r="H101">
        <v>10.34</v>
      </c>
      <c r="I101" s="4" t="str">
        <f t="shared" si="4"/>
        <v>Admis</v>
      </c>
      <c r="J101" s="4" t="str">
        <f t="shared" si="5"/>
        <v>Non eligible</v>
      </c>
      <c r="K101">
        <v>10.61</v>
      </c>
      <c r="L101" s="6" t="str">
        <f t="shared" si="6"/>
        <v>RAS</v>
      </c>
      <c r="M101" s="6" t="str">
        <f t="shared" si="7"/>
        <v>Hors Data</v>
      </c>
      <c r="N101" s="8" t="str" cm="1">
        <f t="array" ref="N101">_xlfn.IFS(H101&gt;=16,"Excellent",H101&gt;=14,"Très bien",H101&gt;=12,"Bien",H101&gt;=10,"Passable",TRUE,"Insuffisant")</f>
        <v>Passable</v>
      </c>
      <c r="O101">
        <v>0.78510000000000002</v>
      </c>
      <c r="P101">
        <v>60000</v>
      </c>
      <c r="Q101" s="2">
        <v>45722</v>
      </c>
    </row>
    <row r="102" spans="1:17" x14ac:dyDescent="0.45">
      <c r="A102" t="s">
        <v>211</v>
      </c>
      <c r="B102" t="s">
        <v>212</v>
      </c>
      <c r="C102" t="s">
        <v>19</v>
      </c>
      <c r="D102" t="s">
        <v>47</v>
      </c>
      <c r="E102" t="s">
        <v>16</v>
      </c>
      <c r="F102">
        <v>15.2</v>
      </c>
      <c r="G102">
        <v>13.47</v>
      </c>
      <c r="H102">
        <v>14.76</v>
      </c>
      <c r="I102" s="4" t="str">
        <f t="shared" si="4"/>
        <v>Admis</v>
      </c>
      <c r="J102" s="4" t="str">
        <f t="shared" si="5"/>
        <v>Eligible</v>
      </c>
      <c r="K102">
        <v>14.95</v>
      </c>
      <c r="L102" s="6" t="str">
        <f t="shared" si="6"/>
        <v>RAS</v>
      </c>
      <c r="M102" s="6" t="str">
        <f t="shared" si="7"/>
        <v>Data</v>
      </c>
      <c r="N102" s="8" t="str" cm="1">
        <f t="array" ref="N102">_xlfn.IFS(H102&gt;=16,"Excellent",H102&gt;=14,"Très bien",H102&gt;=12,"Bien",H102&gt;=10,"Passable",TRUE,"Insuffisant")</f>
        <v>Très bien</v>
      </c>
      <c r="O102">
        <v>0.80259999999999998</v>
      </c>
      <c r="P102">
        <v>120000</v>
      </c>
      <c r="Q102" s="2">
        <v>46088</v>
      </c>
    </row>
    <row r="103" spans="1:17" x14ac:dyDescent="0.45">
      <c r="A103" t="s">
        <v>213</v>
      </c>
      <c r="B103" t="s">
        <v>214</v>
      </c>
      <c r="C103" t="s">
        <v>14</v>
      </c>
      <c r="D103" t="s">
        <v>32</v>
      </c>
      <c r="E103" t="s">
        <v>21</v>
      </c>
      <c r="F103">
        <v>18.34</v>
      </c>
      <c r="G103">
        <v>20</v>
      </c>
      <c r="H103">
        <v>13.99</v>
      </c>
      <c r="I103" s="4" t="str">
        <f t="shared" si="4"/>
        <v>Admis</v>
      </c>
      <c r="J103" s="4" t="str">
        <f t="shared" si="5"/>
        <v>Non eligible</v>
      </c>
      <c r="K103">
        <v>20</v>
      </c>
      <c r="L103" s="6" t="str">
        <f t="shared" si="6"/>
        <v>RAS</v>
      </c>
      <c r="M103" s="6" t="str">
        <f t="shared" si="7"/>
        <v>Hors Data</v>
      </c>
      <c r="N103" s="8" t="str" cm="1">
        <f t="array" ref="N103">_xlfn.IFS(H103&gt;=16,"Excellent",H103&gt;=14,"Très bien",H103&gt;=12,"Bien",H103&gt;=10,"Passable",TRUE,"Insuffisant")</f>
        <v>Bien</v>
      </c>
      <c r="O103">
        <v>0.79849999999999999</v>
      </c>
      <c r="P103">
        <v>110000</v>
      </c>
      <c r="Q103" s="2">
        <v>45888</v>
      </c>
    </row>
    <row r="104" spans="1:17" x14ac:dyDescent="0.45">
      <c r="A104" t="s">
        <v>215</v>
      </c>
      <c r="B104" t="s">
        <v>31</v>
      </c>
      <c r="C104" t="s">
        <v>19</v>
      </c>
      <c r="D104" t="s">
        <v>47</v>
      </c>
      <c r="E104" t="s">
        <v>21</v>
      </c>
      <c r="F104">
        <v>10.3</v>
      </c>
      <c r="G104">
        <v>12.8</v>
      </c>
      <c r="H104">
        <v>13.16</v>
      </c>
      <c r="I104" s="4" t="str">
        <f t="shared" si="4"/>
        <v>Admis</v>
      </c>
      <c r="J104" s="4" t="str">
        <f t="shared" si="5"/>
        <v>Non eligible</v>
      </c>
      <c r="K104">
        <v>11.86</v>
      </c>
      <c r="L104" s="6" t="str">
        <f t="shared" si="6"/>
        <v>RAS</v>
      </c>
      <c r="M104" s="6" t="str">
        <f t="shared" si="7"/>
        <v>Hors Data</v>
      </c>
      <c r="N104" s="8" t="str" cm="1">
        <f t="array" ref="N104">_xlfn.IFS(H104&gt;=16,"Excellent",H104&gt;=14,"Très bien",H104&gt;=12,"Bien",H104&gt;=10,"Passable",TRUE,"Insuffisant")</f>
        <v>Bien</v>
      </c>
      <c r="O104">
        <v>0.62409999999999999</v>
      </c>
      <c r="P104">
        <v>130000</v>
      </c>
      <c r="Q104" s="2">
        <v>45568</v>
      </c>
    </row>
    <row r="105" spans="1:17" x14ac:dyDescent="0.45">
      <c r="A105" t="s">
        <v>216</v>
      </c>
      <c r="B105" t="s">
        <v>172</v>
      </c>
      <c r="C105" t="s">
        <v>14</v>
      </c>
      <c r="D105" t="s">
        <v>35</v>
      </c>
      <c r="E105" t="s">
        <v>16</v>
      </c>
      <c r="F105">
        <v>9.56</v>
      </c>
      <c r="G105">
        <v>11.05</v>
      </c>
      <c r="H105">
        <v>14.5</v>
      </c>
      <c r="I105" s="4" t="str">
        <f t="shared" si="4"/>
        <v>Admis</v>
      </c>
      <c r="J105" s="4" t="str">
        <f t="shared" si="5"/>
        <v>Non eligible</v>
      </c>
      <c r="K105">
        <v>14.54</v>
      </c>
      <c r="L105" s="6" t="str">
        <f t="shared" si="6"/>
        <v>A surveiller</v>
      </c>
      <c r="M105" s="6" t="str">
        <f t="shared" si="7"/>
        <v>Data</v>
      </c>
      <c r="N105" s="8" t="str" cm="1">
        <f t="array" ref="N105">_xlfn.IFS(H105&gt;=16,"Excellent",H105&gt;=14,"Très bien",H105&gt;=12,"Bien",H105&gt;=10,"Passable",TRUE,"Insuffisant")</f>
        <v>Très bien</v>
      </c>
      <c r="O105">
        <v>0.90580000000000005</v>
      </c>
      <c r="P105">
        <v>50000</v>
      </c>
      <c r="Q105" s="2">
        <v>45599</v>
      </c>
    </row>
    <row r="106" spans="1:17" x14ac:dyDescent="0.45">
      <c r="A106" t="s">
        <v>217</v>
      </c>
      <c r="B106" t="s">
        <v>218</v>
      </c>
      <c r="C106" t="s">
        <v>19</v>
      </c>
      <c r="D106" t="s">
        <v>32</v>
      </c>
      <c r="E106" t="s">
        <v>29</v>
      </c>
      <c r="F106">
        <v>8.43</v>
      </c>
      <c r="G106">
        <v>9.84</v>
      </c>
      <c r="H106">
        <v>7.64</v>
      </c>
      <c r="I106" s="4" t="str">
        <f t="shared" si="4"/>
        <v>Non admis</v>
      </c>
      <c r="J106" s="4" t="str">
        <f t="shared" si="5"/>
        <v>Non eligible</v>
      </c>
      <c r="K106">
        <v>10.37</v>
      </c>
      <c r="L106" s="6" t="str">
        <f t="shared" si="6"/>
        <v>A surveiller</v>
      </c>
      <c r="M106" s="6" t="str">
        <f t="shared" si="7"/>
        <v>Hors Data</v>
      </c>
      <c r="N106" s="8" t="str" cm="1">
        <f t="array" ref="N106">_xlfn.IFS(H106&gt;=16,"Excellent",H106&gt;=14,"Très bien",H106&gt;=12,"Bien",H106&gt;=10,"Passable",TRUE,"Insuffisant")</f>
        <v>Insuffisant</v>
      </c>
      <c r="O106">
        <v>0.6411</v>
      </c>
      <c r="P106">
        <v>70000</v>
      </c>
      <c r="Q106" s="2">
        <v>45919</v>
      </c>
    </row>
    <row r="107" spans="1:17" x14ac:dyDescent="0.45">
      <c r="A107" t="s">
        <v>219</v>
      </c>
      <c r="B107" t="s">
        <v>220</v>
      </c>
      <c r="C107" t="s">
        <v>19</v>
      </c>
      <c r="D107" t="s">
        <v>15</v>
      </c>
      <c r="E107" t="s">
        <v>21</v>
      </c>
      <c r="F107">
        <v>10.74</v>
      </c>
      <c r="G107">
        <v>7.48</v>
      </c>
      <c r="H107">
        <v>14.15</v>
      </c>
      <c r="I107" s="4" t="str">
        <f t="shared" si="4"/>
        <v>Admis</v>
      </c>
      <c r="J107" s="4" t="str">
        <f t="shared" si="5"/>
        <v>Non eligible</v>
      </c>
      <c r="K107">
        <v>16.04</v>
      </c>
      <c r="L107" s="6" t="str">
        <f t="shared" si="6"/>
        <v>RAS</v>
      </c>
      <c r="M107" s="6" t="str">
        <f t="shared" si="7"/>
        <v>Hors Data</v>
      </c>
      <c r="N107" s="8" t="str" cm="1">
        <f t="array" ref="N107">_xlfn.IFS(H107&gt;=16,"Excellent",H107&gt;=14,"Très bien",H107&gt;=12,"Bien",H107&gt;=10,"Passable",TRUE,"Insuffisant")</f>
        <v>Très bien</v>
      </c>
      <c r="O107">
        <v>0.89759999999999995</v>
      </c>
      <c r="P107">
        <v>50000</v>
      </c>
      <c r="Q107" s="2">
        <v>45832</v>
      </c>
    </row>
    <row r="108" spans="1:17" x14ac:dyDescent="0.45">
      <c r="A108" t="s">
        <v>221</v>
      </c>
      <c r="B108" t="s">
        <v>185</v>
      </c>
      <c r="C108" t="s">
        <v>19</v>
      </c>
      <c r="D108" t="s">
        <v>47</v>
      </c>
      <c r="E108" t="s">
        <v>29</v>
      </c>
      <c r="F108">
        <v>7.62</v>
      </c>
      <c r="G108">
        <v>9.17</v>
      </c>
      <c r="H108">
        <v>9.44</v>
      </c>
      <c r="I108" s="4" t="str">
        <f t="shared" si="4"/>
        <v>Non admis</v>
      </c>
      <c r="J108" s="4" t="str">
        <f t="shared" si="5"/>
        <v>Non eligible</v>
      </c>
      <c r="K108">
        <v>11.78</v>
      </c>
      <c r="L108" s="6" t="str">
        <f t="shared" si="6"/>
        <v>A surveiller</v>
      </c>
      <c r="M108" s="6" t="str">
        <f t="shared" si="7"/>
        <v>Hors Data</v>
      </c>
      <c r="N108" s="8" t="str" cm="1">
        <f t="array" ref="N108">_xlfn.IFS(H108&gt;=16,"Excellent",H108&gt;=14,"Très bien",H108&gt;=12,"Bien",H108&gt;=10,"Passable",TRUE,"Insuffisant")</f>
        <v>Insuffisant</v>
      </c>
      <c r="O108">
        <v>0.85189999999999999</v>
      </c>
      <c r="P108">
        <v>80000</v>
      </c>
      <c r="Q108" s="2">
        <v>45541</v>
      </c>
    </row>
    <row r="109" spans="1:17" x14ac:dyDescent="0.45">
      <c r="A109" t="s">
        <v>222</v>
      </c>
      <c r="B109" t="s">
        <v>223</v>
      </c>
      <c r="C109" t="s">
        <v>19</v>
      </c>
      <c r="D109" t="s">
        <v>15</v>
      </c>
      <c r="E109" t="s">
        <v>21</v>
      </c>
      <c r="F109">
        <v>12.34</v>
      </c>
      <c r="G109">
        <v>10.97</v>
      </c>
      <c r="H109">
        <v>9.73</v>
      </c>
      <c r="I109" s="4" t="str">
        <f t="shared" si="4"/>
        <v>Non admis</v>
      </c>
      <c r="J109" s="4" t="str">
        <f t="shared" si="5"/>
        <v>Non eligible</v>
      </c>
      <c r="K109">
        <v>11.28</v>
      </c>
      <c r="L109" s="6" t="str">
        <f t="shared" si="6"/>
        <v>A surveiller</v>
      </c>
      <c r="M109" s="6" t="str">
        <f t="shared" si="7"/>
        <v>Hors Data</v>
      </c>
      <c r="N109" s="8" t="str" cm="1">
        <f t="array" ref="N109">_xlfn.IFS(H109&gt;=16,"Excellent",H109&gt;=14,"Très bien",H109&gt;=12,"Bien",H109&gt;=10,"Passable",TRUE,"Insuffisant")</f>
        <v>Insuffisant</v>
      </c>
      <c r="O109">
        <v>0.79859999999999998</v>
      </c>
      <c r="P109">
        <v>120000</v>
      </c>
      <c r="Q109" s="2">
        <v>46187</v>
      </c>
    </row>
    <row r="110" spans="1:17" x14ac:dyDescent="0.45">
      <c r="A110" t="s">
        <v>224</v>
      </c>
      <c r="B110" t="s">
        <v>225</v>
      </c>
      <c r="C110" t="s">
        <v>14</v>
      </c>
      <c r="D110" t="s">
        <v>35</v>
      </c>
      <c r="E110" t="s">
        <v>21</v>
      </c>
      <c r="F110">
        <v>13.76</v>
      </c>
      <c r="G110">
        <v>16.350000000000001</v>
      </c>
      <c r="H110">
        <v>16.22</v>
      </c>
      <c r="I110" s="4" t="str">
        <f t="shared" si="4"/>
        <v>Admis</v>
      </c>
      <c r="J110" s="4" t="str">
        <f t="shared" si="5"/>
        <v>Eligible</v>
      </c>
      <c r="K110">
        <v>13.46</v>
      </c>
      <c r="L110" s="6" t="str">
        <f t="shared" si="6"/>
        <v>RAS</v>
      </c>
      <c r="M110" s="6" t="str">
        <f t="shared" si="7"/>
        <v>Hors Data</v>
      </c>
      <c r="N110" s="8" t="str" cm="1">
        <f t="array" ref="N110">_xlfn.IFS(H110&gt;=16,"Excellent",H110&gt;=14,"Très bien",H110&gt;=12,"Bien",H110&gt;=10,"Passable",TRUE,"Insuffisant")</f>
        <v>Excellent</v>
      </c>
      <c r="O110">
        <v>0.98750000000000004</v>
      </c>
      <c r="P110">
        <v>110000</v>
      </c>
      <c r="Q110" s="2">
        <v>46047</v>
      </c>
    </row>
    <row r="111" spans="1:17" x14ac:dyDescent="0.45">
      <c r="A111" t="s">
        <v>226</v>
      </c>
      <c r="B111" t="s">
        <v>227</v>
      </c>
      <c r="C111" t="s">
        <v>19</v>
      </c>
      <c r="D111" t="s">
        <v>15</v>
      </c>
      <c r="E111" t="s">
        <v>21</v>
      </c>
      <c r="F111">
        <v>17.63</v>
      </c>
      <c r="G111">
        <v>13.44</v>
      </c>
      <c r="H111">
        <v>12.55</v>
      </c>
      <c r="I111" s="4" t="str">
        <f t="shared" si="4"/>
        <v>Admis</v>
      </c>
      <c r="J111" s="4" t="str">
        <f t="shared" si="5"/>
        <v>Eligible</v>
      </c>
      <c r="K111">
        <v>18.21</v>
      </c>
      <c r="L111" s="6" t="str">
        <f t="shared" si="6"/>
        <v>RAS</v>
      </c>
      <c r="M111" s="6" t="str">
        <f t="shared" si="7"/>
        <v>Hors Data</v>
      </c>
      <c r="N111" s="8" t="str" cm="1">
        <f t="array" ref="N111">_xlfn.IFS(H111&gt;=16,"Excellent",H111&gt;=14,"Très bien",H111&gt;=12,"Bien",H111&gt;=10,"Passable",TRUE,"Insuffisant")</f>
        <v>Bien</v>
      </c>
      <c r="O111">
        <v>0.8972</v>
      </c>
      <c r="P111">
        <v>100000</v>
      </c>
      <c r="Q111" s="2">
        <v>45887</v>
      </c>
    </row>
    <row r="112" spans="1:17" x14ac:dyDescent="0.45">
      <c r="A112" t="s">
        <v>228</v>
      </c>
      <c r="B112" t="s">
        <v>229</v>
      </c>
      <c r="C112" t="s">
        <v>14</v>
      </c>
      <c r="D112" t="s">
        <v>28</v>
      </c>
      <c r="E112" t="s">
        <v>16</v>
      </c>
      <c r="F112">
        <v>18.670000000000002</v>
      </c>
      <c r="G112">
        <v>20</v>
      </c>
      <c r="H112">
        <v>20</v>
      </c>
      <c r="I112" s="4" t="str">
        <f t="shared" si="4"/>
        <v>Admis</v>
      </c>
      <c r="J112" s="4" t="str">
        <f t="shared" si="5"/>
        <v>Eligible</v>
      </c>
      <c r="K112">
        <v>20</v>
      </c>
      <c r="L112" s="6" t="str">
        <f t="shared" si="6"/>
        <v>RAS</v>
      </c>
      <c r="M112" s="6" t="str">
        <f t="shared" si="7"/>
        <v>Data</v>
      </c>
      <c r="N112" s="8" t="str" cm="1">
        <f t="array" ref="N112">_xlfn.IFS(H112&gt;=16,"Excellent",H112&gt;=14,"Très bien",H112&gt;=12,"Bien",H112&gt;=10,"Passable",TRUE,"Insuffisant")</f>
        <v>Excellent</v>
      </c>
      <c r="O112">
        <v>0.88100000000000001</v>
      </c>
      <c r="P112">
        <v>120000</v>
      </c>
      <c r="Q112" s="2">
        <v>46226</v>
      </c>
    </row>
    <row r="113" spans="1:17" x14ac:dyDescent="0.45">
      <c r="A113" t="s">
        <v>230</v>
      </c>
      <c r="B113" t="s">
        <v>231</v>
      </c>
      <c r="C113" t="s">
        <v>19</v>
      </c>
      <c r="D113" t="s">
        <v>32</v>
      </c>
      <c r="E113" t="s">
        <v>29</v>
      </c>
      <c r="F113">
        <v>10.84</v>
      </c>
      <c r="G113">
        <v>14.06</v>
      </c>
      <c r="H113">
        <v>15.62</v>
      </c>
      <c r="I113" s="4" t="str">
        <f t="shared" si="4"/>
        <v>Admis</v>
      </c>
      <c r="J113" s="4" t="str">
        <f t="shared" si="5"/>
        <v>Non eligible</v>
      </c>
      <c r="K113">
        <v>15.45</v>
      </c>
      <c r="L113" s="6" t="str">
        <f t="shared" si="6"/>
        <v>RAS</v>
      </c>
      <c r="M113" s="6" t="str">
        <f t="shared" si="7"/>
        <v>Hors Data</v>
      </c>
      <c r="N113" s="8" t="str" cm="1">
        <f t="array" ref="N113">_xlfn.IFS(H113&gt;=16,"Excellent",H113&gt;=14,"Très bien",H113&gt;=12,"Bien",H113&gt;=10,"Passable",TRUE,"Insuffisant")</f>
        <v>Très bien</v>
      </c>
      <c r="O113">
        <v>0.89270000000000005</v>
      </c>
      <c r="P113">
        <v>50000</v>
      </c>
      <c r="Q113" s="2">
        <v>46215</v>
      </c>
    </row>
    <row r="114" spans="1:17" x14ac:dyDescent="0.45">
      <c r="A114" t="s">
        <v>232</v>
      </c>
      <c r="B114" t="s">
        <v>233</v>
      </c>
      <c r="C114" t="s">
        <v>19</v>
      </c>
      <c r="D114" t="s">
        <v>47</v>
      </c>
      <c r="E114" t="s">
        <v>42</v>
      </c>
      <c r="F114">
        <v>18.809999999999999</v>
      </c>
      <c r="G114">
        <v>20</v>
      </c>
      <c r="H114">
        <v>20</v>
      </c>
      <c r="I114" s="4" t="str">
        <f t="shared" si="4"/>
        <v>Admis</v>
      </c>
      <c r="J114" s="4" t="str">
        <f t="shared" si="5"/>
        <v>Eligible</v>
      </c>
      <c r="K114">
        <v>17.59</v>
      </c>
      <c r="L114" s="6" t="str">
        <f t="shared" si="6"/>
        <v>RAS</v>
      </c>
      <c r="M114" s="6" t="str">
        <f t="shared" si="7"/>
        <v>Hors Data</v>
      </c>
      <c r="N114" s="8" t="str" cm="1">
        <f t="array" ref="N114">_xlfn.IFS(H114&gt;=16,"Excellent",H114&gt;=14,"Très bien",H114&gt;=12,"Bien",H114&gt;=10,"Passable",TRUE,"Insuffisant")</f>
        <v>Excellent</v>
      </c>
      <c r="O114">
        <v>0.84499999999999997</v>
      </c>
      <c r="P114">
        <v>110000</v>
      </c>
      <c r="Q114" s="2">
        <v>46217</v>
      </c>
    </row>
    <row r="115" spans="1:17" x14ac:dyDescent="0.45">
      <c r="A115" t="s">
        <v>234</v>
      </c>
      <c r="B115" t="s">
        <v>235</v>
      </c>
      <c r="C115" t="s">
        <v>14</v>
      </c>
      <c r="D115" t="s">
        <v>20</v>
      </c>
      <c r="E115" t="s">
        <v>21</v>
      </c>
      <c r="F115">
        <v>15.49</v>
      </c>
      <c r="G115">
        <v>14.47</v>
      </c>
      <c r="H115">
        <v>15.24</v>
      </c>
      <c r="I115" s="4" t="str">
        <f t="shared" si="4"/>
        <v>Admis</v>
      </c>
      <c r="J115" s="4" t="str">
        <f t="shared" si="5"/>
        <v>Eligible</v>
      </c>
      <c r="K115">
        <v>13.19</v>
      </c>
      <c r="L115" s="6" t="str">
        <f t="shared" si="6"/>
        <v>RAS</v>
      </c>
      <c r="M115" s="6" t="str">
        <f t="shared" si="7"/>
        <v>Hors Data</v>
      </c>
      <c r="N115" s="8" t="str" cm="1">
        <f t="array" ref="N115">_xlfn.IFS(H115&gt;=16,"Excellent",H115&gt;=14,"Très bien",H115&gt;=12,"Bien",H115&gt;=10,"Passable",TRUE,"Insuffisant")</f>
        <v>Très bien</v>
      </c>
      <c r="O115">
        <v>0.80830000000000002</v>
      </c>
      <c r="P115">
        <v>75000</v>
      </c>
      <c r="Q115" s="2">
        <v>45717</v>
      </c>
    </row>
    <row r="116" spans="1:17" x14ac:dyDescent="0.45">
      <c r="A116" t="s">
        <v>236</v>
      </c>
      <c r="B116" t="s">
        <v>237</v>
      </c>
      <c r="C116" t="s">
        <v>19</v>
      </c>
      <c r="D116" t="s">
        <v>47</v>
      </c>
      <c r="E116" t="s">
        <v>16</v>
      </c>
      <c r="F116">
        <v>11.48</v>
      </c>
      <c r="G116">
        <v>15.71</v>
      </c>
      <c r="H116">
        <v>12.61</v>
      </c>
      <c r="I116" s="4" t="str">
        <f t="shared" si="4"/>
        <v>Admis</v>
      </c>
      <c r="J116" s="4" t="str">
        <f t="shared" si="5"/>
        <v>Non eligible</v>
      </c>
      <c r="K116">
        <v>11.97</v>
      </c>
      <c r="L116" s="6" t="str">
        <f t="shared" si="6"/>
        <v>RAS</v>
      </c>
      <c r="M116" s="6" t="str">
        <f t="shared" si="7"/>
        <v>Data</v>
      </c>
      <c r="N116" s="8" t="str" cm="1">
        <f t="array" ref="N116">_xlfn.IFS(H116&gt;=16,"Excellent",H116&gt;=14,"Très bien",H116&gt;=12,"Bien",H116&gt;=10,"Passable",TRUE,"Insuffisant")</f>
        <v>Bien</v>
      </c>
      <c r="O116">
        <v>0.55089999999999995</v>
      </c>
      <c r="P116">
        <v>100000</v>
      </c>
      <c r="Q116" s="2">
        <v>46152</v>
      </c>
    </row>
    <row r="117" spans="1:17" x14ac:dyDescent="0.45">
      <c r="A117" t="s">
        <v>238</v>
      </c>
      <c r="B117" t="s">
        <v>167</v>
      </c>
      <c r="C117" t="s">
        <v>19</v>
      </c>
      <c r="D117" t="s">
        <v>15</v>
      </c>
      <c r="E117" t="s">
        <v>29</v>
      </c>
      <c r="F117">
        <v>15.07</v>
      </c>
      <c r="G117">
        <v>11.87</v>
      </c>
      <c r="H117">
        <v>13.51</v>
      </c>
      <c r="I117" s="4" t="str">
        <f t="shared" si="4"/>
        <v>Admis</v>
      </c>
      <c r="J117" s="4" t="str">
        <f t="shared" si="5"/>
        <v>Eligible</v>
      </c>
      <c r="K117">
        <v>11.94</v>
      </c>
      <c r="L117" s="6" t="str">
        <f t="shared" si="6"/>
        <v>RAS</v>
      </c>
      <c r="M117" s="6" t="str">
        <f t="shared" si="7"/>
        <v>Hors Data</v>
      </c>
      <c r="N117" s="8" t="str" cm="1">
        <f t="array" ref="N117">_xlfn.IFS(H117&gt;=16,"Excellent",H117&gt;=14,"Très bien",H117&gt;=12,"Bien",H117&gt;=10,"Passable",TRUE,"Insuffisant")</f>
        <v>Bien</v>
      </c>
      <c r="O117">
        <v>0.91290000000000004</v>
      </c>
      <c r="P117">
        <v>110000</v>
      </c>
      <c r="Q117" s="2">
        <v>45889</v>
      </c>
    </row>
    <row r="118" spans="1:17" x14ac:dyDescent="0.45">
      <c r="A118" t="s">
        <v>239</v>
      </c>
      <c r="B118" t="s">
        <v>240</v>
      </c>
      <c r="C118" t="s">
        <v>14</v>
      </c>
      <c r="D118" t="s">
        <v>32</v>
      </c>
      <c r="E118" t="s">
        <v>16</v>
      </c>
      <c r="F118">
        <v>18.510000000000002</v>
      </c>
      <c r="G118">
        <v>15.64</v>
      </c>
      <c r="H118">
        <v>13.21</v>
      </c>
      <c r="I118" s="4" t="str">
        <f t="shared" si="4"/>
        <v>Admis</v>
      </c>
      <c r="J118" s="4" t="str">
        <f t="shared" si="5"/>
        <v>Non eligible</v>
      </c>
      <c r="K118">
        <v>14.8</v>
      </c>
      <c r="L118" s="6" t="str">
        <f t="shared" si="6"/>
        <v>RAS</v>
      </c>
      <c r="M118" s="6" t="str">
        <f t="shared" si="7"/>
        <v>Data</v>
      </c>
      <c r="N118" s="8" t="str" cm="1">
        <f t="array" ref="N118">_xlfn.IFS(H118&gt;=16,"Excellent",H118&gt;=14,"Très bien",H118&gt;=12,"Bien",H118&gt;=10,"Passable",TRUE,"Insuffisant")</f>
        <v>Bien</v>
      </c>
      <c r="O118">
        <v>0.66739999999999999</v>
      </c>
      <c r="P118">
        <v>100000</v>
      </c>
      <c r="Q118" s="2">
        <v>46044</v>
      </c>
    </row>
    <row r="119" spans="1:17" x14ac:dyDescent="0.45">
      <c r="A119" t="s">
        <v>241</v>
      </c>
      <c r="B119" t="s">
        <v>242</v>
      </c>
      <c r="C119" t="s">
        <v>14</v>
      </c>
      <c r="D119" t="s">
        <v>47</v>
      </c>
      <c r="E119" t="s">
        <v>21</v>
      </c>
      <c r="F119">
        <v>13.77</v>
      </c>
      <c r="G119">
        <v>12.51</v>
      </c>
      <c r="H119">
        <v>15.21</v>
      </c>
      <c r="I119" s="4" t="str">
        <f t="shared" si="4"/>
        <v>Admis</v>
      </c>
      <c r="J119" s="4" t="str">
        <f t="shared" si="5"/>
        <v>Eligible</v>
      </c>
      <c r="K119">
        <v>11.91</v>
      </c>
      <c r="L119" s="6" t="str">
        <f t="shared" si="6"/>
        <v>RAS</v>
      </c>
      <c r="M119" s="6" t="str">
        <f t="shared" si="7"/>
        <v>Hors Data</v>
      </c>
      <c r="N119" s="8" t="str" cm="1">
        <f t="array" ref="N119">_xlfn.IFS(H119&gt;=16,"Excellent",H119&gt;=14,"Très bien",H119&gt;=12,"Bien",H119&gt;=10,"Passable",TRUE,"Insuffisant")</f>
        <v>Très bien</v>
      </c>
      <c r="O119">
        <v>0.94169999999999998</v>
      </c>
      <c r="P119">
        <v>80000</v>
      </c>
      <c r="Q119" s="2">
        <v>46137</v>
      </c>
    </row>
    <row r="120" spans="1:17" x14ac:dyDescent="0.45">
      <c r="A120" t="s">
        <v>243</v>
      </c>
      <c r="B120" t="s">
        <v>94</v>
      </c>
      <c r="C120" t="s">
        <v>14</v>
      </c>
      <c r="D120" t="s">
        <v>28</v>
      </c>
      <c r="E120" t="s">
        <v>21</v>
      </c>
      <c r="F120">
        <v>10.83</v>
      </c>
      <c r="G120">
        <v>9.1199999999999992</v>
      </c>
      <c r="H120">
        <v>10.78</v>
      </c>
      <c r="I120" s="4" t="str">
        <f t="shared" si="4"/>
        <v>Admis</v>
      </c>
      <c r="J120" s="4" t="str">
        <f t="shared" si="5"/>
        <v>Non eligible</v>
      </c>
      <c r="K120">
        <v>14.67</v>
      </c>
      <c r="L120" s="6" t="str">
        <f t="shared" si="6"/>
        <v>RAS</v>
      </c>
      <c r="M120" s="6" t="str">
        <f t="shared" si="7"/>
        <v>Hors Data</v>
      </c>
      <c r="N120" s="8" t="str" cm="1">
        <f t="array" ref="N120">_xlfn.IFS(H120&gt;=16,"Excellent",H120&gt;=14,"Très bien",H120&gt;=12,"Bien",H120&gt;=10,"Passable",TRUE,"Insuffisant")</f>
        <v>Passable</v>
      </c>
      <c r="O120">
        <v>0.82340000000000002</v>
      </c>
      <c r="P120">
        <v>90000</v>
      </c>
      <c r="Q120" s="2">
        <v>45650</v>
      </c>
    </row>
    <row r="121" spans="1:17" x14ac:dyDescent="0.45">
      <c r="A121" t="s">
        <v>244</v>
      </c>
      <c r="B121" t="s">
        <v>245</v>
      </c>
      <c r="C121" t="s">
        <v>14</v>
      </c>
      <c r="D121" t="s">
        <v>35</v>
      </c>
      <c r="E121" t="s">
        <v>16</v>
      </c>
      <c r="F121">
        <v>9.1999999999999993</v>
      </c>
      <c r="G121">
        <v>7.51</v>
      </c>
      <c r="H121">
        <v>11.45</v>
      </c>
      <c r="I121" s="4" t="str">
        <f t="shared" si="4"/>
        <v>Admis</v>
      </c>
      <c r="J121" s="4" t="str">
        <f t="shared" si="5"/>
        <v>Non eligible</v>
      </c>
      <c r="K121">
        <v>6.64</v>
      </c>
      <c r="L121" s="6" t="str">
        <f t="shared" si="6"/>
        <v>A surveiller</v>
      </c>
      <c r="M121" s="6" t="str">
        <f t="shared" si="7"/>
        <v>Data</v>
      </c>
      <c r="N121" s="8" t="str" cm="1">
        <f t="array" ref="N121">_xlfn.IFS(H121&gt;=16,"Excellent",H121&gt;=14,"Très bien",H121&gt;=12,"Bien",H121&gt;=10,"Passable",TRUE,"Insuffisant")</f>
        <v>Passable</v>
      </c>
      <c r="O121">
        <v>0.77759999999999996</v>
      </c>
      <c r="P121">
        <v>85000</v>
      </c>
      <c r="Q121" s="2">
        <v>45849</v>
      </c>
    </row>
    <row r="122" spans="1:17" x14ac:dyDescent="0.45">
      <c r="A122" t="s">
        <v>246</v>
      </c>
      <c r="B122" t="s">
        <v>247</v>
      </c>
      <c r="C122" t="s">
        <v>14</v>
      </c>
      <c r="D122" t="s">
        <v>47</v>
      </c>
      <c r="E122" t="s">
        <v>16</v>
      </c>
      <c r="F122">
        <v>9.3800000000000008</v>
      </c>
      <c r="G122">
        <v>9.59</v>
      </c>
      <c r="H122">
        <v>14.07</v>
      </c>
      <c r="I122" s="4" t="str">
        <f t="shared" si="4"/>
        <v>Admis</v>
      </c>
      <c r="J122" s="4" t="str">
        <f t="shared" si="5"/>
        <v>Non eligible</v>
      </c>
      <c r="K122">
        <v>9.36</v>
      </c>
      <c r="L122" s="6" t="str">
        <f t="shared" si="6"/>
        <v>A surveiller</v>
      </c>
      <c r="M122" s="6" t="str">
        <f t="shared" si="7"/>
        <v>Data</v>
      </c>
      <c r="N122" s="8" t="str" cm="1">
        <f t="array" ref="N122">_xlfn.IFS(H122&gt;=16,"Excellent",H122&gt;=14,"Très bien",H122&gt;=12,"Bien",H122&gt;=10,"Passable",TRUE,"Insuffisant")</f>
        <v>Très bien</v>
      </c>
      <c r="O122">
        <v>0.87290000000000001</v>
      </c>
      <c r="P122">
        <v>90000</v>
      </c>
      <c r="Q122" s="2">
        <v>45626</v>
      </c>
    </row>
    <row r="123" spans="1:17" x14ac:dyDescent="0.45">
      <c r="A123" t="s">
        <v>248</v>
      </c>
      <c r="B123" t="s">
        <v>65</v>
      </c>
      <c r="C123" t="s">
        <v>19</v>
      </c>
      <c r="D123" t="s">
        <v>20</v>
      </c>
      <c r="E123" t="s">
        <v>29</v>
      </c>
      <c r="F123">
        <v>15</v>
      </c>
      <c r="G123">
        <v>13.92</v>
      </c>
      <c r="H123">
        <v>15.39</v>
      </c>
      <c r="I123" s="4" t="str">
        <f t="shared" si="4"/>
        <v>Admis</v>
      </c>
      <c r="J123" s="4" t="str">
        <f t="shared" si="5"/>
        <v>Eligible</v>
      </c>
      <c r="K123">
        <v>17.760000000000002</v>
      </c>
      <c r="L123" s="6" t="str">
        <f t="shared" si="6"/>
        <v>RAS</v>
      </c>
      <c r="M123" s="6" t="str">
        <f t="shared" si="7"/>
        <v>Hors Data</v>
      </c>
      <c r="N123" s="8" t="str" cm="1">
        <f t="array" ref="N123">_xlfn.IFS(H123&gt;=16,"Excellent",H123&gt;=14,"Très bien",H123&gt;=12,"Bien",H123&gt;=10,"Passable",TRUE,"Insuffisant")</f>
        <v>Très bien</v>
      </c>
      <c r="O123">
        <v>0.83599999999999997</v>
      </c>
      <c r="P123">
        <v>85000</v>
      </c>
      <c r="Q123" s="2">
        <v>45731</v>
      </c>
    </row>
    <row r="124" spans="1:17" x14ac:dyDescent="0.45">
      <c r="A124" t="s">
        <v>249</v>
      </c>
      <c r="B124" t="s">
        <v>250</v>
      </c>
      <c r="C124" t="s">
        <v>19</v>
      </c>
      <c r="D124" t="s">
        <v>28</v>
      </c>
      <c r="E124" t="s">
        <v>21</v>
      </c>
      <c r="F124">
        <v>12.66</v>
      </c>
      <c r="G124">
        <v>13.95</v>
      </c>
      <c r="H124">
        <v>9.9700000000000006</v>
      </c>
      <c r="I124" s="4" t="str">
        <f t="shared" si="4"/>
        <v>Non admis</v>
      </c>
      <c r="J124" s="4" t="str">
        <f t="shared" si="5"/>
        <v>Non eligible</v>
      </c>
      <c r="K124">
        <v>7.89</v>
      </c>
      <c r="L124" s="6" t="str">
        <f t="shared" si="6"/>
        <v>A surveiller</v>
      </c>
      <c r="M124" s="6" t="str">
        <f t="shared" si="7"/>
        <v>Hors Data</v>
      </c>
      <c r="N124" s="8" t="str" cm="1">
        <f t="array" ref="N124">_xlfn.IFS(H124&gt;=16,"Excellent",H124&gt;=14,"Très bien",H124&gt;=12,"Bien",H124&gt;=10,"Passable",TRUE,"Insuffisant")</f>
        <v>Insuffisant</v>
      </c>
      <c r="O124">
        <v>0.8034</v>
      </c>
      <c r="P124">
        <v>80000</v>
      </c>
      <c r="Q124" s="2">
        <v>45825</v>
      </c>
    </row>
    <row r="125" spans="1:17" x14ac:dyDescent="0.45">
      <c r="A125" t="s">
        <v>251</v>
      </c>
      <c r="B125" t="s">
        <v>252</v>
      </c>
      <c r="C125" t="s">
        <v>14</v>
      </c>
      <c r="D125" t="s">
        <v>20</v>
      </c>
      <c r="E125" t="s">
        <v>29</v>
      </c>
      <c r="F125">
        <v>8.66</v>
      </c>
      <c r="G125">
        <v>8.25</v>
      </c>
      <c r="H125">
        <v>9.07</v>
      </c>
      <c r="I125" s="4" t="str">
        <f t="shared" si="4"/>
        <v>Non admis</v>
      </c>
      <c r="J125" s="4" t="str">
        <f t="shared" si="5"/>
        <v>Non eligible</v>
      </c>
      <c r="K125">
        <v>16.170000000000002</v>
      </c>
      <c r="L125" s="6" t="str">
        <f t="shared" si="6"/>
        <v>A surveiller</v>
      </c>
      <c r="M125" s="6" t="str">
        <f t="shared" si="7"/>
        <v>Hors Data</v>
      </c>
      <c r="N125" s="8" t="str" cm="1">
        <f t="array" ref="N125">_xlfn.IFS(H125&gt;=16,"Excellent",H125&gt;=14,"Très bien",H125&gt;=12,"Bien",H125&gt;=10,"Passable",TRUE,"Insuffisant")</f>
        <v>Insuffisant</v>
      </c>
      <c r="O125">
        <v>0.70330000000000004</v>
      </c>
      <c r="P125">
        <v>70000</v>
      </c>
      <c r="Q125" s="2">
        <v>46134</v>
      </c>
    </row>
    <row r="126" spans="1:17" x14ac:dyDescent="0.45">
      <c r="A126" t="s">
        <v>253</v>
      </c>
      <c r="B126" t="s">
        <v>254</v>
      </c>
      <c r="C126" t="s">
        <v>19</v>
      </c>
      <c r="D126" t="s">
        <v>47</v>
      </c>
      <c r="E126" t="s">
        <v>29</v>
      </c>
      <c r="F126">
        <v>11.41</v>
      </c>
      <c r="G126">
        <v>9.24</v>
      </c>
      <c r="H126">
        <v>15.43</v>
      </c>
      <c r="I126" s="4" t="str">
        <f t="shared" si="4"/>
        <v>Admis</v>
      </c>
      <c r="J126" s="4" t="str">
        <f t="shared" si="5"/>
        <v>Non eligible</v>
      </c>
      <c r="K126">
        <v>12.49</v>
      </c>
      <c r="L126" s="6" t="str">
        <f t="shared" si="6"/>
        <v>RAS</v>
      </c>
      <c r="M126" s="6" t="str">
        <f t="shared" si="7"/>
        <v>Hors Data</v>
      </c>
      <c r="N126" s="8" t="str" cm="1">
        <f t="array" ref="N126">_xlfn.IFS(H126&gt;=16,"Excellent",H126&gt;=14,"Très bien",H126&gt;=12,"Bien",H126&gt;=10,"Passable",TRUE,"Insuffisant")</f>
        <v>Très bien</v>
      </c>
      <c r="O126">
        <v>0.77380000000000004</v>
      </c>
      <c r="P126">
        <v>80000</v>
      </c>
      <c r="Q126" s="2">
        <v>46139</v>
      </c>
    </row>
    <row r="127" spans="1:17" x14ac:dyDescent="0.45">
      <c r="A127" t="s">
        <v>255</v>
      </c>
      <c r="B127" t="s">
        <v>256</v>
      </c>
      <c r="C127" t="s">
        <v>19</v>
      </c>
      <c r="D127" t="s">
        <v>35</v>
      </c>
      <c r="E127" t="s">
        <v>29</v>
      </c>
      <c r="F127">
        <v>15.4</v>
      </c>
      <c r="G127">
        <v>19.149999999999999</v>
      </c>
      <c r="H127">
        <v>15.79</v>
      </c>
      <c r="I127" s="4" t="str">
        <f t="shared" si="4"/>
        <v>Admis</v>
      </c>
      <c r="J127" s="4" t="str">
        <f t="shared" si="5"/>
        <v>Eligible</v>
      </c>
      <c r="K127">
        <v>15.94</v>
      </c>
      <c r="L127" s="6" t="str">
        <f t="shared" si="6"/>
        <v>RAS</v>
      </c>
      <c r="M127" s="6" t="str">
        <f t="shared" si="7"/>
        <v>Hors Data</v>
      </c>
      <c r="N127" s="8" t="str" cm="1">
        <f t="array" ref="N127">_xlfn.IFS(H127&gt;=16,"Excellent",H127&gt;=14,"Très bien",H127&gt;=12,"Bien",H127&gt;=10,"Passable",TRUE,"Insuffisant")</f>
        <v>Très bien</v>
      </c>
      <c r="O127">
        <v>0.82779999999999998</v>
      </c>
      <c r="P127">
        <v>100000</v>
      </c>
      <c r="Q127" s="2">
        <v>45808</v>
      </c>
    </row>
    <row r="128" spans="1:17" x14ac:dyDescent="0.45">
      <c r="A128" t="s">
        <v>257</v>
      </c>
      <c r="B128" t="s">
        <v>258</v>
      </c>
      <c r="C128" t="s">
        <v>14</v>
      </c>
      <c r="D128" t="s">
        <v>47</v>
      </c>
      <c r="E128" t="s">
        <v>42</v>
      </c>
      <c r="F128">
        <v>13.64</v>
      </c>
      <c r="G128">
        <v>16.39</v>
      </c>
      <c r="H128">
        <v>16.13</v>
      </c>
      <c r="I128" s="4" t="str">
        <f t="shared" si="4"/>
        <v>Admis</v>
      </c>
      <c r="J128" s="4" t="str">
        <f t="shared" si="5"/>
        <v>Eligible</v>
      </c>
      <c r="K128">
        <v>15.16</v>
      </c>
      <c r="L128" s="6" t="str">
        <f t="shared" si="6"/>
        <v>RAS</v>
      </c>
      <c r="M128" s="6" t="str">
        <f t="shared" si="7"/>
        <v>Hors Data</v>
      </c>
      <c r="N128" s="8" t="str" cm="1">
        <f t="array" ref="N128">_xlfn.IFS(H128&gt;=16,"Excellent",H128&gt;=14,"Très bien",H128&gt;=12,"Bien",H128&gt;=10,"Passable",TRUE,"Insuffisant")</f>
        <v>Excellent</v>
      </c>
      <c r="O128">
        <v>0.83150000000000002</v>
      </c>
      <c r="P128">
        <v>120000</v>
      </c>
      <c r="Q128" s="2">
        <v>45766</v>
      </c>
    </row>
    <row r="129" spans="1:17" x14ac:dyDescent="0.45">
      <c r="A129" t="s">
        <v>259</v>
      </c>
      <c r="B129" t="s">
        <v>117</v>
      </c>
      <c r="C129" t="s">
        <v>19</v>
      </c>
      <c r="D129" t="s">
        <v>35</v>
      </c>
      <c r="E129" t="s">
        <v>29</v>
      </c>
      <c r="F129">
        <v>10.42</v>
      </c>
      <c r="G129">
        <v>9.75</v>
      </c>
      <c r="H129">
        <v>10.69</v>
      </c>
      <c r="I129" s="4" t="str">
        <f t="shared" si="4"/>
        <v>Admis</v>
      </c>
      <c r="J129" s="4" t="str">
        <f t="shared" si="5"/>
        <v>Non eligible</v>
      </c>
      <c r="K129">
        <v>13.16</v>
      </c>
      <c r="L129" s="6" t="str">
        <f t="shared" si="6"/>
        <v>RAS</v>
      </c>
      <c r="M129" s="6" t="str">
        <f t="shared" si="7"/>
        <v>Hors Data</v>
      </c>
      <c r="N129" s="8" t="str" cm="1">
        <f t="array" ref="N129">_xlfn.IFS(H129&gt;=16,"Excellent",H129&gt;=14,"Très bien",H129&gt;=12,"Bien",H129&gt;=10,"Passable",TRUE,"Insuffisant")</f>
        <v>Passable</v>
      </c>
      <c r="O129">
        <v>0.89610000000000001</v>
      </c>
      <c r="P129">
        <v>60000</v>
      </c>
      <c r="Q129" s="2">
        <v>45907</v>
      </c>
    </row>
    <row r="130" spans="1:17" x14ac:dyDescent="0.45">
      <c r="A130" t="s">
        <v>260</v>
      </c>
      <c r="B130" t="s">
        <v>23</v>
      </c>
      <c r="C130" t="s">
        <v>19</v>
      </c>
      <c r="D130" t="s">
        <v>28</v>
      </c>
      <c r="E130" t="s">
        <v>16</v>
      </c>
      <c r="F130">
        <v>16.54</v>
      </c>
      <c r="G130">
        <v>17.329999999999998</v>
      </c>
      <c r="H130">
        <v>18.96</v>
      </c>
      <c r="I130" s="4" t="str">
        <f t="shared" si="4"/>
        <v>Admis</v>
      </c>
      <c r="J130" s="4" t="str">
        <f t="shared" si="5"/>
        <v>Non eligible</v>
      </c>
      <c r="K130">
        <v>17.440000000000001</v>
      </c>
      <c r="L130" s="6" t="str">
        <f t="shared" si="6"/>
        <v>RAS</v>
      </c>
      <c r="M130" s="6" t="str">
        <f t="shared" si="7"/>
        <v>Data</v>
      </c>
      <c r="N130" s="8" t="str" cm="1">
        <f t="array" ref="N130">_xlfn.IFS(H130&gt;=16,"Excellent",H130&gt;=14,"Très bien",H130&gt;=12,"Bien",H130&gt;=10,"Passable",TRUE,"Insuffisant")</f>
        <v>Excellent</v>
      </c>
      <c r="O130">
        <v>0.75839999999999996</v>
      </c>
      <c r="P130">
        <v>70000</v>
      </c>
      <c r="Q130" s="2">
        <v>46174</v>
      </c>
    </row>
    <row r="131" spans="1:17" x14ac:dyDescent="0.45">
      <c r="A131" t="s">
        <v>261</v>
      </c>
      <c r="B131" t="s">
        <v>262</v>
      </c>
      <c r="C131" t="s">
        <v>19</v>
      </c>
      <c r="D131" t="s">
        <v>15</v>
      </c>
      <c r="E131" t="s">
        <v>21</v>
      </c>
      <c r="F131">
        <v>18.059999999999999</v>
      </c>
      <c r="G131">
        <v>20</v>
      </c>
      <c r="H131">
        <v>17.77</v>
      </c>
      <c r="I131" s="4" t="str">
        <f t="shared" ref="I131:I194" si="8">IF(H131&gt;=10,"Admis","Non admis")</f>
        <v>Admis</v>
      </c>
      <c r="J131" s="4" t="str">
        <f t="shared" ref="J131:J194" si="9">IF(AND(F131&gt;=12,H131&gt;=12,O131&gt;=0.8),"Eligible","Non eligible")</f>
        <v>Non eligible</v>
      </c>
      <c r="K131">
        <v>20</v>
      </c>
      <c r="L131" s="6" t="str">
        <f t="shared" ref="L131:L194" si="10">IF(OR(F131&lt;10,H131&lt;10),"A surveiller","RAS")</f>
        <v>RAS</v>
      </c>
      <c r="M131" s="6" t="str">
        <f t="shared" ref="M131:M194" si="11">IF(NOT(E131="Data"),"Hors Data","Data")</f>
        <v>Hors Data</v>
      </c>
      <c r="N131" s="8" t="str" cm="1">
        <f t="array" ref="N131">_xlfn.IFS(H131&gt;=16,"Excellent",H131&gt;=14,"Très bien",H131&gt;=12,"Bien",H131&gt;=10,"Passable",TRUE,"Insuffisant")</f>
        <v>Excellent</v>
      </c>
      <c r="O131">
        <v>0.76829999999999998</v>
      </c>
      <c r="P131">
        <v>85000</v>
      </c>
      <c r="Q131" s="2">
        <v>46219</v>
      </c>
    </row>
    <row r="132" spans="1:17" x14ac:dyDescent="0.45">
      <c r="A132" t="s">
        <v>263</v>
      </c>
      <c r="B132" t="s">
        <v>264</v>
      </c>
      <c r="C132" t="s">
        <v>19</v>
      </c>
      <c r="D132" t="s">
        <v>47</v>
      </c>
      <c r="E132" t="s">
        <v>29</v>
      </c>
      <c r="F132">
        <v>16.84</v>
      </c>
      <c r="G132">
        <v>16.21</v>
      </c>
      <c r="H132">
        <v>13.47</v>
      </c>
      <c r="I132" s="4" t="str">
        <f t="shared" si="8"/>
        <v>Admis</v>
      </c>
      <c r="J132" s="4" t="str">
        <f t="shared" si="9"/>
        <v>Non eligible</v>
      </c>
      <c r="K132">
        <v>15.93</v>
      </c>
      <c r="L132" s="6" t="str">
        <f t="shared" si="10"/>
        <v>RAS</v>
      </c>
      <c r="M132" s="6" t="str">
        <f t="shared" si="11"/>
        <v>Hors Data</v>
      </c>
      <c r="N132" s="8" t="str" cm="1">
        <f t="array" ref="N132">_xlfn.IFS(H132&gt;=16,"Excellent",H132&gt;=14,"Très bien",H132&gt;=12,"Bien",H132&gt;=10,"Passable",TRUE,"Insuffisant")</f>
        <v>Bien</v>
      </c>
      <c r="O132">
        <v>0.56440000000000001</v>
      </c>
      <c r="P132">
        <v>100000</v>
      </c>
      <c r="Q132" s="2">
        <v>45694</v>
      </c>
    </row>
    <row r="133" spans="1:17" x14ac:dyDescent="0.45">
      <c r="A133" t="s">
        <v>265</v>
      </c>
      <c r="B133" t="s">
        <v>266</v>
      </c>
      <c r="C133" t="s">
        <v>19</v>
      </c>
      <c r="D133" t="s">
        <v>28</v>
      </c>
      <c r="E133" t="s">
        <v>29</v>
      </c>
      <c r="F133">
        <v>16.010000000000002</v>
      </c>
      <c r="G133">
        <v>16.95</v>
      </c>
      <c r="H133">
        <v>15.54</v>
      </c>
      <c r="I133" s="4" t="str">
        <f t="shared" si="8"/>
        <v>Admis</v>
      </c>
      <c r="J133" s="4" t="str">
        <f t="shared" si="9"/>
        <v>Non eligible</v>
      </c>
      <c r="K133">
        <v>20</v>
      </c>
      <c r="L133" s="6" t="str">
        <f t="shared" si="10"/>
        <v>RAS</v>
      </c>
      <c r="M133" s="6" t="str">
        <f t="shared" si="11"/>
        <v>Hors Data</v>
      </c>
      <c r="N133" s="8" t="str" cm="1">
        <f t="array" ref="N133">_xlfn.IFS(H133&gt;=16,"Excellent",H133&gt;=14,"Très bien",H133&gt;=12,"Bien",H133&gt;=10,"Passable",TRUE,"Insuffisant")</f>
        <v>Très bien</v>
      </c>
      <c r="O133">
        <v>0.71589999999999998</v>
      </c>
      <c r="P133">
        <v>60000</v>
      </c>
      <c r="Q133" s="2">
        <v>45666</v>
      </c>
    </row>
    <row r="134" spans="1:17" x14ac:dyDescent="0.45">
      <c r="A134" t="s">
        <v>267</v>
      </c>
      <c r="B134" t="s">
        <v>268</v>
      </c>
      <c r="C134" t="s">
        <v>14</v>
      </c>
      <c r="D134" t="s">
        <v>47</v>
      </c>
      <c r="E134" t="s">
        <v>42</v>
      </c>
      <c r="F134">
        <v>17.86</v>
      </c>
      <c r="G134">
        <v>19.79</v>
      </c>
      <c r="H134">
        <v>14.54</v>
      </c>
      <c r="I134" s="4" t="str">
        <f t="shared" si="8"/>
        <v>Admis</v>
      </c>
      <c r="J134" s="4" t="str">
        <f t="shared" si="9"/>
        <v>Non eligible</v>
      </c>
      <c r="K134">
        <v>18.03</v>
      </c>
      <c r="L134" s="6" t="str">
        <f t="shared" si="10"/>
        <v>RAS</v>
      </c>
      <c r="M134" s="6" t="str">
        <f t="shared" si="11"/>
        <v>Hors Data</v>
      </c>
      <c r="N134" s="8" t="str" cm="1">
        <f t="array" ref="N134">_xlfn.IFS(H134&gt;=16,"Excellent",H134&gt;=14,"Très bien",H134&gt;=12,"Bien",H134&gt;=10,"Passable",TRUE,"Insuffisant")</f>
        <v>Très bien</v>
      </c>
      <c r="O134">
        <v>0.58899999999999997</v>
      </c>
      <c r="P134">
        <v>75000</v>
      </c>
      <c r="Q134" s="2">
        <v>46030</v>
      </c>
    </row>
    <row r="135" spans="1:17" x14ac:dyDescent="0.45">
      <c r="A135" t="s">
        <v>269</v>
      </c>
      <c r="B135" t="s">
        <v>18</v>
      </c>
      <c r="C135" t="s">
        <v>19</v>
      </c>
      <c r="D135" t="s">
        <v>28</v>
      </c>
      <c r="E135" t="s">
        <v>42</v>
      </c>
      <c r="F135">
        <v>15.47</v>
      </c>
      <c r="G135">
        <v>15.46</v>
      </c>
      <c r="H135">
        <v>20</v>
      </c>
      <c r="I135" s="4" t="str">
        <f t="shared" si="8"/>
        <v>Admis</v>
      </c>
      <c r="J135" s="4" t="str">
        <f t="shared" si="9"/>
        <v>Eligible</v>
      </c>
      <c r="K135">
        <v>20</v>
      </c>
      <c r="L135" s="6" t="str">
        <f t="shared" si="10"/>
        <v>RAS</v>
      </c>
      <c r="M135" s="6" t="str">
        <f t="shared" si="11"/>
        <v>Hors Data</v>
      </c>
      <c r="N135" s="8" t="str" cm="1">
        <f t="array" ref="N135">_xlfn.IFS(H135&gt;=16,"Excellent",H135&gt;=14,"Très bien",H135&gt;=12,"Bien",H135&gt;=10,"Passable",TRUE,"Insuffisant")</f>
        <v>Excellent</v>
      </c>
      <c r="O135">
        <v>0.81699999999999995</v>
      </c>
      <c r="P135">
        <v>50000</v>
      </c>
      <c r="Q135" s="2">
        <v>45746</v>
      </c>
    </row>
    <row r="136" spans="1:17" x14ac:dyDescent="0.45">
      <c r="A136" t="s">
        <v>270</v>
      </c>
      <c r="B136" t="s">
        <v>119</v>
      </c>
      <c r="C136" t="s">
        <v>19</v>
      </c>
      <c r="D136" t="s">
        <v>20</v>
      </c>
      <c r="E136" t="s">
        <v>16</v>
      </c>
      <c r="F136">
        <v>16.48</v>
      </c>
      <c r="G136">
        <v>15.69</v>
      </c>
      <c r="H136">
        <v>15.21</v>
      </c>
      <c r="I136" s="4" t="str">
        <f t="shared" si="8"/>
        <v>Admis</v>
      </c>
      <c r="J136" s="4" t="str">
        <f t="shared" si="9"/>
        <v>Eligible</v>
      </c>
      <c r="K136">
        <v>17.100000000000001</v>
      </c>
      <c r="L136" s="6" t="str">
        <f t="shared" si="10"/>
        <v>RAS</v>
      </c>
      <c r="M136" s="6" t="str">
        <f t="shared" si="11"/>
        <v>Data</v>
      </c>
      <c r="N136" s="8" t="str" cm="1">
        <f t="array" ref="N136">_xlfn.IFS(H136&gt;=16,"Excellent",H136&gt;=14,"Très bien",H136&gt;=12,"Bien",H136&gt;=10,"Passable",TRUE,"Insuffisant")</f>
        <v>Très bien</v>
      </c>
      <c r="O136">
        <v>0.95309999999999995</v>
      </c>
      <c r="P136">
        <v>50000</v>
      </c>
      <c r="Q136" s="2">
        <v>45675</v>
      </c>
    </row>
    <row r="137" spans="1:17" x14ac:dyDescent="0.45">
      <c r="A137" t="s">
        <v>271</v>
      </c>
      <c r="B137" t="s">
        <v>272</v>
      </c>
      <c r="C137" t="s">
        <v>14</v>
      </c>
      <c r="D137" t="s">
        <v>32</v>
      </c>
      <c r="E137" t="s">
        <v>16</v>
      </c>
      <c r="F137">
        <v>16</v>
      </c>
      <c r="G137">
        <v>15.54</v>
      </c>
      <c r="H137">
        <v>16.79</v>
      </c>
      <c r="I137" s="4" t="str">
        <f t="shared" si="8"/>
        <v>Admis</v>
      </c>
      <c r="J137" s="4" t="str">
        <f t="shared" si="9"/>
        <v>Eligible</v>
      </c>
      <c r="K137">
        <v>11.1</v>
      </c>
      <c r="L137" s="6" t="str">
        <f t="shared" si="10"/>
        <v>RAS</v>
      </c>
      <c r="M137" s="6" t="str">
        <f t="shared" si="11"/>
        <v>Data</v>
      </c>
      <c r="N137" s="8" t="str" cm="1">
        <f t="array" ref="N137">_xlfn.IFS(H137&gt;=16,"Excellent",H137&gt;=14,"Très bien",H137&gt;=12,"Bien",H137&gt;=10,"Passable",TRUE,"Insuffisant")</f>
        <v>Excellent</v>
      </c>
      <c r="O137">
        <v>0.94479999999999997</v>
      </c>
      <c r="P137">
        <v>60000</v>
      </c>
      <c r="Q137" s="2">
        <v>45557</v>
      </c>
    </row>
    <row r="138" spans="1:17" x14ac:dyDescent="0.45">
      <c r="A138" t="s">
        <v>273</v>
      </c>
      <c r="B138" t="s">
        <v>274</v>
      </c>
      <c r="C138" t="s">
        <v>19</v>
      </c>
      <c r="D138" t="s">
        <v>32</v>
      </c>
      <c r="E138" t="s">
        <v>16</v>
      </c>
      <c r="F138">
        <v>16.86</v>
      </c>
      <c r="G138">
        <v>14.75</v>
      </c>
      <c r="H138">
        <v>13.97</v>
      </c>
      <c r="I138" s="4" t="str">
        <f t="shared" si="8"/>
        <v>Admis</v>
      </c>
      <c r="J138" s="4" t="str">
        <f t="shared" si="9"/>
        <v>Eligible</v>
      </c>
      <c r="K138">
        <v>20</v>
      </c>
      <c r="L138" s="6" t="str">
        <f t="shared" si="10"/>
        <v>RAS</v>
      </c>
      <c r="M138" s="6" t="str">
        <f t="shared" si="11"/>
        <v>Data</v>
      </c>
      <c r="N138" s="8" t="str" cm="1">
        <f t="array" ref="N138">_xlfn.IFS(H138&gt;=16,"Excellent",H138&gt;=14,"Très bien",H138&gt;=12,"Bien",H138&gt;=10,"Passable",TRUE,"Insuffisant")</f>
        <v>Bien</v>
      </c>
      <c r="O138">
        <v>0.93310000000000004</v>
      </c>
      <c r="P138">
        <v>110000</v>
      </c>
      <c r="Q138" s="2">
        <v>45818</v>
      </c>
    </row>
    <row r="139" spans="1:17" x14ac:dyDescent="0.45">
      <c r="A139" t="s">
        <v>275</v>
      </c>
      <c r="B139" t="s">
        <v>109</v>
      </c>
      <c r="C139" t="s">
        <v>14</v>
      </c>
      <c r="D139" t="s">
        <v>32</v>
      </c>
      <c r="E139" t="s">
        <v>21</v>
      </c>
      <c r="F139">
        <v>12</v>
      </c>
      <c r="G139">
        <v>9.9700000000000006</v>
      </c>
      <c r="H139">
        <v>8.31</v>
      </c>
      <c r="I139" s="4" t="str">
        <f t="shared" si="8"/>
        <v>Non admis</v>
      </c>
      <c r="J139" s="4" t="str">
        <f t="shared" si="9"/>
        <v>Non eligible</v>
      </c>
      <c r="K139">
        <v>9.06</v>
      </c>
      <c r="L139" s="6" t="str">
        <f t="shared" si="10"/>
        <v>A surveiller</v>
      </c>
      <c r="M139" s="6" t="str">
        <f t="shared" si="11"/>
        <v>Hors Data</v>
      </c>
      <c r="N139" s="8" t="str" cm="1">
        <f t="array" ref="N139">_xlfn.IFS(H139&gt;=16,"Excellent",H139&gt;=14,"Très bien",H139&gt;=12,"Bien",H139&gt;=10,"Passable",TRUE,"Insuffisant")</f>
        <v>Insuffisant</v>
      </c>
      <c r="O139">
        <v>0.79290000000000005</v>
      </c>
      <c r="P139">
        <v>120000</v>
      </c>
      <c r="Q139" s="2">
        <v>45810</v>
      </c>
    </row>
    <row r="140" spans="1:17" x14ac:dyDescent="0.45">
      <c r="A140" t="s">
        <v>276</v>
      </c>
      <c r="B140" t="s">
        <v>277</v>
      </c>
      <c r="C140" t="s">
        <v>14</v>
      </c>
      <c r="D140" t="s">
        <v>32</v>
      </c>
      <c r="E140" t="s">
        <v>42</v>
      </c>
      <c r="F140">
        <v>16.760000000000002</v>
      </c>
      <c r="G140">
        <v>16.02</v>
      </c>
      <c r="H140">
        <v>15.15</v>
      </c>
      <c r="I140" s="4" t="str">
        <f t="shared" si="8"/>
        <v>Admis</v>
      </c>
      <c r="J140" s="4" t="str">
        <f t="shared" si="9"/>
        <v>Eligible</v>
      </c>
      <c r="K140">
        <v>18.649999999999999</v>
      </c>
      <c r="L140" s="6" t="str">
        <f t="shared" si="10"/>
        <v>RAS</v>
      </c>
      <c r="M140" s="6" t="str">
        <f t="shared" si="11"/>
        <v>Hors Data</v>
      </c>
      <c r="N140" s="8" t="str" cm="1">
        <f t="array" ref="N140">_xlfn.IFS(H140&gt;=16,"Excellent",H140&gt;=14,"Très bien",H140&gt;=12,"Bien",H140&gt;=10,"Passable",TRUE,"Insuffisant")</f>
        <v>Très bien</v>
      </c>
      <c r="O140">
        <v>0.83130000000000004</v>
      </c>
      <c r="P140">
        <v>85000</v>
      </c>
      <c r="Q140" s="2">
        <v>45930</v>
      </c>
    </row>
    <row r="141" spans="1:17" x14ac:dyDescent="0.45">
      <c r="A141" t="s">
        <v>278</v>
      </c>
      <c r="B141" t="s">
        <v>279</v>
      </c>
      <c r="C141" t="s">
        <v>14</v>
      </c>
      <c r="D141" t="s">
        <v>47</v>
      </c>
      <c r="E141" t="s">
        <v>21</v>
      </c>
      <c r="F141">
        <v>9.49</v>
      </c>
      <c r="G141">
        <v>10.18</v>
      </c>
      <c r="H141">
        <v>12.33</v>
      </c>
      <c r="I141" s="4" t="str">
        <f t="shared" si="8"/>
        <v>Admis</v>
      </c>
      <c r="J141" s="4" t="str">
        <f t="shared" si="9"/>
        <v>Non eligible</v>
      </c>
      <c r="K141">
        <v>9.66</v>
      </c>
      <c r="L141" s="6" t="str">
        <f t="shared" si="10"/>
        <v>A surveiller</v>
      </c>
      <c r="M141" s="6" t="str">
        <f t="shared" si="11"/>
        <v>Hors Data</v>
      </c>
      <c r="N141" s="8" t="str" cm="1">
        <f t="array" ref="N141">_xlfn.IFS(H141&gt;=16,"Excellent",H141&gt;=14,"Très bien",H141&gt;=12,"Bien",H141&gt;=10,"Passable",TRUE,"Insuffisant")</f>
        <v>Bien</v>
      </c>
      <c r="O141">
        <v>0.95430000000000004</v>
      </c>
      <c r="P141">
        <v>60000</v>
      </c>
      <c r="Q141" s="2">
        <v>45676</v>
      </c>
    </row>
    <row r="142" spans="1:17" x14ac:dyDescent="0.45">
      <c r="A142" t="s">
        <v>280</v>
      </c>
      <c r="B142" t="s">
        <v>254</v>
      </c>
      <c r="C142" t="s">
        <v>19</v>
      </c>
      <c r="D142" t="s">
        <v>32</v>
      </c>
      <c r="E142" t="s">
        <v>42</v>
      </c>
      <c r="F142">
        <v>11.81</v>
      </c>
      <c r="G142">
        <v>9.3699999999999992</v>
      </c>
      <c r="H142">
        <v>10.33</v>
      </c>
      <c r="I142" s="4" t="str">
        <f t="shared" si="8"/>
        <v>Admis</v>
      </c>
      <c r="J142" s="4" t="str">
        <f t="shared" si="9"/>
        <v>Non eligible</v>
      </c>
      <c r="K142">
        <v>13.51</v>
      </c>
      <c r="L142" s="6" t="str">
        <f t="shared" si="10"/>
        <v>RAS</v>
      </c>
      <c r="M142" s="6" t="str">
        <f t="shared" si="11"/>
        <v>Hors Data</v>
      </c>
      <c r="N142" s="8" t="str" cm="1">
        <f t="array" ref="N142">_xlfn.IFS(H142&gt;=16,"Excellent",H142&gt;=14,"Très bien",H142&gt;=12,"Bien",H142&gt;=10,"Passable",TRUE,"Insuffisant")</f>
        <v>Passable</v>
      </c>
      <c r="O142">
        <v>0.80449999999999999</v>
      </c>
      <c r="P142">
        <v>130000</v>
      </c>
      <c r="Q142" s="2">
        <v>46036</v>
      </c>
    </row>
    <row r="143" spans="1:17" x14ac:dyDescent="0.45">
      <c r="A143" t="s">
        <v>281</v>
      </c>
      <c r="B143" t="s">
        <v>282</v>
      </c>
      <c r="C143" t="s">
        <v>14</v>
      </c>
      <c r="D143" t="s">
        <v>28</v>
      </c>
      <c r="E143" t="s">
        <v>29</v>
      </c>
      <c r="F143">
        <v>19.489999999999998</v>
      </c>
      <c r="G143">
        <v>19.309999999999999</v>
      </c>
      <c r="H143">
        <v>15.43</v>
      </c>
      <c r="I143" s="4" t="str">
        <f t="shared" si="8"/>
        <v>Admis</v>
      </c>
      <c r="J143" s="4" t="str">
        <f t="shared" si="9"/>
        <v>Eligible</v>
      </c>
      <c r="K143">
        <v>15.54</v>
      </c>
      <c r="L143" s="6" t="str">
        <f t="shared" si="10"/>
        <v>RAS</v>
      </c>
      <c r="M143" s="6" t="str">
        <f t="shared" si="11"/>
        <v>Hors Data</v>
      </c>
      <c r="N143" s="8" t="str" cm="1">
        <f t="array" ref="N143">_xlfn.IFS(H143&gt;=16,"Excellent",H143&gt;=14,"Très bien",H143&gt;=12,"Bien",H143&gt;=10,"Passable",TRUE,"Insuffisant")</f>
        <v>Très bien</v>
      </c>
      <c r="O143">
        <v>0.85609999999999997</v>
      </c>
      <c r="P143">
        <v>75000</v>
      </c>
      <c r="Q143" s="2">
        <v>46012</v>
      </c>
    </row>
    <row r="144" spans="1:17" x14ac:dyDescent="0.45">
      <c r="A144" t="s">
        <v>283</v>
      </c>
      <c r="B144" t="s">
        <v>190</v>
      </c>
      <c r="C144" t="s">
        <v>14</v>
      </c>
      <c r="D144" t="s">
        <v>32</v>
      </c>
      <c r="E144" t="s">
        <v>42</v>
      </c>
      <c r="F144">
        <v>14.42</v>
      </c>
      <c r="G144">
        <v>14.1</v>
      </c>
      <c r="H144">
        <v>16.39</v>
      </c>
      <c r="I144" s="4" t="str">
        <f t="shared" si="8"/>
        <v>Admis</v>
      </c>
      <c r="J144" s="4" t="str">
        <f t="shared" si="9"/>
        <v>Non eligible</v>
      </c>
      <c r="K144">
        <v>17.13</v>
      </c>
      <c r="L144" s="6" t="str">
        <f t="shared" si="10"/>
        <v>RAS</v>
      </c>
      <c r="M144" s="6" t="str">
        <f t="shared" si="11"/>
        <v>Hors Data</v>
      </c>
      <c r="N144" s="8" t="str" cm="1">
        <f t="array" ref="N144">_xlfn.IFS(H144&gt;=16,"Excellent",H144&gt;=14,"Très bien",H144&gt;=12,"Bien",H144&gt;=10,"Passable",TRUE,"Insuffisant")</f>
        <v>Excellent</v>
      </c>
      <c r="O144">
        <v>0.76539999999999997</v>
      </c>
      <c r="P144">
        <v>60000</v>
      </c>
      <c r="Q144" s="2">
        <v>45859</v>
      </c>
    </row>
    <row r="145" spans="1:17" x14ac:dyDescent="0.45">
      <c r="A145" t="s">
        <v>284</v>
      </c>
      <c r="B145" t="s">
        <v>285</v>
      </c>
      <c r="C145" t="s">
        <v>14</v>
      </c>
      <c r="D145" t="s">
        <v>20</v>
      </c>
      <c r="E145" t="s">
        <v>42</v>
      </c>
      <c r="F145">
        <v>16.28</v>
      </c>
      <c r="G145">
        <v>17.579999999999998</v>
      </c>
      <c r="H145">
        <v>18.96</v>
      </c>
      <c r="I145" s="4" t="str">
        <f t="shared" si="8"/>
        <v>Admis</v>
      </c>
      <c r="J145" s="4" t="str">
        <f t="shared" si="9"/>
        <v>Eligible</v>
      </c>
      <c r="K145">
        <v>17.010000000000002</v>
      </c>
      <c r="L145" s="6" t="str">
        <f t="shared" si="10"/>
        <v>RAS</v>
      </c>
      <c r="M145" s="6" t="str">
        <f t="shared" si="11"/>
        <v>Hors Data</v>
      </c>
      <c r="N145" s="8" t="str" cm="1">
        <f t="array" ref="N145">_xlfn.IFS(H145&gt;=16,"Excellent",H145&gt;=14,"Très bien",H145&gt;=12,"Bien",H145&gt;=10,"Passable",TRUE,"Insuffisant")</f>
        <v>Excellent</v>
      </c>
      <c r="O145">
        <v>0.8982</v>
      </c>
      <c r="P145">
        <v>60000</v>
      </c>
      <c r="Q145" s="2">
        <v>45662</v>
      </c>
    </row>
    <row r="146" spans="1:17" x14ac:dyDescent="0.45">
      <c r="A146" t="s">
        <v>286</v>
      </c>
      <c r="B146" t="s">
        <v>57</v>
      </c>
      <c r="C146" t="s">
        <v>19</v>
      </c>
      <c r="D146" t="s">
        <v>20</v>
      </c>
      <c r="E146" t="s">
        <v>29</v>
      </c>
      <c r="F146">
        <v>13.14</v>
      </c>
      <c r="G146">
        <v>12.49</v>
      </c>
      <c r="H146">
        <v>16.55</v>
      </c>
      <c r="I146" s="4" t="str">
        <f t="shared" si="8"/>
        <v>Admis</v>
      </c>
      <c r="J146" s="4" t="str">
        <f t="shared" si="9"/>
        <v>Non eligible</v>
      </c>
      <c r="K146">
        <v>16.11</v>
      </c>
      <c r="L146" s="6" t="str">
        <f t="shared" si="10"/>
        <v>RAS</v>
      </c>
      <c r="M146" s="6" t="str">
        <f t="shared" si="11"/>
        <v>Hors Data</v>
      </c>
      <c r="N146" s="8" t="str" cm="1">
        <f t="array" ref="N146">_xlfn.IFS(H146&gt;=16,"Excellent",H146&gt;=14,"Très bien",H146&gt;=12,"Bien",H146&gt;=10,"Passable",TRUE,"Insuffisant")</f>
        <v>Excellent</v>
      </c>
      <c r="O146">
        <v>0.72319999999999995</v>
      </c>
      <c r="P146">
        <v>75000</v>
      </c>
      <c r="Q146" s="2">
        <v>45890</v>
      </c>
    </row>
    <row r="147" spans="1:17" x14ac:dyDescent="0.45">
      <c r="A147" t="s">
        <v>287</v>
      </c>
      <c r="B147" t="s">
        <v>138</v>
      </c>
      <c r="C147" t="s">
        <v>19</v>
      </c>
      <c r="D147" t="s">
        <v>20</v>
      </c>
      <c r="E147" t="s">
        <v>21</v>
      </c>
      <c r="F147">
        <v>11.19</v>
      </c>
      <c r="G147">
        <v>11.46</v>
      </c>
      <c r="H147">
        <v>11.25</v>
      </c>
      <c r="I147" s="4" t="str">
        <f t="shared" si="8"/>
        <v>Admis</v>
      </c>
      <c r="J147" s="4" t="str">
        <f t="shared" si="9"/>
        <v>Non eligible</v>
      </c>
      <c r="K147">
        <v>11.14</v>
      </c>
      <c r="L147" s="6" t="str">
        <f t="shared" si="10"/>
        <v>RAS</v>
      </c>
      <c r="M147" s="6" t="str">
        <f t="shared" si="11"/>
        <v>Hors Data</v>
      </c>
      <c r="N147" s="8" t="str" cm="1">
        <f t="array" ref="N147">_xlfn.IFS(H147&gt;=16,"Excellent",H147&gt;=14,"Très bien",H147&gt;=12,"Bien",H147&gt;=10,"Passable",TRUE,"Insuffisant")</f>
        <v>Passable</v>
      </c>
      <c r="O147">
        <v>0.91400000000000003</v>
      </c>
      <c r="P147">
        <v>110000</v>
      </c>
      <c r="Q147" s="2">
        <v>46008</v>
      </c>
    </row>
    <row r="148" spans="1:17" x14ac:dyDescent="0.45">
      <c r="A148" t="s">
        <v>288</v>
      </c>
      <c r="B148" t="s">
        <v>289</v>
      </c>
      <c r="C148" t="s">
        <v>14</v>
      </c>
      <c r="D148" t="s">
        <v>28</v>
      </c>
      <c r="E148" t="s">
        <v>21</v>
      </c>
      <c r="F148">
        <v>11.01</v>
      </c>
      <c r="G148">
        <v>8.56</v>
      </c>
      <c r="H148">
        <v>14.44</v>
      </c>
      <c r="I148" s="4" t="str">
        <f t="shared" si="8"/>
        <v>Admis</v>
      </c>
      <c r="J148" s="4" t="str">
        <f t="shared" si="9"/>
        <v>Non eligible</v>
      </c>
      <c r="K148">
        <v>14.79</v>
      </c>
      <c r="L148" s="6" t="str">
        <f t="shared" si="10"/>
        <v>RAS</v>
      </c>
      <c r="M148" s="6" t="str">
        <f t="shared" si="11"/>
        <v>Hors Data</v>
      </c>
      <c r="N148" s="8" t="str" cm="1">
        <f t="array" ref="N148">_xlfn.IFS(H148&gt;=16,"Excellent",H148&gt;=14,"Très bien",H148&gt;=12,"Bien",H148&gt;=10,"Passable",TRUE,"Insuffisant")</f>
        <v>Très bien</v>
      </c>
      <c r="O148">
        <v>0.81269999999999998</v>
      </c>
      <c r="P148">
        <v>80000</v>
      </c>
      <c r="Q148" s="2">
        <v>45796</v>
      </c>
    </row>
    <row r="149" spans="1:17" x14ac:dyDescent="0.45">
      <c r="A149" t="s">
        <v>290</v>
      </c>
      <c r="B149" t="s">
        <v>291</v>
      </c>
      <c r="C149" t="s">
        <v>14</v>
      </c>
      <c r="D149" t="s">
        <v>32</v>
      </c>
      <c r="E149" t="s">
        <v>21</v>
      </c>
      <c r="F149">
        <v>13.62</v>
      </c>
      <c r="G149">
        <v>16.149999999999999</v>
      </c>
      <c r="H149">
        <v>15.57</v>
      </c>
      <c r="I149" s="4" t="str">
        <f t="shared" si="8"/>
        <v>Admis</v>
      </c>
      <c r="J149" s="4" t="str">
        <f t="shared" si="9"/>
        <v>Eligible</v>
      </c>
      <c r="K149">
        <v>8.92</v>
      </c>
      <c r="L149" s="6" t="str">
        <f t="shared" si="10"/>
        <v>RAS</v>
      </c>
      <c r="M149" s="6" t="str">
        <f t="shared" si="11"/>
        <v>Hors Data</v>
      </c>
      <c r="N149" s="8" t="str" cm="1">
        <f t="array" ref="N149">_xlfn.IFS(H149&gt;=16,"Excellent",H149&gt;=14,"Très bien",H149&gt;=12,"Bien",H149&gt;=10,"Passable",TRUE,"Insuffisant")</f>
        <v>Très bien</v>
      </c>
      <c r="O149">
        <v>0.94320000000000004</v>
      </c>
      <c r="P149">
        <v>80000</v>
      </c>
      <c r="Q149" s="2">
        <v>45720</v>
      </c>
    </row>
    <row r="150" spans="1:17" x14ac:dyDescent="0.45">
      <c r="A150" t="s">
        <v>292</v>
      </c>
      <c r="B150" t="s">
        <v>266</v>
      </c>
      <c r="C150" t="s">
        <v>19</v>
      </c>
      <c r="D150" t="s">
        <v>35</v>
      </c>
      <c r="E150" t="s">
        <v>21</v>
      </c>
      <c r="F150">
        <v>13.51</v>
      </c>
      <c r="G150">
        <v>12.63</v>
      </c>
      <c r="H150">
        <v>11.38</v>
      </c>
      <c r="I150" s="4" t="str">
        <f t="shared" si="8"/>
        <v>Admis</v>
      </c>
      <c r="J150" s="4" t="str">
        <f t="shared" si="9"/>
        <v>Non eligible</v>
      </c>
      <c r="K150">
        <v>13.43</v>
      </c>
      <c r="L150" s="6" t="str">
        <f t="shared" si="10"/>
        <v>RAS</v>
      </c>
      <c r="M150" s="6" t="str">
        <f t="shared" si="11"/>
        <v>Hors Data</v>
      </c>
      <c r="N150" s="8" t="str" cm="1">
        <f t="array" ref="N150">_xlfn.IFS(H150&gt;=16,"Excellent",H150&gt;=14,"Très bien",H150&gt;=12,"Bien",H150&gt;=10,"Passable",TRUE,"Insuffisant")</f>
        <v>Passable</v>
      </c>
      <c r="O150">
        <v>0.70140000000000002</v>
      </c>
      <c r="P150">
        <v>75000</v>
      </c>
      <c r="Q150" s="2">
        <v>45890</v>
      </c>
    </row>
    <row r="151" spans="1:17" x14ac:dyDescent="0.45">
      <c r="A151" t="s">
        <v>293</v>
      </c>
      <c r="B151" t="s">
        <v>34</v>
      </c>
      <c r="C151" t="s">
        <v>14</v>
      </c>
      <c r="D151" t="s">
        <v>32</v>
      </c>
      <c r="E151" t="s">
        <v>29</v>
      </c>
      <c r="F151">
        <v>11.8</v>
      </c>
      <c r="G151">
        <v>19.760000000000002</v>
      </c>
      <c r="H151">
        <v>14.75</v>
      </c>
      <c r="I151" s="4" t="str">
        <f t="shared" si="8"/>
        <v>Admis</v>
      </c>
      <c r="J151" s="4" t="str">
        <f t="shared" si="9"/>
        <v>Non eligible</v>
      </c>
      <c r="K151">
        <v>17.48</v>
      </c>
      <c r="L151" s="6" t="str">
        <f t="shared" si="10"/>
        <v>RAS</v>
      </c>
      <c r="M151" s="6" t="str">
        <f t="shared" si="11"/>
        <v>Hors Data</v>
      </c>
      <c r="N151" s="8" t="str" cm="1">
        <f t="array" ref="N151">_xlfn.IFS(H151&gt;=16,"Excellent",H151&gt;=14,"Très bien",H151&gt;=12,"Bien",H151&gt;=10,"Passable",TRUE,"Insuffisant")</f>
        <v>Très bien</v>
      </c>
      <c r="O151">
        <v>0.68049999999999999</v>
      </c>
      <c r="P151">
        <v>130000</v>
      </c>
      <c r="Q151" s="2">
        <v>45784</v>
      </c>
    </row>
    <row r="152" spans="1:17" x14ac:dyDescent="0.45">
      <c r="A152" t="s">
        <v>294</v>
      </c>
      <c r="B152" t="s">
        <v>295</v>
      </c>
      <c r="C152" t="s">
        <v>19</v>
      </c>
      <c r="D152" t="s">
        <v>15</v>
      </c>
      <c r="E152" t="s">
        <v>16</v>
      </c>
      <c r="F152">
        <v>12.01</v>
      </c>
      <c r="G152">
        <v>11.84</v>
      </c>
      <c r="H152">
        <v>10.3</v>
      </c>
      <c r="I152" s="4" t="str">
        <f t="shared" si="8"/>
        <v>Admis</v>
      </c>
      <c r="J152" s="4" t="str">
        <f t="shared" si="9"/>
        <v>Non eligible</v>
      </c>
      <c r="K152">
        <v>12.88</v>
      </c>
      <c r="L152" s="6" t="str">
        <f t="shared" si="10"/>
        <v>RAS</v>
      </c>
      <c r="M152" s="6" t="str">
        <f t="shared" si="11"/>
        <v>Data</v>
      </c>
      <c r="N152" s="8" t="str" cm="1">
        <f t="array" ref="N152">_xlfn.IFS(H152&gt;=16,"Excellent",H152&gt;=14,"Très bien",H152&gt;=12,"Bien",H152&gt;=10,"Passable",TRUE,"Insuffisant")</f>
        <v>Passable</v>
      </c>
      <c r="O152">
        <v>0.81130000000000002</v>
      </c>
      <c r="P152">
        <v>100000</v>
      </c>
      <c r="Q152" s="2">
        <v>45816</v>
      </c>
    </row>
    <row r="153" spans="1:17" x14ac:dyDescent="0.45">
      <c r="A153" t="s">
        <v>296</v>
      </c>
      <c r="B153" t="s">
        <v>41</v>
      </c>
      <c r="C153" t="s">
        <v>14</v>
      </c>
      <c r="D153" t="s">
        <v>15</v>
      </c>
      <c r="E153" t="s">
        <v>29</v>
      </c>
      <c r="F153">
        <v>14.14</v>
      </c>
      <c r="G153">
        <v>14.78</v>
      </c>
      <c r="H153">
        <v>11.75</v>
      </c>
      <c r="I153" s="4" t="str">
        <f t="shared" si="8"/>
        <v>Admis</v>
      </c>
      <c r="J153" s="4" t="str">
        <f t="shared" si="9"/>
        <v>Non eligible</v>
      </c>
      <c r="K153">
        <v>16.5</v>
      </c>
      <c r="L153" s="6" t="str">
        <f t="shared" si="10"/>
        <v>RAS</v>
      </c>
      <c r="M153" s="6" t="str">
        <f t="shared" si="11"/>
        <v>Hors Data</v>
      </c>
      <c r="N153" s="8" t="str" cm="1">
        <f t="array" ref="N153">_xlfn.IFS(H153&gt;=16,"Excellent",H153&gt;=14,"Très bien",H153&gt;=12,"Bien",H153&gt;=10,"Passable",TRUE,"Insuffisant")</f>
        <v>Passable</v>
      </c>
      <c r="O153">
        <v>0.90129999999999999</v>
      </c>
      <c r="P153">
        <v>100000</v>
      </c>
      <c r="Q153" s="2">
        <v>45780</v>
      </c>
    </row>
    <row r="154" spans="1:17" x14ac:dyDescent="0.45">
      <c r="A154" t="s">
        <v>297</v>
      </c>
      <c r="B154" t="s">
        <v>174</v>
      </c>
      <c r="C154" t="s">
        <v>19</v>
      </c>
      <c r="D154" t="s">
        <v>20</v>
      </c>
      <c r="E154" t="s">
        <v>42</v>
      </c>
      <c r="F154">
        <v>10.38</v>
      </c>
      <c r="G154">
        <v>15.34</v>
      </c>
      <c r="H154">
        <v>12.68</v>
      </c>
      <c r="I154" s="4" t="str">
        <f t="shared" si="8"/>
        <v>Admis</v>
      </c>
      <c r="J154" s="4" t="str">
        <f t="shared" si="9"/>
        <v>Non eligible</v>
      </c>
      <c r="K154">
        <v>9.83</v>
      </c>
      <c r="L154" s="6" t="str">
        <f t="shared" si="10"/>
        <v>RAS</v>
      </c>
      <c r="M154" s="6" t="str">
        <f t="shared" si="11"/>
        <v>Hors Data</v>
      </c>
      <c r="N154" s="8" t="str" cm="1">
        <f t="array" ref="N154">_xlfn.IFS(H154&gt;=16,"Excellent",H154&gt;=14,"Très bien",H154&gt;=12,"Bien",H154&gt;=10,"Passable",TRUE,"Insuffisant")</f>
        <v>Bien</v>
      </c>
      <c r="O154">
        <v>0.74870000000000003</v>
      </c>
      <c r="P154">
        <v>80000</v>
      </c>
      <c r="Q154" s="2">
        <v>45748</v>
      </c>
    </row>
    <row r="155" spans="1:17" x14ac:dyDescent="0.45">
      <c r="A155" t="s">
        <v>298</v>
      </c>
      <c r="B155" t="s">
        <v>225</v>
      </c>
      <c r="C155" t="s">
        <v>14</v>
      </c>
      <c r="D155" t="s">
        <v>28</v>
      </c>
      <c r="E155" t="s">
        <v>21</v>
      </c>
      <c r="F155">
        <v>17.88</v>
      </c>
      <c r="G155">
        <v>14.55</v>
      </c>
      <c r="H155">
        <v>15.6</v>
      </c>
      <c r="I155" s="4" t="str">
        <f t="shared" si="8"/>
        <v>Admis</v>
      </c>
      <c r="J155" s="4" t="str">
        <f t="shared" si="9"/>
        <v>Eligible</v>
      </c>
      <c r="K155">
        <v>14.77</v>
      </c>
      <c r="L155" s="6" t="str">
        <f t="shared" si="10"/>
        <v>RAS</v>
      </c>
      <c r="M155" s="6" t="str">
        <f t="shared" si="11"/>
        <v>Hors Data</v>
      </c>
      <c r="N155" s="8" t="str" cm="1">
        <f t="array" ref="N155">_xlfn.IFS(H155&gt;=16,"Excellent",H155&gt;=14,"Très bien",H155&gt;=12,"Bien",H155&gt;=10,"Passable",TRUE,"Insuffisant")</f>
        <v>Très bien</v>
      </c>
      <c r="O155">
        <v>0.84219999999999995</v>
      </c>
      <c r="P155">
        <v>85000</v>
      </c>
      <c r="Q155" s="2">
        <v>46037</v>
      </c>
    </row>
    <row r="156" spans="1:17" x14ac:dyDescent="0.45">
      <c r="A156" t="s">
        <v>299</v>
      </c>
      <c r="B156" t="s">
        <v>282</v>
      </c>
      <c r="C156" t="s">
        <v>14</v>
      </c>
      <c r="D156" t="s">
        <v>20</v>
      </c>
      <c r="E156" t="s">
        <v>29</v>
      </c>
      <c r="F156">
        <v>10.83</v>
      </c>
      <c r="G156">
        <v>16.63</v>
      </c>
      <c r="H156">
        <v>13.88</v>
      </c>
      <c r="I156" s="4" t="str">
        <f t="shared" si="8"/>
        <v>Admis</v>
      </c>
      <c r="J156" s="4" t="str">
        <f t="shared" si="9"/>
        <v>Non eligible</v>
      </c>
      <c r="K156">
        <v>16.010000000000002</v>
      </c>
      <c r="L156" s="6" t="str">
        <f t="shared" si="10"/>
        <v>RAS</v>
      </c>
      <c r="M156" s="6" t="str">
        <f t="shared" si="11"/>
        <v>Hors Data</v>
      </c>
      <c r="N156" s="8" t="str" cm="1">
        <f t="array" ref="N156">_xlfn.IFS(H156&gt;=16,"Excellent",H156&gt;=14,"Très bien",H156&gt;=12,"Bien",H156&gt;=10,"Passable",TRUE,"Insuffisant")</f>
        <v>Bien</v>
      </c>
      <c r="O156">
        <v>0.71230000000000004</v>
      </c>
      <c r="P156">
        <v>120000</v>
      </c>
      <c r="Q156" s="2">
        <v>45858</v>
      </c>
    </row>
    <row r="157" spans="1:17" x14ac:dyDescent="0.45">
      <c r="A157" t="s">
        <v>300</v>
      </c>
      <c r="B157" t="s">
        <v>301</v>
      </c>
      <c r="C157" t="s">
        <v>19</v>
      </c>
      <c r="D157" t="s">
        <v>35</v>
      </c>
      <c r="E157" t="s">
        <v>29</v>
      </c>
      <c r="F157">
        <v>9.59</v>
      </c>
      <c r="G157">
        <v>11.89</v>
      </c>
      <c r="H157">
        <v>5.9</v>
      </c>
      <c r="I157" s="4" t="str">
        <f t="shared" si="8"/>
        <v>Non admis</v>
      </c>
      <c r="J157" s="4" t="str">
        <f t="shared" si="9"/>
        <v>Non eligible</v>
      </c>
      <c r="K157">
        <v>6.29</v>
      </c>
      <c r="L157" s="6" t="str">
        <f t="shared" si="10"/>
        <v>A surveiller</v>
      </c>
      <c r="M157" s="6" t="str">
        <f t="shared" si="11"/>
        <v>Hors Data</v>
      </c>
      <c r="N157" s="8" t="str" cm="1">
        <f t="array" ref="N157">_xlfn.IFS(H157&gt;=16,"Excellent",H157&gt;=14,"Très bien",H157&gt;=12,"Bien",H157&gt;=10,"Passable",TRUE,"Insuffisant")</f>
        <v>Insuffisant</v>
      </c>
      <c r="O157">
        <v>0.89759999999999995</v>
      </c>
      <c r="P157">
        <v>100000</v>
      </c>
      <c r="Q157" s="2">
        <v>45862</v>
      </c>
    </row>
    <row r="158" spans="1:17" x14ac:dyDescent="0.45">
      <c r="A158" t="s">
        <v>302</v>
      </c>
      <c r="B158" t="s">
        <v>146</v>
      </c>
      <c r="C158" t="s">
        <v>14</v>
      </c>
      <c r="D158" t="s">
        <v>15</v>
      </c>
      <c r="E158" t="s">
        <v>29</v>
      </c>
      <c r="F158">
        <v>7.09</v>
      </c>
      <c r="G158">
        <v>14.15</v>
      </c>
      <c r="H158">
        <v>17.559999999999999</v>
      </c>
      <c r="I158" s="4" t="str">
        <f t="shared" si="8"/>
        <v>Admis</v>
      </c>
      <c r="J158" s="4" t="str">
        <f t="shared" si="9"/>
        <v>Non eligible</v>
      </c>
      <c r="K158">
        <v>14.04</v>
      </c>
      <c r="L158" s="6" t="str">
        <f t="shared" si="10"/>
        <v>A surveiller</v>
      </c>
      <c r="M158" s="6" t="str">
        <f t="shared" si="11"/>
        <v>Hors Data</v>
      </c>
      <c r="N158" s="8" t="str" cm="1">
        <f t="array" ref="N158">_xlfn.IFS(H158&gt;=16,"Excellent",H158&gt;=14,"Très bien",H158&gt;=12,"Bien",H158&gt;=10,"Passable",TRUE,"Insuffisant")</f>
        <v>Excellent</v>
      </c>
      <c r="O158">
        <v>0.92930000000000001</v>
      </c>
      <c r="P158">
        <v>110000</v>
      </c>
      <c r="Q158" s="2">
        <v>45993</v>
      </c>
    </row>
    <row r="159" spans="1:17" x14ac:dyDescent="0.45">
      <c r="A159" t="s">
        <v>303</v>
      </c>
      <c r="B159" t="s">
        <v>304</v>
      </c>
      <c r="C159" t="s">
        <v>19</v>
      </c>
      <c r="D159" t="s">
        <v>35</v>
      </c>
      <c r="E159" t="s">
        <v>21</v>
      </c>
      <c r="F159">
        <v>11.93</v>
      </c>
      <c r="G159">
        <v>13.54</v>
      </c>
      <c r="H159">
        <v>11.22</v>
      </c>
      <c r="I159" s="4" t="str">
        <f t="shared" si="8"/>
        <v>Admis</v>
      </c>
      <c r="J159" s="4" t="str">
        <f t="shared" si="9"/>
        <v>Non eligible</v>
      </c>
      <c r="K159">
        <v>12.15</v>
      </c>
      <c r="L159" s="6" t="str">
        <f t="shared" si="10"/>
        <v>RAS</v>
      </c>
      <c r="M159" s="6" t="str">
        <f t="shared" si="11"/>
        <v>Hors Data</v>
      </c>
      <c r="N159" s="8" t="str" cm="1">
        <f t="array" ref="N159">_xlfn.IFS(H159&gt;=16,"Excellent",H159&gt;=14,"Très bien",H159&gt;=12,"Bien",H159&gt;=10,"Passable",TRUE,"Insuffisant")</f>
        <v>Passable</v>
      </c>
      <c r="O159">
        <v>0.82089999999999996</v>
      </c>
      <c r="P159">
        <v>50000</v>
      </c>
      <c r="Q159" s="2">
        <v>45788</v>
      </c>
    </row>
    <row r="160" spans="1:17" x14ac:dyDescent="0.45">
      <c r="A160" t="s">
        <v>305</v>
      </c>
      <c r="B160" t="s">
        <v>218</v>
      </c>
      <c r="C160" t="s">
        <v>19</v>
      </c>
      <c r="D160" t="s">
        <v>32</v>
      </c>
      <c r="E160" t="s">
        <v>16</v>
      </c>
      <c r="F160">
        <v>11.87</v>
      </c>
      <c r="G160">
        <v>15.01</v>
      </c>
      <c r="H160">
        <v>17.46</v>
      </c>
      <c r="I160" s="4" t="str">
        <f t="shared" si="8"/>
        <v>Admis</v>
      </c>
      <c r="J160" s="4" t="str">
        <f t="shared" si="9"/>
        <v>Non eligible</v>
      </c>
      <c r="K160">
        <v>10.64</v>
      </c>
      <c r="L160" s="6" t="str">
        <f t="shared" si="10"/>
        <v>RAS</v>
      </c>
      <c r="M160" s="6" t="str">
        <f t="shared" si="11"/>
        <v>Data</v>
      </c>
      <c r="N160" s="8" t="str" cm="1">
        <f t="array" ref="N160">_xlfn.IFS(H160&gt;=16,"Excellent",H160&gt;=14,"Très bien",H160&gt;=12,"Bien",H160&gt;=10,"Passable",TRUE,"Insuffisant")</f>
        <v>Excellent</v>
      </c>
      <c r="O160">
        <v>0.6431</v>
      </c>
      <c r="P160">
        <v>120000</v>
      </c>
      <c r="Q160" s="2">
        <v>45606</v>
      </c>
    </row>
    <row r="161" spans="1:17" x14ac:dyDescent="0.45">
      <c r="A161" t="s">
        <v>306</v>
      </c>
      <c r="B161" t="s">
        <v>307</v>
      </c>
      <c r="C161" t="s">
        <v>19</v>
      </c>
      <c r="D161" t="s">
        <v>35</v>
      </c>
      <c r="E161" t="s">
        <v>29</v>
      </c>
      <c r="F161">
        <v>17.34</v>
      </c>
      <c r="G161">
        <v>17.350000000000001</v>
      </c>
      <c r="H161">
        <v>15.47</v>
      </c>
      <c r="I161" s="4" t="str">
        <f t="shared" si="8"/>
        <v>Admis</v>
      </c>
      <c r="J161" s="4" t="str">
        <f t="shared" si="9"/>
        <v>Eligible</v>
      </c>
      <c r="K161">
        <v>19.100000000000001</v>
      </c>
      <c r="L161" s="6" t="str">
        <f t="shared" si="10"/>
        <v>RAS</v>
      </c>
      <c r="M161" s="6" t="str">
        <f t="shared" si="11"/>
        <v>Hors Data</v>
      </c>
      <c r="N161" s="8" t="str" cm="1">
        <f t="array" ref="N161">_xlfn.IFS(H161&gt;=16,"Excellent",H161&gt;=14,"Très bien",H161&gt;=12,"Bien",H161&gt;=10,"Passable",TRUE,"Insuffisant")</f>
        <v>Très bien</v>
      </c>
      <c r="O161">
        <v>0.83650000000000002</v>
      </c>
      <c r="P161">
        <v>130000</v>
      </c>
      <c r="Q161" s="2">
        <v>46132</v>
      </c>
    </row>
    <row r="162" spans="1:17" x14ac:dyDescent="0.45">
      <c r="A162" t="s">
        <v>308</v>
      </c>
      <c r="B162" t="s">
        <v>309</v>
      </c>
      <c r="C162" t="s">
        <v>19</v>
      </c>
      <c r="D162" t="s">
        <v>32</v>
      </c>
      <c r="E162" t="s">
        <v>16</v>
      </c>
      <c r="F162">
        <v>15.66</v>
      </c>
      <c r="G162">
        <v>11.46</v>
      </c>
      <c r="H162">
        <v>11.64</v>
      </c>
      <c r="I162" s="4" t="str">
        <f t="shared" si="8"/>
        <v>Admis</v>
      </c>
      <c r="J162" s="4" t="str">
        <f t="shared" si="9"/>
        <v>Non eligible</v>
      </c>
      <c r="K162">
        <v>15.82</v>
      </c>
      <c r="L162" s="6" t="str">
        <f t="shared" si="10"/>
        <v>RAS</v>
      </c>
      <c r="M162" s="6" t="str">
        <f t="shared" si="11"/>
        <v>Data</v>
      </c>
      <c r="N162" s="8" t="str" cm="1">
        <f t="array" ref="N162">_xlfn.IFS(H162&gt;=16,"Excellent",H162&gt;=14,"Très bien",H162&gt;=12,"Bien",H162&gt;=10,"Passable",TRUE,"Insuffisant")</f>
        <v>Passable</v>
      </c>
      <c r="O162">
        <v>0.91639999999999999</v>
      </c>
      <c r="P162">
        <v>100000</v>
      </c>
      <c r="Q162" s="2">
        <v>45574</v>
      </c>
    </row>
    <row r="163" spans="1:17" x14ac:dyDescent="0.45">
      <c r="A163" t="s">
        <v>310</v>
      </c>
      <c r="B163" t="s">
        <v>311</v>
      </c>
      <c r="C163" t="s">
        <v>19</v>
      </c>
      <c r="D163" t="s">
        <v>35</v>
      </c>
      <c r="E163" t="s">
        <v>21</v>
      </c>
      <c r="F163">
        <v>14.71</v>
      </c>
      <c r="G163">
        <v>11.81</v>
      </c>
      <c r="H163">
        <v>8.17</v>
      </c>
      <c r="I163" s="4" t="str">
        <f t="shared" si="8"/>
        <v>Non admis</v>
      </c>
      <c r="J163" s="4" t="str">
        <f t="shared" si="9"/>
        <v>Non eligible</v>
      </c>
      <c r="K163">
        <v>15</v>
      </c>
      <c r="L163" s="6" t="str">
        <f t="shared" si="10"/>
        <v>A surveiller</v>
      </c>
      <c r="M163" s="6" t="str">
        <f t="shared" si="11"/>
        <v>Hors Data</v>
      </c>
      <c r="N163" s="8" t="str" cm="1">
        <f t="array" ref="N163">_xlfn.IFS(H163&gt;=16,"Excellent",H163&gt;=14,"Très bien",H163&gt;=12,"Bien",H163&gt;=10,"Passable",TRUE,"Insuffisant")</f>
        <v>Insuffisant</v>
      </c>
      <c r="O163">
        <v>0.74680000000000002</v>
      </c>
      <c r="P163">
        <v>130000</v>
      </c>
      <c r="Q163" s="2">
        <v>45936</v>
      </c>
    </row>
    <row r="164" spans="1:17" x14ac:dyDescent="0.45">
      <c r="A164" t="s">
        <v>312</v>
      </c>
      <c r="B164" t="s">
        <v>13</v>
      </c>
      <c r="C164" t="s">
        <v>14</v>
      </c>
      <c r="D164" t="s">
        <v>15</v>
      </c>
      <c r="E164" t="s">
        <v>29</v>
      </c>
      <c r="F164">
        <v>7.8</v>
      </c>
      <c r="G164">
        <v>8.25</v>
      </c>
      <c r="H164">
        <v>8.6199999999999992</v>
      </c>
      <c r="I164" s="4" t="str">
        <f t="shared" si="8"/>
        <v>Non admis</v>
      </c>
      <c r="J164" s="4" t="str">
        <f t="shared" si="9"/>
        <v>Non eligible</v>
      </c>
      <c r="K164">
        <v>7.23</v>
      </c>
      <c r="L164" s="6" t="str">
        <f t="shared" si="10"/>
        <v>A surveiller</v>
      </c>
      <c r="M164" s="6" t="str">
        <f t="shared" si="11"/>
        <v>Hors Data</v>
      </c>
      <c r="N164" s="8" t="str" cm="1">
        <f t="array" ref="N164">_xlfn.IFS(H164&gt;=16,"Excellent",H164&gt;=14,"Très bien",H164&gt;=12,"Bien",H164&gt;=10,"Passable",TRUE,"Insuffisant")</f>
        <v>Insuffisant</v>
      </c>
      <c r="O164">
        <v>0.91080000000000005</v>
      </c>
      <c r="P164">
        <v>90000</v>
      </c>
      <c r="Q164" s="2">
        <v>45722</v>
      </c>
    </row>
    <row r="165" spans="1:17" x14ac:dyDescent="0.45">
      <c r="A165" t="s">
        <v>313</v>
      </c>
      <c r="B165" t="s">
        <v>314</v>
      </c>
      <c r="C165" t="s">
        <v>14</v>
      </c>
      <c r="D165" t="s">
        <v>35</v>
      </c>
      <c r="E165" t="s">
        <v>16</v>
      </c>
      <c r="F165">
        <v>10.18</v>
      </c>
      <c r="G165">
        <v>10.91</v>
      </c>
      <c r="H165">
        <v>8.77</v>
      </c>
      <c r="I165" s="4" t="str">
        <f t="shared" si="8"/>
        <v>Non admis</v>
      </c>
      <c r="J165" s="4" t="str">
        <f t="shared" si="9"/>
        <v>Non eligible</v>
      </c>
      <c r="K165">
        <v>12.82</v>
      </c>
      <c r="L165" s="6" t="str">
        <f t="shared" si="10"/>
        <v>A surveiller</v>
      </c>
      <c r="M165" s="6" t="str">
        <f t="shared" si="11"/>
        <v>Data</v>
      </c>
      <c r="N165" s="8" t="str" cm="1">
        <f t="array" ref="N165">_xlfn.IFS(H165&gt;=16,"Excellent",H165&gt;=14,"Très bien",H165&gt;=12,"Bien",H165&gt;=10,"Passable",TRUE,"Insuffisant")</f>
        <v>Insuffisant</v>
      </c>
      <c r="O165">
        <v>0.9526</v>
      </c>
      <c r="P165">
        <v>75000</v>
      </c>
      <c r="Q165" s="2">
        <v>45685</v>
      </c>
    </row>
    <row r="166" spans="1:17" x14ac:dyDescent="0.45">
      <c r="A166" t="s">
        <v>315</v>
      </c>
      <c r="B166" t="s">
        <v>279</v>
      </c>
      <c r="C166" t="s">
        <v>14</v>
      </c>
      <c r="D166" t="s">
        <v>47</v>
      </c>
      <c r="E166" t="s">
        <v>29</v>
      </c>
      <c r="F166">
        <v>15.02</v>
      </c>
      <c r="G166">
        <v>14.73</v>
      </c>
      <c r="H166">
        <v>10.6</v>
      </c>
      <c r="I166" s="4" t="str">
        <f t="shared" si="8"/>
        <v>Admis</v>
      </c>
      <c r="J166" s="4" t="str">
        <f t="shared" si="9"/>
        <v>Non eligible</v>
      </c>
      <c r="K166">
        <v>14.57</v>
      </c>
      <c r="L166" s="6" t="str">
        <f t="shared" si="10"/>
        <v>RAS</v>
      </c>
      <c r="M166" s="6" t="str">
        <f t="shared" si="11"/>
        <v>Hors Data</v>
      </c>
      <c r="N166" s="8" t="str" cm="1">
        <f t="array" ref="N166">_xlfn.IFS(H166&gt;=16,"Excellent",H166&gt;=14,"Très bien",H166&gt;=12,"Bien",H166&gt;=10,"Passable",TRUE,"Insuffisant")</f>
        <v>Passable</v>
      </c>
      <c r="O166">
        <v>0.55000000000000004</v>
      </c>
      <c r="P166">
        <v>90000</v>
      </c>
      <c r="Q166" s="2">
        <v>45565</v>
      </c>
    </row>
    <row r="167" spans="1:17" x14ac:dyDescent="0.45">
      <c r="A167" t="s">
        <v>316</v>
      </c>
      <c r="B167" t="s">
        <v>317</v>
      </c>
      <c r="C167" t="s">
        <v>19</v>
      </c>
      <c r="D167" t="s">
        <v>15</v>
      </c>
      <c r="E167" t="s">
        <v>16</v>
      </c>
      <c r="F167">
        <v>11.54</v>
      </c>
      <c r="G167">
        <v>14.85</v>
      </c>
      <c r="H167">
        <v>8.76</v>
      </c>
      <c r="I167" s="4" t="str">
        <f t="shared" si="8"/>
        <v>Non admis</v>
      </c>
      <c r="J167" s="4" t="str">
        <f t="shared" si="9"/>
        <v>Non eligible</v>
      </c>
      <c r="K167">
        <v>11.29</v>
      </c>
      <c r="L167" s="6" t="str">
        <f t="shared" si="10"/>
        <v>A surveiller</v>
      </c>
      <c r="M167" s="6" t="str">
        <f t="shared" si="11"/>
        <v>Data</v>
      </c>
      <c r="N167" s="8" t="str" cm="1">
        <f t="array" ref="N167">_xlfn.IFS(H167&gt;=16,"Excellent",H167&gt;=14,"Très bien",H167&gt;=12,"Bien",H167&gt;=10,"Passable",TRUE,"Insuffisant")</f>
        <v>Insuffisant</v>
      </c>
      <c r="O167">
        <v>0.86670000000000003</v>
      </c>
      <c r="P167">
        <v>90000</v>
      </c>
      <c r="Q167" s="2">
        <v>46166</v>
      </c>
    </row>
    <row r="168" spans="1:17" x14ac:dyDescent="0.45">
      <c r="A168" t="s">
        <v>318</v>
      </c>
      <c r="B168" t="s">
        <v>319</v>
      </c>
      <c r="C168" t="s">
        <v>14</v>
      </c>
      <c r="D168" t="s">
        <v>35</v>
      </c>
      <c r="E168" t="s">
        <v>29</v>
      </c>
      <c r="F168">
        <v>15.57</v>
      </c>
      <c r="G168">
        <v>15.62</v>
      </c>
      <c r="H168">
        <v>19.28</v>
      </c>
      <c r="I168" s="4" t="str">
        <f t="shared" si="8"/>
        <v>Admis</v>
      </c>
      <c r="J168" s="4" t="str">
        <f t="shared" si="9"/>
        <v>Non eligible</v>
      </c>
      <c r="K168">
        <v>15.74</v>
      </c>
      <c r="L168" s="6" t="str">
        <f t="shared" si="10"/>
        <v>RAS</v>
      </c>
      <c r="M168" s="6" t="str">
        <f t="shared" si="11"/>
        <v>Hors Data</v>
      </c>
      <c r="N168" s="8" t="str" cm="1">
        <f t="array" ref="N168">_xlfn.IFS(H168&gt;=16,"Excellent",H168&gt;=14,"Très bien",H168&gt;=12,"Bien",H168&gt;=10,"Passable",TRUE,"Insuffisant")</f>
        <v>Excellent</v>
      </c>
      <c r="O168">
        <v>0.76029999999999998</v>
      </c>
      <c r="P168">
        <v>60000</v>
      </c>
      <c r="Q168" s="2">
        <v>45836</v>
      </c>
    </row>
    <row r="169" spans="1:17" x14ac:dyDescent="0.45">
      <c r="A169" t="s">
        <v>320</v>
      </c>
      <c r="B169" t="s">
        <v>82</v>
      </c>
      <c r="C169" t="s">
        <v>14</v>
      </c>
      <c r="D169" t="s">
        <v>47</v>
      </c>
      <c r="E169" t="s">
        <v>21</v>
      </c>
      <c r="F169">
        <v>9.26</v>
      </c>
      <c r="G169">
        <v>11.82</v>
      </c>
      <c r="H169">
        <v>14.8</v>
      </c>
      <c r="I169" s="4" t="str">
        <f t="shared" si="8"/>
        <v>Admis</v>
      </c>
      <c r="J169" s="4" t="str">
        <f t="shared" si="9"/>
        <v>Non eligible</v>
      </c>
      <c r="K169">
        <v>11.54</v>
      </c>
      <c r="L169" s="6" t="str">
        <f t="shared" si="10"/>
        <v>A surveiller</v>
      </c>
      <c r="M169" s="6" t="str">
        <f t="shared" si="11"/>
        <v>Hors Data</v>
      </c>
      <c r="N169" s="8" t="str" cm="1">
        <f t="array" ref="N169">_xlfn.IFS(H169&gt;=16,"Excellent",H169&gt;=14,"Très bien",H169&gt;=12,"Bien",H169&gt;=10,"Passable",TRUE,"Insuffisant")</f>
        <v>Très bien</v>
      </c>
      <c r="O169">
        <v>0.93049999999999999</v>
      </c>
      <c r="P169">
        <v>70000</v>
      </c>
      <c r="Q169" s="2">
        <v>45775</v>
      </c>
    </row>
    <row r="170" spans="1:17" x14ac:dyDescent="0.45">
      <c r="A170" t="s">
        <v>321</v>
      </c>
      <c r="B170" t="s">
        <v>225</v>
      </c>
      <c r="C170" t="s">
        <v>14</v>
      </c>
      <c r="D170" t="s">
        <v>32</v>
      </c>
      <c r="E170" t="s">
        <v>42</v>
      </c>
      <c r="F170">
        <v>16.14</v>
      </c>
      <c r="G170">
        <v>14.35</v>
      </c>
      <c r="H170">
        <v>20</v>
      </c>
      <c r="I170" s="4" t="str">
        <f t="shared" si="8"/>
        <v>Admis</v>
      </c>
      <c r="J170" s="4" t="str">
        <f t="shared" si="9"/>
        <v>Eligible</v>
      </c>
      <c r="K170">
        <v>18.850000000000001</v>
      </c>
      <c r="L170" s="6" t="str">
        <f t="shared" si="10"/>
        <v>RAS</v>
      </c>
      <c r="M170" s="6" t="str">
        <f t="shared" si="11"/>
        <v>Hors Data</v>
      </c>
      <c r="N170" s="8" t="str" cm="1">
        <f t="array" ref="N170">_xlfn.IFS(H170&gt;=16,"Excellent",H170&gt;=14,"Très bien",H170&gt;=12,"Bien",H170&gt;=10,"Passable",TRUE,"Insuffisant")</f>
        <v>Excellent</v>
      </c>
      <c r="O170">
        <v>0.85829999999999995</v>
      </c>
      <c r="P170">
        <v>75000</v>
      </c>
      <c r="Q170" s="2">
        <v>46054</v>
      </c>
    </row>
    <row r="171" spans="1:17" x14ac:dyDescent="0.45">
      <c r="A171" t="s">
        <v>322</v>
      </c>
      <c r="B171" t="s">
        <v>323</v>
      </c>
      <c r="C171" t="s">
        <v>14</v>
      </c>
      <c r="D171" t="s">
        <v>47</v>
      </c>
      <c r="E171" t="s">
        <v>21</v>
      </c>
      <c r="F171">
        <v>15.33</v>
      </c>
      <c r="G171">
        <v>18.54</v>
      </c>
      <c r="H171">
        <v>12.36</v>
      </c>
      <c r="I171" s="4" t="str">
        <f t="shared" si="8"/>
        <v>Admis</v>
      </c>
      <c r="J171" s="4" t="str">
        <f t="shared" si="9"/>
        <v>Eligible</v>
      </c>
      <c r="K171">
        <v>13.48</v>
      </c>
      <c r="L171" s="6" t="str">
        <f t="shared" si="10"/>
        <v>RAS</v>
      </c>
      <c r="M171" s="6" t="str">
        <f t="shared" si="11"/>
        <v>Hors Data</v>
      </c>
      <c r="N171" s="8" t="str" cm="1">
        <f t="array" ref="N171">_xlfn.IFS(H171&gt;=16,"Excellent",H171&gt;=14,"Très bien",H171&gt;=12,"Bien",H171&gt;=10,"Passable",TRUE,"Insuffisant")</f>
        <v>Bien</v>
      </c>
      <c r="O171">
        <v>0.8236</v>
      </c>
      <c r="P171">
        <v>90000</v>
      </c>
      <c r="Q171" s="2">
        <v>45563</v>
      </c>
    </row>
    <row r="172" spans="1:17" x14ac:dyDescent="0.45">
      <c r="A172" t="s">
        <v>324</v>
      </c>
      <c r="B172" t="s">
        <v>325</v>
      </c>
      <c r="C172" t="s">
        <v>14</v>
      </c>
      <c r="D172" t="s">
        <v>32</v>
      </c>
      <c r="E172" t="s">
        <v>42</v>
      </c>
      <c r="F172">
        <v>18.61</v>
      </c>
      <c r="G172">
        <v>14.67</v>
      </c>
      <c r="H172">
        <v>14.29</v>
      </c>
      <c r="I172" s="4" t="str">
        <f t="shared" si="8"/>
        <v>Admis</v>
      </c>
      <c r="J172" s="4" t="str">
        <f t="shared" si="9"/>
        <v>Eligible</v>
      </c>
      <c r="K172">
        <v>11.2</v>
      </c>
      <c r="L172" s="6" t="str">
        <f t="shared" si="10"/>
        <v>RAS</v>
      </c>
      <c r="M172" s="6" t="str">
        <f t="shared" si="11"/>
        <v>Hors Data</v>
      </c>
      <c r="N172" s="8" t="str" cm="1">
        <f t="array" ref="N172">_xlfn.IFS(H172&gt;=16,"Excellent",H172&gt;=14,"Très bien",H172&gt;=12,"Bien",H172&gt;=10,"Passable",TRUE,"Insuffisant")</f>
        <v>Très bien</v>
      </c>
      <c r="O172">
        <v>0.90839999999999999</v>
      </c>
      <c r="P172">
        <v>60000</v>
      </c>
      <c r="Q172" s="2">
        <v>45931</v>
      </c>
    </row>
    <row r="173" spans="1:17" x14ac:dyDescent="0.45">
      <c r="A173" t="s">
        <v>326</v>
      </c>
      <c r="B173" t="s">
        <v>155</v>
      </c>
      <c r="C173" t="s">
        <v>14</v>
      </c>
      <c r="D173" t="s">
        <v>15</v>
      </c>
      <c r="E173" t="s">
        <v>21</v>
      </c>
      <c r="F173">
        <v>13.39</v>
      </c>
      <c r="G173">
        <v>14.71</v>
      </c>
      <c r="H173">
        <v>10.61</v>
      </c>
      <c r="I173" s="4" t="str">
        <f t="shared" si="8"/>
        <v>Admis</v>
      </c>
      <c r="J173" s="4" t="str">
        <f t="shared" si="9"/>
        <v>Non eligible</v>
      </c>
      <c r="K173">
        <v>9.44</v>
      </c>
      <c r="L173" s="6" t="str">
        <f t="shared" si="10"/>
        <v>RAS</v>
      </c>
      <c r="M173" s="6" t="str">
        <f t="shared" si="11"/>
        <v>Hors Data</v>
      </c>
      <c r="N173" s="8" t="str" cm="1">
        <f t="array" ref="N173">_xlfn.IFS(H173&gt;=16,"Excellent",H173&gt;=14,"Très bien",H173&gt;=12,"Bien",H173&gt;=10,"Passable",TRUE,"Insuffisant")</f>
        <v>Passable</v>
      </c>
      <c r="O173">
        <v>0.91259999999999997</v>
      </c>
      <c r="P173">
        <v>110000</v>
      </c>
      <c r="Q173" s="2">
        <v>45882</v>
      </c>
    </row>
    <row r="174" spans="1:17" x14ac:dyDescent="0.45">
      <c r="A174" t="s">
        <v>327</v>
      </c>
      <c r="B174" t="s">
        <v>307</v>
      </c>
      <c r="C174" t="s">
        <v>19</v>
      </c>
      <c r="D174" t="s">
        <v>28</v>
      </c>
      <c r="E174" t="s">
        <v>29</v>
      </c>
      <c r="F174">
        <v>11.83</v>
      </c>
      <c r="G174">
        <v>10.96</v>
      </c>
      <c r="H174">
        <v>12.97</v>
      </c>
      <c r="I174" s="4" t="str">
        <f t="shared" si="8"/>
        <v>Admis</v>
      </c>
      <c r="J174" s="4" t="str">
        <f t="shared" si="9"/>
        <v>Non eligible</v>
      </c>
      <c r="K174">
        <v>15.24</v>
      </c>
      <c r="L174" s="6" t="str">
        <f t="shared" si="10"/>
        <v>RAS</v>
      </c>
      <c r="M174" s="6" t="str">
        <f t="shared" si="11"/>
        <v>Hors Data</v>
      </c>
      <c r="N174" s="8" t="str" cm="1">
        <f t="array" ref="N174">_xlfn.IFS(H174&gt;=16,"Excellent",H174&gt;=14,"Très bien",H174&gt;=12,"Bien",H174&gt;=10,"Passable",TRUE,"Insuffisant")</f>
        <v>Bien</v>
      </c>
      <c r="O174">
        <v>0.94269999999999998</v>
      </c>
      <c r="P174">
        <v>60000</v>
      </c>
      <c r="Q174" s="2">
        <v>45923</v>
      </c>
    </row>
    <row r="175" spans="1:17" x14ac:dyDescent="0.45">
      <c r="A175" t="s">
        <v>328</v>
      </c>
      <c r="B175" t="s">
        <v>113</v>
      </c>
      <c r="C175" t="s">
        <v>19</v>
      </c>
      <c r="D175" t="s">
        <v>32</v>
      </c>
      <c r="E175" t="s">
        <v>21</v>
      </c>
      <c r="F175">
        <v>15.71</v>
      </c>
      <c r="G175">
        <v>18.71</v>
      </c>
      <c r="H175">
        <v>17.37</v>
      </c>
      <c r="I175" s="4" t="str">
        <f t="shared" si="8"/>
        <v>Admis</v>
      </c>
      <c r="J175" s="4" t="str">
        <f t="shared" si="9"/>
        <v>Eligible</v>
      </c>
      <c r="K175">
        <v>17.010000000000002</v>
      </c>
      <c r="L175" s="6" t="str">
        <f t="shared" si="10"/>
        <v>RAS</v>
      </c>
      <c r="M175" s="6" t="str">
        <f t="shared" si="11"/>
        <v>Hors Data</v>
      </c>
      <c r="N175" s="8" t="str" cm="1">
        <f t="array" ref="N175">_xlfn.IFS(H175&gt;=16,"Excellent",H175&gt;=14,"Très bien",H175&gt;=12,"Bien",H175&gt;=10,"Passable",TRUE,"Insuffisant")</f>
        <v>Excellent</v>
      </c>
      <c r="O175">
        <v>0.85809999999999997</v>
      </c>
      <c r="P175">
        <v>130000</v>
      </c>
      <c r="Q175" s="2">
        <v>45622</v>
      </c>
    </row>
    <row r="176" spans="1:17" x14ac:dyDescent="0.45">
      <c r="A176" t="s">
        <v>329</v>
      </c>
      <c r="B176" t="s">
        <v>98</v>
      </c>
      <c r="C176" t="s">
        <v>19</v>
      </c>
      <c r="D176" t="s">
        <v>47</v>
      </c>
      <c r="E176" t="s">
        <v>16</v>
      </c>
      <c r="F176">
        <v>8.2200000000000006</v>
      </c>
      <c r="G176">
        <v>8.5299999999999994</v>
      </c>
      <c r="H176">
        <v>8.23</v>
      </c>
      <c r="I176" s="4" t="str">
        <f t="shared" si="8"/>
        <v>Non admis</v>
      </c>
      <c r="J176" s="4" t="str">
        <f t="shared" si="9"/>
        <v>Non eligible</v>
      </c>
      <c r="K176">
        <v>7.63</v>
      </c>
      <c r="L176" s="6" t="str">
        <f t="shared" si="10"/>
        <v>A surveiller</v>
      </c>
      <c r="M176" s="6" t="str">
        <f t="shared" si="11"/>
        <v>Data</v>
      </c>
      <c r="N176" s="8" t="str" cm="1">
        <f t="array" ref="N176">_xlfn.IFS(H176&gt;=16,"Excellent",H176&gt;=14,"Très bien",H176&gt;=12,"Bien",H176&gt;=10,"Passable",TRUE,"Insuffisant")</f>
        <v>Insuffisant</v>
      </c>
      <c r="O176">
        <v>0.71509999999999996</v>
      </c>
      <c r="P176">
        <v>100000</v>
      </c>
      <c r="Q176" s="2">
        <v>46202</v>
      </c>
    </row>
    <row r="177" spans="1:17" x14ac:dyDescent="0.45">
      <c r="A177" t="s">
        <v>330</v>
      </c>
      <c r="B177" t="s">
        <v>331</v>
      </c>
      <c r="C177" t="s">
        <v>14</v>
      </c>
      <c r="D177" t="s">
        <v>32</v>
      </c>
      <c r="E177" t="s">
        <v>29</v>
      </c>
      <c r="F177">
        <v>4.01</v>
      </c>
      <c r="G177">
        <v>7.74</v>
      </c>
      <c r="H177">
        <v>10.33</v>
      </c>
      <c r="I177" s="4" t="str">
        <f t="shared" si="8"/>
        <v>Admis</v>
      </c>
      <c r="J177" s="4" t="str">
        <f t="shared" si="9"/>
        <v>Non eligible</v>
      </c>
      <c r="K177">
        <v>10.52</v>
      </c>
      <c r="L177" s="6" t="str">
        <f t="shared" si="10"/>
        <v>A surveiller</v>
      </c>
      <c r="M177" s="6" t="str">
        <f t="shared" si="11"/>
        <v>Hors Data</v>
      </c>
      <c r="N177" s="8" t="str" cm="1">
        <f t="array" ref="N177">_xlfn.IFS(H177&gt;=16,"Excellent",H177&gt;=14,"Très bien",H177&gt;=12,"Bien",H177&gt;=10,"Passable",TRUE,"Insuffisant")</f>
        <v>Passable</v>
      </c>
      <c r="O177">
        <v>0.93520000000000003</v>
      </c>
      <c r="P177">
        <v>75000</v>
      </c>
      <c r="Q177" s="2">
        <v>45702</v>
      </c>
    </row>
    <row r="178" spans="1:17" x14ac:dyDescent="0.45">
      <c r="A178" t="s">
        <v>332</v>
      </c>
      <c r="B178" t="s">
        <v>140</v>
      </c>
      <c r="C178" t="s">
        <v>19</v>
      </c>
      <c r="D178" t="s">
        <v>35</v>
      </c>
      <c r="E178" t="s">
        <v>42</v>
      </c>
      <c r="F178">
        <v>13.19</v>
      </c>
      <c r="G178">
        <v>14.75</v>
      </c>
      <c r="H178">
        <v>14.36</v>
      </c>
      <c r="I178" s="4" t="str">
        <f t="shared" si="8"/>
        <v>Admis</v>
      </c>
      <c r="J178" s="4" t="str">
        <f t="shared" si="9"/>
        <v>Eligible</v>
      </c>
      <c r="K178">
        <v>9</v>
      </c>
      <c r="L178" s="6" t="str">
        <f t="shared" si="10"/>
        <v>RAS</v>
      </c>
      <c r="M178" s="6" t="str">
        <f t="shared" si="11"/>
        <v>Hors Data</v>
      </c>
      <c r="N178" s="8" t="str" cm="1">
        <f t="array" ref="N178">_xlfn.IFS(H178&gt;=16,"Excellent",H178&gt;=14,"Très bien",H178&gt;=12,"Bien",H178&gt;=10,"Passable",TRUE,"Insuffisant")</f>
        <v>Très bien</v>
      </c>
      <c r="O178">
        <v>0.83160000000000001</v>
      </c>
      <c r="P178">
        <v>80000</v>
      </c>
      <c r="Q178" s="2">
        <v>46010</v>
      </c>
    </row>
    <row r="179" spans="1:17" x14ac:dyDescent="0.45">
      <c r="A179" t="s">
        <v>333</v>
      </c>
      <c r="B179" t="s">
        <v>334</v>
      </c>
      <c r="C179" t="s">
        <v>14</v>
      </c>
      <c r="D179" t="s">
        <v>35</v>
      </c>
      <c r="E179" t="s">
        <v>29</v>
      </c>
      <c r="F179">
        <v>15.34</v>
      </c>
      <c r="G179">
        <v>19.03</v>
      </c>
      <c r="H179">
        <v>11.89</v>
      </c>
      <c r="I179" s="4" t="str">
        <f t="shared" si="8"/>
        <v>Admis</v>
      </c>
      <c r="J179" s="4" t="str">
        <f t="shared" si="9"/>
        <v>Non eligible</v>
      </c>
      <c r="K179">
        <v>13.34</v>
      </c>
      <c r="L179" s="6" t="str">
        <f t="shared" si="10"/>
        <v>RAS</v>
      </c>
      <c r="M179" s="6" t="str">
        <f t="shared" si="11"/>
        <v>Hors Data</v>
      </c>
      <c r="N179" s="8" t="str" cm="1">
        <f t="array" ref="N179">_xlfn.IFS(H179&gt;=16,"Excellent",H179&gt;=14,"Très bien",H179&gt;=12,"Bien",H179&gt;=10,"Passable",TRUE,"Insuffisant")</f>
        <v>Passable</v>
      </c>
      <c r="O179">
        <v>0.91769999999999996</v>
      </c>
      <c r="P179">
        <v>100000</v>
      </c>
      <c r="Q179" s="2">
        <v>46058</v>
      </c>
    </row>
    <row r="180" spans="1:17" x14ac:dyDescent="0.45">
      <c r="A180" t="s">
        <v>335</v>
      </c>
      <c r="B180" t="s">
        <v>336</v>
      </c>
      <c r="C180" t="s">
        <v>19</v>
      </c>
      <c r="D180" t="s">
        <v>32</v>
      </c>
      <c r="E180" t="s">
        <v>29</v>
      </c>
      <c r="F180">
        <v>16.39</v>
      </c>
      <c r="G180">
        <v>13.75</v>
      </c>
      <c r="H180">
        <v>17.829999999999998</v>
      </c>
      <c r="I180" s="4" t="str">
        <f t="shared" si="8"/>
        <v>Admis</v>
      </c>
      <c r="J180" s="4" t="str">
        <f t="shared" si="9"/>
        <v>Non eligible</v>
      </c>
      <c r="K180">
        <v>14.96</v>
      </c>
      <c r="L180" s="6" t="str">
        <f t="shared" si="10"/>
        <v>RAS</v>
      </c>
      <c r="M180" s="6" t="str">
        <f t="shared" si="11"/>
        <v>Hors Data</v>
      </c>
      <c r="N180" s="8" t="str" cm="1">
        <f t="array" ref="N180">_xlfn.IFS(H180&gt;=16,"Excellent",H180&gt;=14,"Très bien",H180&gt;=12,"Bien",H180&gt;=10,"Passable",TRUE,"Insuffisant")</f>
        <v>Excellent</v>
      </c>
      <c r="O180">
        <v>0.77470000000000006</v>
      </c>
      <c r="P180">
        <v>50000</v>
      </c>
      <c r="Q180" s="2">
        <v>45776</v>
      </c>
    </row>
    <row r="181" spans="1:17" x14ac:dyDescent="0.45">
      <c r="A181" t="s">
        <v>337</v>
      </c>
      <c r="B181" t="s">
        <v>338</v>
      </c>
      <c r="C181" t="s">
        <v>19</v>
      </c>
      <c r="D181" t="s">
        <v>32</v>
      </c>
      <c r="E181" t="s">
        <v>16</v>
      </c>
      <c r="F181">
        <v>14.34</v>
      </c>
      <c r="G181">
        <v>12.98</v>
      </c>
      <c r="H181">
        <v>14.93</v>
      </c>
      <c r="I181" s="4" t="str">
        <f t="shared" si="8"/>
        <v>Admis</v>
      </c>
      <c r="J181" s="4" t="str">
        <f t="shared" si="9"/>
        <v>Non eligible</v>
      </c>
      <c r="K181">
        <v>15.56</v>
      </c>
      <c r="L181" s="6" t="str">
        <f t="shared" si="10"/>
        <v>RAS</v>
      </c>
      <c r="M181" s="6" t="str">
        <f t="shared" si="11"/>
        <v>Data</v>
      </c>
      <c r="N181" s="8" t="str" cm="1">
        <f t="array" ref="N181">_xlfn.IFS(H181&gt;=16,"Excellent",H181&gt;=14,"Très bien",H181&gt;=12,"Bien",H181&gt;=10,"Passable",TRUE,"Insuffisant")</f>
        <v>Très bien</v>
      </c>
      <c r="O181">
        <v>0.74880000000000002</v>
      </c>
      <c r="P181">
        <v>100000</v>
      </c>
      <c r="Q181" s="2">
        <v>45627</v>
      </c>
    </row>
    <row r="182" spans="1:17" x14ac:dyDescent="0.45">
      <c r="A182" t="s">
        <v>339</v>
      </c>
      <c r="B182" t="s">
        <v>340</v>
      </c>
      <c r="C182" t="s">
        <v>19</v>
      </c>
      <c r="D182" t="s">
        <v>47</v>
      </c>
      <c r="E182" t="s">
        <v>16</v>
      </c>
      <c r="F182">
        <v>13.67</v>
      </c>
      <c r="G182">
        <v>10.89</v>
      </c>
      <c r="H182">
        <v>11.91</v>
      </c>
      <c r="I182" s="4" t="str">
        <f t="shared" si="8"/>
        <v>Admis</v>
      </c>
      <c r="J182" s="4" t="str">
        <f t="shared" si="9"/>
        <v>Non eligible</v>
      </c>
      <c r="K182">
        <v>15.05</v>
      </c>
      <c r="L182" s="6" t="str">
        <f t="shared" si="10"/>
        <v>RAS</v>
      </c>
      <c r="M182" s="6" t="str">
        <f t="shared" si="11"/>
        <v>Data</v>
      </c>
      <c r="N182" s="8" t="str" cm="1">
        <f t="array" ref="N182">_xlfn.IFS(H182&gt;=16,"Excellent",H182&gt;=14,"Très bien",H182&gt;=12,"Bien",H182&gt;=10,"Passable",TRUE,"Insuffisant")</f>
        <v>Passable</v>
      </c>
      <c r="O182">
        <v>0.74060000000000004</v>
      </c>
      <c r="P182">
        <v>90000</v>
      </c>
      <c r="Q182" s="2">
        <v>45743</v>
      </c>
    </row>
    <row r="183" spans="1:17" x14ac:dyDescent="0.45">
      <c r="A183" t="s">
        <v>341</v>
      </c>
      <c r="B183" t="s">
        <v>225</v>
      </c>
      <c r="C183" t="s">
        <v>14</v>
      </c>
      <c r="D183" t="s">
        <v>35</v>
      </c>
      <c r="E183" t="s">
        <v>42</v>
      </c>
      <c r="F183">
        <v>16.73</v>
      </c>
      <c r="G183">
        <v>20</v>
      </c>
      <c r="H183">
        <v>14.99</v>
      </c>
      <c r="I183" s="4" t="str">
        <f t="shared" si="8"/>
        <v>Admis</v>
      </c>
      <c r="J183" s="4" t="str">
        <f t="shared" si="9"/>
        <v>Eligible</v>
      </c>
      <c r="K183">
        <v>13.33</v>
      </c>
      <c r="L183" s="6" t="str">
        <f t="shared" si="10"/>
        <v>RAS</v>
      </c>
      <c r="M183" s="6" t="str">
        <f t="shared" si="11"/>
        <v>Hors Data</v>
      </c>
      <c r="N183" s="8" t="str" cm="1">
        <f t="array" ref="N183">_xlfn.IFS(H183&gt;=16,"Excellent",H183&gt;=14,"Très bien",H183&gt;=12,"Bien",H183&gt;=10,"Passable",TRUE,"Insuffisant")</f>
        <v>Très bien</v>
      </c>
      <c r="O183">
        <v>0.88170000000000004</v>
      </c>
      <c r="P183">
        <v>70000</v>
      </c>
      <c r="Q183" s="2">
        <v>46100</v>
      </c>
    </row>
    <row r="184" spans="1:17" x14ac:dyDescent="0.45">
      <c r="A184" t="s">
        <v>342</v>
      </c>
      <c r="B184" t="s">
        <v>229</v>
      </c>
      <c r="C184" t="s">
        <v>14</v>
      </c>
      <c r="D184" t="s">
        <v>20</v>
      </c>
      <c r="E184" t="s">
        <v>21</v>
      </c>
      <c r="F184">
        <v>14.67</v>
      </c>
      <c r="G184">
        <v>19.079999999999998</v>
      </c>
      <c r="H184">
        <v>15.35</v>
      </c>
      <c r="I184" s="4" t="str">
        <f t="shared" si="8"/>
        <v>Admis</v>
      </c>
      <c r="J184" s="4" t="str">
        <f t="shared" si="9"/>
        <v>Eligible</v>
      </c>
      <c r="K184">
        <v>17.54</v>
      </c>
      <c r="L184" s="6" t="str">
        <f t="shared" si="10"/>
        <v>RAS</v>
      </c>
      <c r="M184" s="6" t="str">
        <f t="shared" si="11"/>
        <v>Hors Data</v>
      </c>
      <c r="N184" s="8" t="str" cm="1">
        <f t="array" ref="N184">_xlfn.IFS(H184&gt;=16,"Excellent",H184&gt;=14,"Très bien",H184&gt;=12,"Bien",H184&gt;=10,"Passable",TRUE,"Insuffisant")</f>
        <v>Très bien</v>
      </c>
      <c r="O184">
        <v>0.83099999999999996</v>
      </c>
      <c r="P184">
        <v>120000</v>
      </c>
      <c r="Q184" s="2">
        <v>46170</v>
      </c>
    </row>
    <row r="185" spans="1:17" x14ac:dyDescent="0.45">
      <c r="A185" t="s">
        <v>343</v>
      </c>
      <c r="B185" t="s">
        <v>264</v>
      </c>
      <c r="C185" t="s">
        <v>19</v>
      </c>
      <c r="D185" t="s">
        <v>20</v>
      </c>
      <c r="E185" t="s">
        <v>16</v>
      </c>
      <c r="F185">
        <v>18.09</v>
      </c>
      <c r="G185">
        <v>14.12</v>
      </c>
      <c r="H185">
        <v>18.05</v>
      </c>
      <c r="I185" s="4" t="str">
        <f t="shared" si="8"/>
        <v>Admis</v>
      </c>
      <c r="J185" s="4" t="str">
        <f t="shared" si="9"/>
        <v>Eligible</v>
      </c>
      <c r="K185">
        <v>16.18</v>
      </c>
      <c r="L185" s="6" t="str">
        <f t="shared" si="10"/>
        <v>RAS</v>
      </c>
      <c r="M185" s="6" t="str">
        <f t="shared" si="11"/>
        <v>Data</v>
      </c>
      <c r="N185" s="8" t="str" cm="1">
        <f t="array" ref="N185">_xlfn.IFS(H185&gt;=16,"Excellent",H185&gt;=14,"Très bien",H185&gt;=12,"Bien",H185&gt;=10,"Passable",TRUE,"Insuffisant")</f>
        <v>Excellent</v>
      </c>
      <c r="O185">
        <v>0.90920000000000001</v>
      </c>
      <c r="P185">
        <v>90000</v>
      </c>
      <c r="Q185" s="2">
        <v>46191</v>
      </c>
    </row>
    <row r="186" spans="1:17" x14ac:dyDescent="0.45">
      <c r="A186" t="s">
        <v>344</v>
      </c>
      <c r="B186" t="s">
        <v>345</v>
      </c>
      <c r="C186" t="s">
        <v>14</v>
      </c>
      <c r="D186" t="s">
        <v>32</v>
      </c>
      <c r="E186" t="s">
        <v>29</v>
      </c>
      <c r="F186">
        <v>15.42</v>
      </c>
      <c r="G186">
        <v>16.68</v>
      </c>
      <c r="H186">
        <v>17.07</v>
      </c>
      <c r="I186" s="4" t="str">
        <f t="shared" si="8"/>
        <v>Admis</v>
      </c>
      <c r="J186" s="4" t="str">
        <f t="shared" si="9"/>
        <v>Eligible</v>
      </c>
      <c r="K186">
        <v>15.69</v>
      </c>
      <c r="L186" s="6" t="str">
        <f t="shared" si="10"/>
        <v>RAS</v>
      </c>
      <c r="M186" s="6" t="str">
        <f t="shared" si="11"/>
        <v>Hors Data</v>
      </c>
      <c r="N186" s="8" t="str" cm="1">
        <f t="array" ref="N186">_xlfn.IFS(H186&gt;=16,"Excellent",H186&gt;=14,"Très bien",H186&gt;=12,"Bien",H186&gt;=10,"Passable",TRUE,"Insuffisant")</f>
        <v>Excellent</v>
      </c>
      <c r="O186">
        <v>0.89990000000000003</v>
      </c>
      <c r="P186">
        <v>60000</v>
      </c>
      <c r="Q186" s="2">
        <v>45694</v>
      </c>
    </row>
    <row r="187" spans="1:17" x14ac:dyDescent="0.45">
      <c r="A187" t="s">
        <v>346</v>
      </c>
      <c r="B187" t="s">
        <v>109</v>
      </c>
      <c r="C187" t="s">
        <v>14</v>
      </c>
      <c r="D187" t="s">
        <v>28</v>
      </c>
      <c r="E187" t="s">
        <v>21</v>
      </c>
      <c r="F187">
        <v>15.97</v>
      </c>
      <c r="G187">
        <v>12.87</v>
      </c>
      <c r="H187">
        <v>14.85</v>
      </c>
      <c r="I187" s="4" t="str">
        <f t="shared" si="8"/>
        <v>Admis</v>
      </c>
      <c r="J187" s="4" t="str">
        <f t="shared" si="9"/>
        <v>Non eligible</v>
      </c>
      <c r="K187">
        <v>13.86</v>
      </c>
      <c r="L187" s="6" t="str">
        <f t="shared" si="10"/>
        <v>RAS</v>
      </c>
      <c r="M187" s="6" t="str">
        <f t="shared" si="11"/>
        <v>Hors Data</v>
      </c>
      <c r="N187" s="8" t="str" cm="1">
        <f t="array" ref="N187">_xlfn.IFS(H187&gt;=16,"Excellent",H187&gt;=14,"Très bien",H187&gt;=12,"Bien",H187&gt;=10,"Passable",TRUE,"Insuffisant")</f>
        <v>Très bien</v>
      </c>
      <c r="O187">
        <v>0.77890000000000004</v>
      </c>
      <c r="P187">
        <v>100000</v>
      </c>
      <c r="Q187" s="2">
        <v>45960</v>
      </c>
    </row>
    <row r="188" spans="1:17" x14ac:dyDescent="0.45">
      <c r="A188" t="s">
        <v>347</v>
      </c>
      <c r="B188" t="s">
        <v>348</v>
      </c>
      <c r="C188" t="s">
        <v>14</v>
      </c>
      <c r="D188" t="s">
        <v>47</v>
      </c>
      <c r="E188" t="s">
        <v>21</v>
      </c>
      <c r="F188">
        <v>6.61</v>
      </c>
      <c r="G188">
        <v>14.29</v>
      </c>
      <c r="H188">
        <v>11.55</v>
      </c>
      <c r="I188" s="4" t="str">
        <f t="shared" si="8"/>
        <v>Admis</v>
      </c>
      <c r="J188" s="4" t="str">
        <f t="shared" si="9"/>
        <v>Non eligible</v>
      </c>
      <c r="K188">
        <v>12.75</v>
      </c>
      <c r="L188" s="6" t="str">
        <f t="shared" si="10"/>
        <v>A surveiller</v>
      </c>
      <c r="M188" s="6" t="str">
        <f t="shared" si="11"/>
        <v>Hors Data</v>
      </c>
      <c r="N188" s="8" t="str" cm="1">
        <f t="array" ref="N188">_xlfn.IFS(H188&gt;=16,"Excellent",H188&gt;=14,"Très bien",H188&gt;=12,"Bien",H188&gt;=10,"Passable",TRUE,"Insuffisant")</f>
        <v>Passable</v>
      </c>
      <c r="O188">
        <v>0.77200000000000002</v>
      </c>
      <c r="P188">
        <v>80000</v>
      </c>
      <c r="Q188" s="2">
        <v>45641</v>
      </c>
    </row>
    <row r="189" spans="1:17" x14ac:dyDescent="0.45">
      <c r="A189" t="s">
        <v>349</v>
      </c>
      <c r="B189" t="s">
        <v>41</v>
      </c>
      <c r="C189" t="s">
        <v>14</v>
      </c>
      <c r="D189" t="s">
        <v>20</v>
      </c>
      <c r="E189" t="s">
        <v>16</v>
      </c>
      <c r="F189">
        <v>18.260000000000002</v>
      </c>
      <c r="G189">
        <v>15.02</v>
      </c>
      <c r="H189">
        <v>20</v>
      </c>
      <c r="I189" s="4" t="str">
        <f t="shared" si="8"/>
        <v>Admis</v>
      </c>
      <c r="J189" s="4" t="str">
        <f t="shared" si="9"/>
        <v>Eligible</v>
      </c>
      <c r="K189">
        <v>16.11</v>
      </c>
      <c r="L189" s="6" t="str">
        <f t="shared" si="10"/>
        <v>RAS</v>
      </c>
      <c r="M189" s="6" t="str">
        <f t="shared" si="11"/>
        <v>Data</v>
      </c>
      <c r="N189" s="8" t="str" cm="1">
        <f t="array" ref="N189">_xlfn.IFS(H189&gt;=16,"Excellent",H189&gt;=14,"Très bien",H189&gt;=12,"Bien",H189&gt;=10,"Passable",TRUE,"Insuffisant")</f>
        <v>Excellent</v>
      </c>
      <c r="O189">
        <v>0.83209999999999995</v>
      </c>
      <c r="P189">
        <v>110000</v>
      </c>
      <c r="Q189" s="2">
        <v>46033</v>
      </c>
    </row>
    <row r="190" spans="1:17" x14ac:dyDescent="0.45">
      <c r="A190" t="s">
        <v>350</v>
      </c>
      <c r="B190" t="s">
        <v>351</v>
      </c>
      <c r="C190" t="s">
        <v>14</v>
      </c>
      <c r="D190" t="s">
        <v>28</v>
      </c>
      <c r="E190" t="s">
        <v>42</v>
      </c>
      <c r="F190">
        <v>17.04</v>
      </c>
      <c r="G190">
        <v>13.64</v>
      </c>
      <c r="H190">
        <v>16.88</v>
      </c>
      <c r="I190" s="4" t="str">
        <f t="shared" si="8"/>
        <v>Admis</v>
      </c>
      <c r="J190" s="4" t="str">
        <f t="shared" si="9"/>
        <v>Eligible</v>
      </c>
      <c r="K190">
        <v>14.99</v>
      </c>
      <c r="L190" s="6" t="str">
        <f t="shared" si="10"/>
        <v>RAS</v>
      </c>
      <c r="M190" s="6" t="str">
        <f t="shared" si="11"/>
        <v>Hors Data</v>
      </c>
      <c r="N190" s="8" t="str" cm="1">
        <f t="array" ref="N190">_xlfn.IFS(H190&gt;=16,"Excellent",H190&gt;=14,"Très bien",H190&gt;=12,"Bien",H190&gt;=10,"Passable",TRUE,"Insuffisant")</f>
        <v>Excellent</v>
      </c>
      <c r="O190">
        <v>0.90059999999999996</v>
      </c>
      <c r="P190">
        <v>85000</v>
      </c>
      <c r="Q190" s="2">
        <v>45827</v>
      </c>
    </row>
    <row r="191" spans="1:17" x14ac:dyDescent="0.45">
      <c r="A191" t="s">
        <v>352</v>
      </c>
      <c r="B191" t="s">
        <v>353</v>
      </c>
      <c r="C191" t="s">
        <v>14</v>
      </c>
      <c r="D191" t="s">
        <v>32</v>
      </c>
      <c r="E191" t="s">
        <v>16</v>
      </c>
      <c r="F191">
        <v>13.57</v>
      </c>
      <c r="G191">
        <v>15.24</v>
      </c>
      <c r="H191">
        <v>12.12</v>
      </c>
      <c r="I191" s="4" t="str">
        <f t="shared" si="8"/>
        <v>Admis</v>
      </c>
      <c r="J191" s="4" t="str">
        <f t="shared" si="9"/>
        <v>Eligible</v>
      </c>
      <c r="K191">
        <v>14.64</v>
      </c>
      <c r="L191" s="6" t="str">
        <f t="shared" si="10"/>
        <v>RAS</v>
      </c>
      <c r="M191" s="6" t="str">
        <f t="shared" si="11"/>
        <v>Data</v>
      </c>
      <c r="N191" s="8" t="str" cm="1">
        <f t="array" ref="N191">_xlfn.IFS(H191&gt;=16,"Excellent",H191&gt;=14,"Très bien",H191&gt;=12,"Bien",H191&gt;=10,"Passable",TRUE,"Insuffisant")</f>
        <v>Bien</v>
      </c>
      <c r="O191">
        <v>0.96360000000000001</v>
      </c>
      <c r="P191">
        <v>130000</v>
      </c>
      <c r="Q191" s="2">
        <v>46035</v>
      </c>
    </row>
    <row r="192" spans="1:17" x14ac:dyDescent="0.45">
      <c r="A192" t="s">
        <v>354</v>
      </c>
      <c r="B192" t="s">
        <v>264</v>
      </c>
      <c r="C192" t="s">
        <v>19</v>
      </c>
      <c r="D192" t="s">
        <v>20</v>
      </c>
      <c r="E192" t="s">
        <v>16</v>
      </c>
      <c r="F192">
        <v>18.850000000000001</v>
      </c>
      <c r="G192">
        <v>17.61</v>
      </c>
      <c r="H192">
        <v>17.22</v>
      </c>
      <c r="I192" s="4" t="str">
        <f t="shared" si="8"/>
        <v>Admis</v>
      </c>
      <c r="J192" s="4" t="str">
        <f t="shared" si="9"/>
        <v>Non eligible</v>
      </c>
      <c r="K192">
        <v>15.36</v>
      </c>
      <c r="L192" s="6" t="str">
        <f t="shared" si="10"/>
        <v>RAS</v>
      </c>
      <c r="M192" s="6" t="str">
        <f t="shared" si="11"/>
        <v>Data</v>
      </c>
      <c r="N192" s="8" t="str" cm="1">
        <f t="array" ref="N192">_xlfn.IFS(H192&gt;=16,"Excellent",H192&gt;=14,"Très bien",H192&gt;=12,"Bien",H192&gt;=10,"Passable",TRUE,"Insuffisant")</f>
        <v>Excellent</v>
      </c>
      <c r="O192">
        <v>0.6754</v>
      </c>
      <c r="P192">
        <v>130000</v>
      </c>
      <c r="Q192" s="2">
        <v>46015</v>
      </c>
    </row>
    <row r="193" spans="1:17" x14ac:dyDescent="0.45">
      <c r="A193" t="s">
        <v>355</v>
      </c>
      <c r="B193" t="s">
        <v>356</v>
      </c>
      <c r="C193" t="s">
        <v>19</v>
      </c>
      <c r="D193" t="s">
        <v>28</v>
      </c>
      <c r="E193" t="s">
        <v>16</v>
      </c>
      <c r="F193">
        <v>7.87</v>
      </c>
      <c r="G193">
        <v>6.52</v>
      </c>
      <c r="H193">
        <v>6.37</v>
      </c>
      <c r="I193" s="4" t="str">
        <f t="shared" si="8"/>
        <v>Non admis</v>
      </c>
      <c r="J193" s="4" t="str">
        <f t="shared" si="9"/>
        <v>Non eligible</v>
      </c>
      <c r="K193">
        <v>8.7200000000000006</v>
      </c>
      <c r="L193" s="6" t="str">
        <f t="shared" si="10"/>
        <v>A surveiller</v>
      </c>
      <c r="M193" s="6" t="str">
        <f t="shared" si="11"/>
        <v>Data</v>
      </c>
      <c r="N193" s="8" t="str" cm="1">
        <f t="array" ref="N193">_xlfn.IFS(H193&gt;=16,"Excellent",H193&gt;=14,"Très bien",H193&gt;=12,"Bien",H193&gt;=10,"Passable",TRUE,"Insuffisant")</f>
        <v>Insuffisant</v>
      </c>
      <c r="O193">
        <v>0.97640000000000005</v>
      </c>
      <c r="P193">
        <v>50000</v>
      </c>
      <c r="Q193" s="2">
        <v>46230</v>
      </c>
    </row>
    <row r="194" spans="1:17" x14ac:dyDescent="0.45">
      <c r="A194" t="s">
        <v>357</v>
      </c>
      <c r="B194" t="s">
        <v>121</v>
      </c>
      <c r="C194" t="s">
        <v>19</v>
      </c>
      <c r="D194" t="s">
        <v>15</v>
      </c>
      <c r="E194" t="s">
        <v>42</v>
      </c>
      <c r="F194">
        <v>8.1199999999999992</v>
      </c>
      <c r="G194">
        <v>9.9499999999999993</v>
      </c>
      <c r="H194">
        <v>10.050000000000001</v>
      </c>
      <c r="I194" s="4" t="str">
        <f t="shared" si="8"/>
        <v>Admis</v>
      </c>
      <c r="J194" s="4" t="str">
        <f t="shared" si="9"/>
        <v>Non eligible</v>
      </c>
      <c r="K194">
        <v>12</v>
      </c>
      <c r="L194" s="6" t="str">
        <f t="shared" si="10"/>
        <v>A surveiller</v>
      </c>
      <c r="M194" s="6" t="str">
        <f t="shared" si="11"/>
        <v>Hors Data</v>
      </c>
      <c r="N194" s="8" t="str" cm="1">
        <f t="array" ref="N194">_xlfn.IFS(H194&gt;=16,"Excellent",H194&gt;=14,"Très bien",H194&gt;=12,"Bien",H194&gt;=10,"Passable",TRUE,"Insuffisant")</f>
        <v>Passable</v>
      </c>
      <c r="O194">
        <v>0.91849999999999998</v>
      </c>
      <c r="P194">
        <v>80000</v>
      </c>
      <c r="Q194" s="2">
        <v>45878</v>
      </c>
    </row>
    <row r="195" spans="1:17" x14ac:dyDescent="0.45">
      <c r="A195" t="s">
        <v>358</v>
      </c>
      <c r="B195" t="s">
        <v>94</v>
      </c>
      <c r="C195" t="s">
        <v>14</v>
      </c>
      <c r="D195" t="s">
        <v>32</v>
      </c>
      <c r="E195" t="s">
        <v>16</v>
      </c>
      <c r="F195">
        <v>11.38</v>
      </c>
      <c r="G195">
        <v>12.33</v>
      </c>
      <c r="H195">
        <v>8.83</v>
      </c>
      <c r="I195" s="4" t="str">
        <f t="shared" ref="I195:I258" si="12">IF(H195&gt;=10,"Admis","Non admis")</f>
        <v>Non admis</v>
      </c>
      <c r="J195" s="4" t="str">
        <f t="shared" ref="J195:J258" si="13">IF(AND(F195&gt;=12,H195&gt;=12,O195&gt;=0.8),"Eligible","Non eligible")</f>
        <v>Non eligible</v>
      </c>
      <c r="K195">
        <v>10.49</v>
      </c>
      <c r="L195" s="6" t="str">
        <f t="shared" ref="L195:L258" si="14">IF(OR(F195&lt;10,H195&lt;10),"A surveiller","RAS")</f>
        <v>A surveiller</v>
      </c>
      <c r="M195" s="6" t="str">
        <f t="shared" ref="M195:M258" si="15">IF(NOT(E195="Data"),"Hors Data","Data")</f>
        <v>Data</v>
      </c>
      <c r="N195" s="8" t="str" cm="1">
        <f t="array" ref="N195">_xlfn.IFS(H195&gt;=16,"Excellent",H195&gt;=14,"Très bien",H195&gt;=12,"Bien",H195&gt;=10,"Passable",TRUE,"Insuffisant")</f>
        <v>Insuffisant</v>
      </c>
      <c r="O195">
        <v>0.72919999999999996</v>
      </c>
      <c r="P195">
        <v>70000</v>
      </c>
      <c r="Q195" s="2">
        <v>45775</v>
      </c>
    </row>
    <row r="196" spans="1:17" x14ac:dyDescent="0.45">
      <c r="A196" t="s">
        <v>359</v>
      </c>
      <c r="B196" t="s">
        <v>360</v>
      </c>
      <c r="C196" t="s">
        <v>19</v>
      </c>
      <c r="D196" t="s">
        <v>47</v>
      </c>
      <c r="E196" t="s">
        <v>29</v>
      </c>
      <c r="F196">
        <v>10.7</v>
      </c>
      <c r="G196">
        <v>16.510000000000002</v>
      </c>
      <c r="H196">
        <v>13.65</v>
      </c>
      <c r="I196" s="4" t="str">
        <f t="shared" si="12"/>
        <v>Admis</v>
      </c>
      <c r="J196" s="4" t="str">
        <f t="shared" si="13"/>
        <v>Non eligible</v>
      </c>
      <c r="K196">
        <v>9.1</v>
      </c>
      <c r="L196" s="6" t="str">
        <f t="shared" si="14"/>
        <v>RAS</v>
      </c>
      <c r="M196" s="6" t="str">
        <f t="shared" si="15"/>
        <v>Hors Data</v>
      </c>
      <c r="N196" s="8" t="str" cm="1">
        <f t="array" ref="N196">_xlfn.IFS(H196&gt;=16,"Excellent",H196&gt;=14,"Très bien",H196&gt;=12,"Bien",H196&gt;=10,"Passable",TRUE,"Insuffisant")</f>
        <v>Bien</v>
      </c>
      <c r="O196">
        <v>0.76680000000000004</v>
      </c>
      <c r="P196">
        <v>80000</v>
      </c>
      <c r="Q196" s="2">
        <v>45904</v>
      </c>
    </row>
    <row r="197" spans="1:17" x14ac:dyDescent="0.45">
      <c r="A197" t="s">
        <v>361</v>
      </c>
      <c r="B197" t="s">
        <v>325</v>
      </c>
      <c r="C197" t="s">
        <v>14</v>
      </c>
      <c r="D197" t="s">
        <v>35</v>
      </c>
      <c r="E197" t="s">
        <v>16</v>
      </c>
      <c r="F197">
        <v>11.45</v>
      </c>
      <c r="G197">
        <v>14.48</v>
      </c>
      <c r="H197">
        <v>16.18</v>
      </c>
      <c r="I197" s="4" t="str">
        <f t="shared" si="12"/>
        <v>Admis</v>
      </c>
      <c r="J197" s="4" t="str">
        <f t="shared" si="13"/>
        <v>Non eligible</v>
      </c>
      <c r="K197">
        <v>12.43</v>
      </c>
      <c r="L197" s="6" t="str">
        <f t="shared" si="14"/>
        <v>RAS</v>
      </c>
      <c r="M197" s="6" t="str">
        <f t="shared" si="15"/>
        <v>Data</v>
      </c>
      <c r="N197" s="8" t="str" cm="1">
        <f t="array" ref="N197">_xlfn.IFS(H197&gt;=16,"Excellent",H197&gt;=14,"Très bien",H197&gt;=12,"Bien",H197&gt;=10,"Passable",TRUE,"Insuffisant")</f>
        <v>Excellent</v>
      </c>
      <c r="O197">
        <v>0.74980000000000002</v>
      </c>
      <c r="P197">
        <v>60000</v>
      </c>
      <c r="Q197" s="2">
        <v>45649</v>
      </c>
    </row>
    <row r="198" spans="1:17" x14ac:dyDescent="0.45">
      <c r="A198" t="s">
        <v>362</v>
      </c>
      <c r="B198" t="s">
        <v>277</v>
      </c>
      <c r="C198" t="s">
        <v>14</v>
      </c>
      <c r="D198" t="s">
        <v>32</v>
      </c>
      <c r="E198" t="s">
        <v>29</v>
      </c>
      <c r="F198">
        <v>11.76</v>
      </c>
      <c r="G198">
        <v>11.45</v>
      </c>
      <c r="H198">
        <v>6.59</v>
      </c>
      <c r="I198" s="4" t="str">
        <f t="shared" si="12"/>
        <v>Non admis</v>
      </c>
      <c r="J198" s="4" t="str">
        <f t="shared" si="13"/>
        <v>Non eligible</v>
      </c>
      <c r="K198">
        <v>9.61</v>
      </c>
      <c r="L198" s="6" t="str">
        <f t="shared" si="14"/>
        <v>A surveiller</v>
      </c>
      <c r="M198" s="6" t="str">
        <f t="shared" si="15"/>
        <v>Hors Data</v>
      </c>
      <c r="N198" s="8" t="str" cm="1">
        <f t="array" ref="N198">_xlfn.IFS(H198&gt;=16,"Excellent",H198&gt;=14,"Très bien",H198&gt;=12,"Bien",H198&gt;=10,"Passable",TRUE,"Insuffisant")</f>
        <v>Insuffisant</v>
      </c>
      <c r="O198">
        <v>0.8337</v>
      </c>
      <c r="P198">
        <v>85000</v>
      </c>
      <c r="Q198" s="2">
        <v>45614</v>
      </c>
    </row>
    <row r="199" spans="1:17" x14ac:dyDescent="0.45">
      <c r="A199" t="s">
        <v>363</v>
      </c>
      <c r="B199" t="s">
        <v>364</v>
      </c>
      <c r="C199" t="s">
        <v>14</v>
      </c>
      <c r="D199" t="s">
        <v>32</v>
      </c>
      <c r="E199" t="s">
        <v>42</v>
      </c>
      <c r="F199">
        <v>12.89</v>
      </c>
      <c r="G199">
        <v>10.7</v>
      </c>
      <c r="H199">
        <v>8.4600000000000009</v>
      </c>
      <c r="I199" s="4" t="str">
        <f t="shared" si="12"/>
        <v>Non admis</v>
      </c>
      <c r="J199" s="4" t="str">
        <f t="shared" si="13"/>
        <v>Non eligible</v>
      </c>
      <c r="K199">
        <v>8.1199999999999992</v>
      </c>
      <c r="L199" s="6" t="str">
        <f t="shared" si="14"/>
        <v>A surveiller</v>
      </c>
      <c r="M199" s="6" t="str">
        <f t="shared" si="15"/>
        <v>Hors Data</v>
      </c>
      <c r="N199" s="8" t="str" cm="1">
        <f t="array" ref="N199">_xlfn.IFS(H199&gt;=16,"Excellent",H199&gt;=14,"Très bien",H199&gt;=12,"Bien",H199&gt;=10,"Passable",TRUE,"Insuffisant")</f>
        <v>Insuffisant</v>
      </c>
      <c r="O199">
        <v>0.94599999999999995</v>
      </c>
      <c r="P199">
        <v>60000</v>
      </c>
      <c r="Q199" s="2">
        <v>45899</v>
      </c>
    </row>
    <row r="200" spans="1:17" x14ac:dyDescent="0.45">
      <c r="A200" t="s">
        <v>365</v>
      </c>
      <c r="B200" t="s">
        <v>366</v>
      </c>
      <c r="C200" t="s">
        <v>14</v>
      </c>
      <c r="D200" t="s">
        <v>20</v>
      </c>
      <c r="E200" t="s">
        <v>29</v>
      </c>
      <c r="F200">
        <v>9.5399999999999991</v>
      </c>
      <c r="G200">
        <v>9.93</v>
      </c>
      <c r="H200">
        <v>10.23</v>
      </c>
      <c r="I200" s="4" t="str">
        <f t="shared" si="12"/>
        <v>Admis</v>
      </c>
      <c r="J200" s="4" t="str">
        <f t="shared" si="13"/>
        <v>Non eligible</v>
      </c>
      <c r="K200">
        <v>10.199999999999999</v>
      </c>
      <c r="L200" s="6" t="str">
        <f t="shared" si="14"/>
        <v>A surveiller</v>
      </c>
      <c r="M200" s="6" t="str">
        <f t="shared" si="15"/>
        <v>Hors Data</v>
      </c>
      <c r="N200" s="8" t="str" cm="1">
        <f t="array" ref="N200">_xlfn.IFS(H200&gt;=16,"Excellent",H200&gt;=14,"Très bien",H200&gt;=12,"Bien",H200&gt;=10,"Passable",TRUE,"Insuffisant")</f>
        <v>Passable</v>
      </c>
      <c r="O200">
        <v>0.93899999999999995</v>
      </c>
      <c r="P200">
        <v>90000</v>
      </c>
      <c r="Q200" s="2">
        <v>46113</v>
      </c>
    </row>
    <row r="201" spans="1:17" x14ac:dyDescent="0.45">
      <c r="A201" t="s">
        <v>367</v>
      </c>
      <c r="B201" t="s">
        <v>266</v>
      </c>
      <c r="C201" t="s">
        <v>19</v>
      </c>
      <c r="D201" t="s">
        <v>32</v>
      </c>
      <c r="E201" t="s">
        <v>29</v>
      </c>
      <c r="F201">
        <v>18.77</v>
      </c>
      <c r="G201">
        <v>20</v>
      </c>
      <c r="H201">
        <v>19.62</v>
      </c>
      <c r="I201" s="4" t="str">
        <f t="shared" si="12"/>
        <v>Admis</v>
      </c>
      <c r="J201" s="4" t="str">
        <f t="shared" si="13"/>
        <v>Non eligible</v>
      </c>
      <c r="K201">
        <v>17.18</v>
      </c>
      <c r="L201" s="6" t="str">
        <f t="shared" si="14"/>
        <v>RAS</v>
      </c>
      <c r="M201" s="6" t="str">
        <f t="shared" si="15"/>
        <v>Hors Data</v>
      </c>
      <c r="N201" s="8" t="str" cm="1">
        <f t="array" ref="N201">_xlfn.IFS(H201&gt;=16,"Excellent",H201&gt;=14,"Très bien",H201&gt;=12,"Bien",H201&gt;=10,"Passable",TRUE,"Insuffisant")</f>
        <v>Excellent</v>
      </c>
      <c r="O201">
        <v>0.61180000000000001</v>
      </c>
      <c r="P201">
        <v>80000</v>
      </c>
      <c r="Q201" s="2">
        <v>45909</v>
      </c>
    </row>
    <row r="202" spans="1:17" x14ac:dyDescent="0.45">
      <c r="A202" t="s">
        <v>368</v>
      </c>
      <c r="B202" t="s">
        <v>188</v>
      </c>
      <c r="C202" t="s">
        <v>14</v>
      </c>
      <c r="D202" t="s">
        <v>15</v>
      </c>
      <c r="E202" t="s">
        <v>42</v>
      </c>
      <c r="F202">
        <v>17.12</v>
      </c>
      <c r="G202">
        <v>19.32</v>
      </c>
      <c r="H202">
        <v>20</v>
      </c>
      <c r="I202" s="4" t="str">
        <f t="shared" si="12"/>
        <v>Admis</v>
      </c>
      <c r="J202" s="4" t="str">
        <f t="shared" si="13"/>
        <v>Non eligible</v>
      </c>
      <c r="K202">
        <v>19.78</v>
      </c>
      <c r="L202" s="6" t="str">
        <f t="shared" si="14"/>
        <v>RAS</v>
      </c>
      <c r="M202" s="6" t="str">
        <f t="shared" si="15"/>
        <v>Hors Data</v>
      </c>
      <c r="N202" s="8" t="str" cm="1">
        <f t="array" ref="N202">_xlfn.IFS(H202&gt;=16,"Excellent",H202&gt;=14,"Très bien",H202&gt;=12,"Bien",H202&gt;=10,"Passable",TRUE,"Insuffisant")</f>
        <v>Excellent</v>
      </c>
      <c r="O202">
        <v>0.67989999999999995</v>
      </c>
      <c r="P202">
        <v>130000</v>
      </c>
      <c r="Q202" s="2">
        <v>46083</v>
      </c>
    </row>
    <row r="203" spans="1:17" x14ac:dyDescent="0.45">
      <c r="A203" t="s">
        <v>369</v>
      </c>
      <c r="B203" t="s">
        <v>370</v>
      </c>
      <c r="C203" t="s">
        <v>19</v>
      </c>
      <c r="D203" t="s">
        <v>20</v>
      </c>
      <c r="E203" t="s">
        <v>42</v>
      </c>
      <c r="F203">
        <v>13.96</v>
      </c>
      <c r="G203">
        <v>9.6199999999999992</v>
      </c>
      <c r="H203">
        <v>14.75</v>
      </c>
      <c r="I203" s="4" t="str">
        <f t="shared" si="12"/>
        <v>Admis</v>
      </c>
      <c r="J203" s="4" t="str">
        <f t="shared" si="13"/>
        <v>Non eligible</v>
      </c>
      <c r="K203">
        <v>12.61</v>
      </c>
      <c r="L203" s="6" t="str">
        <f t="shared" si="14"/>
        <v>RAS</v>
      </c>
      <c r="M203" s="6" t="str">
        <f t="shared" si="15"/>
        <v>Hors Data</v>
      </c>
      <c r="N203" s="8" t="str" cm="1">
        <f t="array" ref="N203">_xlfn.IFS(H203&gt;=16,"Excellent",H203&gt;=14,"Très bien",H203&gt;=12,"Bien",H203&gt;=10,"Passable",TRUE,"Insuffisant")</f>
        <v>Très bien</v>
      </c>
      <c r="O203">
        <v>0.74199999999999999</v>
      </c>
      <c r="P203">
        <v>120000</v>
      </c>
      <c r="Q203" s="2">
        <v>45660</v>
      </c>
    </row>
    <row r="204" spans="1:17" x14ac:dyDescent="0.45">
      <c r="A204" t="s">
        <v>371</v>
      </c>
      <c r="B204" t="s">
        <v>372</v>
      </c>
      <c r="C204" t="s">
        <v>14</v>
      </c>
      <c r="D204" t="s">
        <v>28</v>
      </c>
      <c r="E204" t="s">
        <v>16</v>
      </c>
      <c r="F204">
        <v>10.28</v>
      </c>
      <c r="G204">
        <v>12.16</v>
      </c>
      <c r="H204">
        <v>14.76</v>
      </c>
      <c r="I204" s="4" t="str">
        <f t="shared" si="12"/>
        <v>Admis</v>
      </c>
      <c r="J204" s="4" t="str">
        <f t="shared" si="13"/>
        <v>Non eligible</v>
      </c>
      <c r="K204">
        <v>8.76</v>
      </c>
      <c r="L204" s="6" t="str">
        <f t="shared" si="14"/>
        <v>RAS</v>
      </c>
      <c r="M204" s="6" t="str">
        <f t="shared" si="15"/>
        <v>Data</v>
      </c>
      <c r="N204" s="8" t="str" cm="1">
        <f t="array" ref="N204">_xlfn.IFS(H204&gt;=16,"Excellent",H204&gt;=14,"Très bien",H204&gt;=12,"Bien",H204&gt;=10,"Passable",TRUE,"Insuffisant")</f>
        <v>Très bien</v>
      </c>
      <c r="O204">
        <v>0.77929999999999999</v>
      </c>
      <c r="P204">
        <v>90000</v>
      </c>
      <c r="Q204" s="2">
        <v>45850</v>
      </c>
    </row>
    <row r="205" spans="1:17" x14ac:dyDescent="0.45">
      <c r="A205" t="s">
        <v>373</v>
      </c>
      <c r="B205" t="s">
        <v>374</v>
      </c>
      <c r="C205" t="s">
        <v>19</v>
      </c>
      <c r="D205" t="s">
        <v>28</v>
      </c>
      <c r="E205" t="s">
        <v>21</v>
      </c>
      <c r="F205">
        <v>11.07</v>
      </c>
      <c r="G205">
        <v>10.5</v>
      </c>
      <c r="H205">
        <v>9.9</v>
      </c>
      <c r="I205" s="4" t="str">
        <f t="shared" si="12"/>
        <v>Non admis</v>
      </c>
      <c r="J205" s="4" t="str">
        <f t="shared" si="13"/>
        <v>Non eligible</v>
      </c>
      <c r="K205">
        <v>10.96</v>
      </c>
      <c r="L205" s="6" t="str">
        <f t="shared" si="14"/>
        <v>A surveiller</v>
      </c>
      <c r="M205" s="6" t="str">
        <f t="shared" si="15"/>
        <v>Hors Data</v>
      </c>
      <c r="N205" s="8" t="str" cm="1">
        <f t="array" ref="N205">_xlfn.IFS(H205&gt;=16,"Excellent",H205&gt;=14,"Très bien",H205&gt;=12,"Bien",H205&gt;=10,"Passable",TRUE,"Insuffisant")</f>
        <v>Insuffisant</v>
      </c>
      <c r="O205">
        <v>0.89129999999999998</v>
      </c>
      <c r="P205">
        <v>80000</v>
      </c>
      <c r="Q205" s="2">
        <v>45965</v>
      </c>
    </row>
    <row r="206" spans="1:17" x14ac:dyDescent="0.45">
      <c r="A206" t="s">
        <v>375</v>
      </c>
      <c r="B206" t="s">
        <v>376</v>
      </c>
      <c r="C206" t="s">
        <v>14</v>
      </c>
      <c r="D206" t="s">
        <v>47</v>
      </c>
      <c r="E206" t="s">
        <v>21</v>
      </c>
      <c r="F206">
        <v>9.8000000000000007</v>
      </c>
      <c r="G206">
        <v>7.43</v>
      </c>
      <c r="H206">
        <v>7.73</v>
      </c>
      <c r="I206" s="4" t="str">
        <f t="shared" si="12"/>
        <v>Non admis</v>
      </c>
      <c r="J206" s="4" t="str">
        <f t="shared" si="13"/>
        <v>Non eligible</v>
      </c>
      <c r="K206">
        <v>7.93</v>
      </c>
      <c r="L206" s="6" t="str">
        <f t="shared" si="14"/>
        <v>A surveiller</v>
      </c>
      <c r="M206" s="6" t="str">
        <f t="shared" si="15"/>
        <v>Hors Data</v>
      </c>
      <c r="N206" s="8" t="str" cm="1">
        <f t="array" ref="N206">_xlfn.IFS(H206&gt;=16,"Excellent",H206&gt;=14,"Très bien",H206&gt;=12,"Bien",H206&gt;=10,"Passable",TRUE,"Insuffisant")</f>
        <v>Insuffisant</v>
      </c>
      <c r="O206">
        <v>0.57250000000000001</v>
      </c>
      <c r="P206">
        <v>100000</v>
      </c>
      <c r="Q206" s="2">
        <v>45779</v>
      </c>
    </row>
    <row r="207" spans="1:17" x14ac:dyDescent="0.45">
      <c r="A207" t="s">
        <v>377</v>
      </c>
      <c r="B207" t="s">
        <v>372</v>
      </c>
      <c r="C207" t="s">
        <v>14</v>
      </c>
      <c r="D207" t="s">
        <v>15</v>
      </c>
      <c r="E207" t="s">
        <v>42</v>
      </c>
      <c r="F207">
        <v>12.98</v>
      </c>
      <c r="G207">
        <v>16.829999999999998</v>
      </c>
      <c r="H207">
        <v>10.18</v>
      </c>
      <c r="I207" s="4" t="str">
        <f t="shared" si="12"/>
        <v>Admis</v>
      </c>
      <c r="J207" s="4" t="str">
        <f t="shared" si="13"/>
        <v>Non eligible</v>
      </c>
      <c r="K207">
        <v>14.21</v>
      </c>
      <c r="L207" s="6" t="str">
        <f t="shared" si="14"/>
        <v>RAS</v>
      </c>
      <c r="M207" s="6" t="str">
        <f t="shared" si="15"/>
        <v>Hors Data</v>
      </c>
      <c r="N207" s="8" t="str" cm="1">
        <f t="array" ref="N207">_xlfn.IFS(H207&gt;=16,"Excellent",H207&gt;=14,"Très bien",H207&gt;=12,"Bien",H207&gt;=10,"Passable",TRUE,"Insuffisant")</f>
        <v>Passable</v>
      </c>
      <c r="O207">
        <v>0.86299999999999999</v>
      </c>
      <c r="P207">
        <v>100000</v>
      </c>
      <c r="Q207" s="2">
        <v>45545</v>
      </c>
    </row>
    <row r="208" spans="1:17" x14ac:dyDescent="0.45">
      <c r="A208" t="s">
        <v>378</v>
      </c>
      <c r="B208" t="s">
        <v>123</v>
      </c>
      <c r="C208" t="s">
        <v>19</v>
      </c>
      <c r="D208" t="s">
        <v>15</v>
      </c>
      <c r="E208" t="s">
        <v>42</v>
      </c>
      <c r="F208">
        <v>12.93</v>
      </c>
      <c r="G208">
        <v>12.16</v>
      </c>
      <c r="H208">
        <v>12.63</v>
      </c>
      <c r="I208" s="4" t="str">
        <f t="shared" si="12"/>
        <v>Admis</v>
      </c>
      <c r="J208" s="4" t="str">
        <f t="shared" si="13"/>
        <v>Eligible</v>
      </c>
      <c r="K208">
        <v>9.74</v>
      </c>
      <c r="L208" s="6" t="str">
        <f t="shared" si="14"/>
        <v>RAS</v>
      </c>
      <c r="M208" s="6" t="str">
        <f t="shared" si="15"/>
        <v>Hors Data</v>
      </c>
      <c r="N208" s="8" t="str" cm="1">
        <f t="array" ref="N208">_xlfn.IFS(H208&gt;=16,"Excellent",H208&gt;=14,"Très bien",H208&gt;=12,"Bien",H208&gt;=10,"Passable",TRUE,"Insuffisant")</f>
        <v>Bien</v>
      </c>
      <c r="O208">
        <v>0.97829999999999995</v>
      </c>
      <c r="P208">
        <v>60000</v>
      </c>
      <c r="Q208" s="2">
        <v>45587</v>
      </c>
    </row>
    <row r="209" spans="1:17" x14ac:dyDescent="0.45">
      <c r="A209" t="s">
        <v>379</v>
      </c>
      <c r="B209" t="s">
        <v>380</v>
      </c>
      <c r="C209" t="s">
        <v>19</v>
      </c>
      <c r="D209" t="s">
        <v>28</v>
      </c>
      <c r="E209" t="s">
        <v>42</v>
      </c>
      <c r="F209">
        <v>12.59</v>
      </c>
      <c r="G209">
        <v>16.68</v>
      </c>
      <c r="H209">
        <v>14.54</v>
      </c>
      <c r="I209" s="4" t="str">
        <f t="shared" si="12"/>
        <v>Admis</v>
      </c>
      <c r="J209" s="4" t="str">
        <f t="shared" si="13"/>
        <v>Eligible</v>
      </c>
      <c r="K209">
        <v>11.4</v>
      </c>
      <c r="L209" s="6" t="str">
        <f t="shared" si="14"/>
        <v>RAS</v>
      </c>
      <c r="M209" s="6" t="str">
        <f t="shared" si="15"/>
        <v>Hors Data</v>
      </c>
      <c r="N209" s="8" t="str" cm="1">
        <f t="array" ref="N209">_xlfn.IFS(H209&gt;=16,"Excellent",H209&gt;=14,"Très bien",H209&gt;=12,"Bien",H209&gt;=10,"Passable",TRUE,"Insuffisant")</f>
        <v>Très bien</v>
      </c>
      <c r="O209">
        <v>0.98960000000000004</v>
      </c>
      <c r="P209">
        <v>80000</v>
      </c>
      <c r="Q209" s="2">
        <v>46185</v>
      </c>
    </row>
    <row r="210" spans="1:17" x14ac:dyDescent="0.45">
      <c r="A210" t="s">
        <v>381</v>
      </c>
      <c r="B210" t="s">
        <v>382</v>
      </c>
      <c r="C210" t="s">
        <v>14</v>
      </c>
      <c r="D210" t="s">
        <v>47</v>
      </c>
      <c r="E210" t="s">
        <v>29</v>
      </c>
      <c r="F210">
        <v>8.5500000000000007</v>
      </c>
      <c r="G210">
        <v>10</v>
      </c>
      <c r="H210">
        <v>12.05</v>
      </c>
      <c r="I210" s="4" t="str">
        <f t="shared" si="12"/>
        <v>Admis</v>
      </c>
      <c r="J210" s="4" t="str">
        <f t="shared" si="13"/>
        <v>Non eligible</v>
      </c>
      <c r="K210">
        <v>7.22</v>
      </c>
      <c r="L210" s="6" t="str">
        <f t="shared" si="14"/>
        <v>A surveiller</v>
      </c>
      <c r="M210" s="6" t="str">
        <f t="shared" si="15"/>
        <v>Hors Data</v>
      </c>
      <c r="N210" s="8" t="str" cm="1">
        <f t="array" ref="N210">_xlfn.IFS(H210&gt;=16,"Excellent",H210&gt;=14,"Très bien",H210&gt;=12,"Bien",H210&gt;=10,"Passable",TRUE,"Insuffisant")</f>
        <v>Bien</v>
      </c>
      <c r="O210">
        <v>0.90839999999999999</v>
      </c>
      <c r="P210">
        <v>130000</v>
      </c>
      <c r="Q210" s="2">
        <v>45959</v>
      </c>
    </row>
    <row r="211" spans="1:17" x14ac:dyDescent="0.45">
      <c r="A211" t="s">
        <v>383</v>
      </c>
      <c r="B211" t="s">
        <v>31</v>
      </c>
      <c r="C211" t="s">
        <v>19</v>
      </c>
      <c r="D211" t="s">
        <v>47</v>
      </c>
      <c r="E211" t="s">
        <v>29</v>
      </c>
      <c r="F211">
        <v>9.2200000000000006</v>
      </c>
      <c r="G211">
        <v>11.95</v>
      </c>
      <c r="H211">
        <v>11.1</v>
      </c>
      <c r="I211" s="4" t="str">
        <f t="shared" si="12"/>
        <v>Admis</v>
      </c>
      <c r="J211" s="4" t="str">
        <f t="shared" si="13"/>
        <v>Non eligible</v>
      </c>
      <c r="K211">
        <v>10.08</v>
      </c>
      <c r="L211" s="6" t="str">
        <f t="shared" si="14"/>
        <v>A surveiller</v>
      </c>
      <c r="M211" s="6" t="str">
        <f t="shared" si="15"/>
        <v>Hors Data</v>
      </c>
      <c r="N211" s="8" t="str" cm="1">
        <f t="array" ref="N211">_xlfn.IFS(H211&gt;=16,"Excellent",H211&gt;=14,"Très bien",H211&gt;=12,"Bien",H211&gt;=10,"Passable",TRUE,"Insuffisant")</f>
        <v>Passable</v>
      </c>
      <c r="O211">
        <v>0.64800000000000002</v>
      </c>
      <c r="P211">
        <v>75000</v>
      </c>
      <c r="Q211" s="2">
        <v>45721</v>
      </c>
    </row>
    <row r="212" spans="1:17" x14ac:dyDescent="0.45">
      <c r="A212" t="s">
        <v>384</v>
      </c>
      <c r="B212" t="s">
        <v>155</v>
      </c>
      <c r="C212" t="s">
        <v>14</v>
      </c>
      <c r="D212" t="s">
        <v>20</v>
      </c>
      <c r="E212" t="s">
        <v>29</v>
      </c>
      <c r="F212">
        <v>16.149999999999999</v>
      </c>
      <c r="G212">
        <v>12.26</v>
      </c>
      <c r="H212">
        <v>13.8</v>
      </c>
      <c r="I212" s="4" t="str">
        <f t="shared" si="12"/>
        <v>Admis</v>
      </c>
      <c r="J212" s="4" t="str">
        <f t="shared" si="13"/>
        <v>Non eligible</v>
      </c>
      <c r="K212">
        <v>13.86</v>
      </c>
      <c r="L212" s="6" t="str">
        <f t="shared" si="14"/>
        <v>RAS</v>
      </c>
      <c r="M212" s="6" t="str">
        <f t="shared" si="15"/>
        <v>Hors Data</v>
      </c>
      <c r="N212" s="8" t="str" cm="1">
        <f t="array" ref="N212">_xlfn.IFS(H212&gt;=16,"Excellent",H212&gt;=14,"Très bien",H212&gt;=12,"Bien",H212&gt;=10,"Passable",TRUE,"Insuffisant")</f>
        <v>Bien</v>
      </c>
      <c r="O212">
        <v>0.79520000000000002</v>
      </c>
      <c r="P212">
        <v>50000</v>
      </c>
      <c r="Q212" s="2">
        <v>45717</v>
      </c>
    </row>
    <row r="213" spans="1:17" x14ac:dyDescent="0.45">
      <c r="A213" t="s">
        <v>385</v>
      </c>
      <c r="B213" t="s">
        <v>386</v>
      </c>
      <c r="C213" t="s">
        <v>19</v>
      </c>
      <c r="D213" t="s">
        <v>20</v>
      </c>
      <c r="E213" t="s">
        <v>16</v>
      </c>
      <c r="F213">
        <v>12.84</v>
      </c>
      <c r="G213">
        <v>14.95</v>
      </c>
      <c r="H213">
        <v>15.1</v>
      </c>
      <c r="I213" s="4" t="str">
        <f t="shared" si="12"/>
        <v>Admis</v>
      </c>
      <c r="J213" s="4" t="str">
        <f t="shared" si="13"/>
        <v>Non eligible</v>
      </c>
      <c r="K213">
        <v>14.75</v>
      </c>
      <c r="L213" s="6" t="str">
        <f t="shared" si="14"/>
        <v>RAS</v>
      </c>
      <c r="M213" s="6" t="str">
        <f t="shared" si="15"/>
        <v>Data</v>
      </c>
      <c r="N213" s="8" t="str" cm="1">
        <f t="array" ref="N213">_xlfn.IFS(H213&gt;=16,"Excellent",H213&gt;=14,"Très bien",H213&gt;=12,"Bien",H213&gt;=10,"Passable",TRUE,"Insuffisant")</f>
        <v>Très bien</v>
      </c>
      <c r="O213">
        <v>0.76449999999999996</v>
      </c>
      <c r="P213">
        <v>120000</v>
      </c>
      <c r="Q213" s="2">
        <v>45563</v>
      </c>
    </row>
    <row r="214" spans="1:17" x14ac:dyDescent="0.45">
      <c r="A214" t="s">
        <v>387</v>
      </c>
      <c r="B214" t="s">
        <v>107</v>
      </c>
      <c r="C214" t="s">
        <v>19</v>
      </c>
      <c r="D214" t="s">
        <v>20</v>
      </c>
      <c r="E214" t="s">
        <v>21</v>
      </c>
      <c r="F214">
        <v>15.44</v>
      </c>
      <c r="G214">
        <v>15.1</v>
      </c>
      <c r="H214">
        <v>16.829999999999998</v>
      </c>
      <c r="I214" s="4" t="str">
        <f t="shared" si="12"/>
        <v>Admis</v>
      </c>
      <c r="J214" s="4" t="str">
        <f t="shared" si="13"/>
        <v>Eligible</v>
      </c>
      <c r="K214">
        <v>14.15</v>
      </c>
      <c r="L214" s="6" t="str">
        <f t="shared" si="14"/>
        <v>RAS</v>
      </c>
      <c r="M214" s="6" t="str">
        <f t="shared" si="15"/>
        <v>Hors Data</v>
      </c>
      <c r="N214" s="8" t="str" cm="1">
        <f t="array" ref="N214">_xlfn.IFS(H214&gt;=16,"Excellent",H214&gt;=14,"Très bien",H214&gt;=12,"Bien",H214&gt;=10,"Passable",TRUE,"Insuffisant")</f>
        <v>Excellent</v>
      </c>
      <c r="O214">
        <v>0.84589999999999999</v>
      </c>
      <c r="P214">
        <v>130000</v>
      </c>
      <c r="Q214" s="2">
        <v>46197</v>
      </c>
    </row>
    <row r="215" spans="1:17" x14ac:dyDescent="0.45">
      <c r="A215" t="s">
        <v>388</v>
      </c>
      <c r="B215" t="s">
        <v>13</v>
      </c>
      <c r="C215" t="s">
        <v>14</v>
      </c>
      <c r="D215" t="s">
        <v>32</v>
      </c>
      <c r="E215" t="s">
        <v>29</v>
      </c>
      <c r="F215">
        <v>9.65</v>
      </c>
      <c r="G215">
        <v>7.19</v>
      </c>
      <c r="H215">
        <v>6.77</v>
      </c>
      <c r="I215" s="4" t="str">
        <f t="shared" si="12"/>
        <v>Non admis</v>
      </c>
      <c r="J215" s="4" t="str">
        <f t="shared" si="13"/>
        <v>Non eligible</v>
      </c>
      <c r="K215">
        <v>8.77</v>
      </c>
      <c r="L215" s="6" t="str">
        <f t="shared" si="14"/>
        <v>A surveiller</v>
      </c>
      <c r="M215" s="6" t="str">
        <f t="shared" si="15"/>
        <v>Hors Data</v>
      </c>
      <c r="N215" s="8" t="str" cm="1">
        <f t="array" ref="N215">_xlfn.IFS(H215&gt;=16,"Excellent",H215&gt;=14,"Très bien",H215&gt;=12,"Bien",H215&gt;=10,"Passable",TRUE,"Insuffisant")</f>
        <v>Insuffisant</v>
      </c>
      <c r="O215">
        <v>0.97270000000000001</v>
      </c>
      <c r="P215">
        <v>100000</v>
      </c>
      <c r="Q215" s="2">
        <v>45611</v>
      </c>
    </row>
    <row r="216" spans="1:17" x14ac:dyDescent="0.45">
      <c r="A216" t="s">
        <v>389</v>
      </c>
      <c r="B216" t="s">
        <v>75</v>
      </c>
      <c r="C216" t="s">
        <v>19</v>
      </c>
      <c r="D216" t="s">
        <v>35</v>
      </c>
      <c r="E216" t="s">
        <v>29</v>
      </c>
      <c r="F216">
        <v>13.58</v>
      </c>
      <c r="G216">
        <v>15.11</v>
      </c>
      <c r="H216">
        <v>17.71</v>
      </c>
      <c r="I216" s="4" t="str">
        <f t="shared" si="12"/>
        <v>Admis</v>
      </c>
      <c r="J216" s="4" t="str">
        <f t="shared" si="13"/>
        <v>Eligible</v>
      </c>
      <c r="K216">
        <v>15.02</v>
      </c>
      <c r="L216" s="6" t="str">
        <f t="shared" si="14"/>
        <v>RAS</v>
      </c>
      <c r="M216" s="6" t="str">
        <f t="shared" si="15"/>
        <v>Hors Data</v>
      </c>
      <c r="N216" s="8" t="str" cm="1">
        <f t="array" ref="N216">_xlfn.IFS(H216&gt;=16,"Excellent",H216&gt;=14,"Très bien",H216&gt;=12,"Bien",H216&gt;=10,"Passable",TRUE,"Insuffisant")</f>
        <v>Excellent</v>
      </c>
      <c r="O216">
        <v>0.89070000000000005</v>
      </c>
      <c r="P216">
        <v>90000</v>
      </c>
      <c r="Q216" s="2">
        <v>46067</v>
      </c>
    </row>
    <row r="217" spans="1:17" x14ac:dyDescent="0.45">
      <c r="A217" t="s">
        <v>390</v>
      </c>
      <c r="B217" t="s">
        <v>86</v>
      </c>
      <c r="C217" t="s">
        <v>14</v>
      </c>
      <c r="D217" t="s">
        <v>32</v>
      </c>
      <c r="E217" t="s">
        <v>21</v>
      </c>
      <c r="F217">
        <v>9.92</v>
      </c>
      <c r="G217">
        <v>10.95</v>
      </c>
      <c r="H217">
        <v>11.41</v>
      </c>
      <c r="I217" s="4" t="str">
        <f t="shared" si="12"/>
        <v>Admis</v>
      </c>
      <c r="J217" s="4" t="str">
        <f t="shared" si="13"/>
        <v>Non eligible</v>
      </c>
      <c r="K217">
        <v>16.68</v>
      </c>
      <c r="L217" s="6" t="str">
        <f t="shared" si="14"/>
        <v>A surveiller</v>
      </c>
      <c r="M217" s="6" t="str">
        <f t="shared" si="15"/>
        <v>Hors Data</v>
      </c>
      <c r="N217" s="8" t="str" cm="1">
        <f t="array" ref="N217">_xlfn.IFS(H217&gt;=16,"Excellent",H217&gt;=14,"Très bien",H217&gt;=12,"Bien",H217&gt;=10,"Passable",TRUE,"Insuffisant")</f>
        <v>Passable</v>
      </c>
      <c r="O217">
        <v>0.79590000000000005</v>
      </c>
      <c r="P217">
        <v>75000</v>
      </c>
      <c r="Q217" s="2">
        <v>45704</v>
      </c>
    </row>
    <row r="218" spans="1:17" x14ac:dyDescent="0.45">
      <c r="A218" t="s">
        <v>391</v>
      </c>
      <c r="B218" t="s">
        <v>127</v>
      </c>
      <c r="C218" t="s">
        <v>14</v>
      </c>
      <c r="D218" t="s">
        <v>28</v>
      </c>
      <c r="E218" t="s">
        <v>42</v>
      </c>
      <c r="F218">
        <v>18.309999999999999</v>
      </c>
      <c r="G218">
        <v>16.579999999999998</v>
      </c>
      <c r="H218">
        <v>13.14</v>
      </c>
      <c r="I218" s="4" t="str">
        <f t="shared" si="12"/>
        <v>Admis</v>
      </c>
      <c r="J218" s="4" t="str">
        <f t="shared" si="13"/>
        <v>Non eligible</v>
      </c>
      <c r="K218">
        <v>13.48</v>
      </c>
      <c r="L218" s="6" t="str">
        <f t="shared" si="14"/>
        <v>RAS</v>
      </c>
      <c r="M218" s="6" t="str">
        <f t="shared" si="15"/>
        <v>Hors Data</v>
      </c>
      <c r="N218" s="8" t="str" cm="1">
        <f t="array" ref="N218">_xlfn.IFS(H218&gt;=16,"Excellent",H218&gt;=14,"Très bien",H218&gt;=12,"Bien",H218&gt;=10,"Passable",TRUE,"Insuffisant")</f>
        <v>Bien</v>
      </c>
      <c r="O218">
        <v>0.55000000000000004</v>
      </c>
      <c r="P218">
        <v>75000</v>
      </c>
      <c r="Q218" s="2">
        <v>45770</v>
      </c>
    </row>
    <row r="219" spans="1:17" x14ac:dyDescent="0.45">
      <c r="A219" t="s">
        <v>392</v>
      </c>
      <c r="B219" t="s">
        <v>268</v>
      </c>
      <c r="C219" t="s">
        <v>14</v>
      </c>
      <c r="D219" t="s">
        <v>47</v>
      </c>
      <c r="E219" t="s">
        <v>42</v>
      </c>
      <c r="F219">
        <v>13.91</v>
      </c>
      <c r="G219">
        <v>14.89</v>
      </c>
      <c r="H219">
        <v>9.08</v>
      </c>
      <c r="I219" s="4" t="str">
        <f t="shared" si="12"/>
        <v>Non admis</v>
      </c>
      <c r="J219" s="4" t="str">
        <f t="shared" si="13"/>
        <v>Non eligible</v>
      </c>
      <c r="K219">
        <v>12.14</v>
      </c>
      <c r="L219" s="6" t="str">
        <f t="shared" si="14"/>
        <v>A surveiller</v>
      </c>
      <c r="M219" s="6" t="str">
        <f t="shared" si="15"/>
        <v>Hors Data</v>
      </c>
      <c r="N219" s="8" t="str" cm="1">
        <f t="array" ref="N219">_xlfn.IFS(H219&gt;=16,"Excellent",H219&gt;=14,"Très bien",H219&gt;=12,"Bien",H219&gt;=10,"Passable",TRUE,"Insuffisant")</f>
        <v>Insuffisant</v>
      </c>
      <c r="O219">
        <v>0.92500000000000004</v>
      </c>
      <c r="P219">
        <v>130000</v>
      </c>
      <c r="Q219" s="2">
        <v>45727</v>
      </c>
    </row>
    <row r="220" spans="1:17" x14ac:dyDescent="0.45">
      <c r="A220" t="s">
        <v>393</v>
      </c>
      <c r="B220" t="s">
        <v>366</v>
      </c>
      <c r="C220" t="s">
        <v>14</v>
      </c>
      <c r="D220" t="s">
        <v>35</v>
      </c>
      <c r="E220" t="s">
        <v>16</v>
      </c>
      <c r="F220">
        <v>7.43</v>
      </c>
      <c r="G220">
        <v>8.77</v>
      </c>
      <c r="H220">
        <v>9.5500000000000007</v>
      </c>
      <c r="I220" s="4" t="str">
        <f t="shared" si="12"/>
        <v>Non admis</v>
      </c>
      <c r="J220" s="4" t="str">
        <f t="shared" si="13"/>
        <v>Non eligible</v>
      </c>
      <c r="K220">
        <v>16.79</v>
      </c>
      <c r="L220" s="6" t="str">
        <f t="shared" si="14"/>
        <v>A surveiller</v>
      </c>
      <c r="M220" s="6" t="str">
        <f t="shared" si="15"/>
        <v>Data</v>
      </c>
      <c r="N220" s="8" t="str" cm="1">
        <f t="array" ref="N220">_xlfn.IFS(H220&gt;=16,"Excellent",H220&gt;=14,"Très bien",H220&gt;=12,"Bien",H220&gt;=10,"Passable",TRUE,"Insuffisant")</f>
        <v>Insuffisant</v>
      </c>
      <c r="O220">
        <v>0.86780000000000002</v>
      </c>
      <c r="P220">
        <v>120000</v>
      </c>
      <c r="Q220" s="2">
        <v>46113</v>
      </c>
    </row>
    <row r="221" spans="1:17" x14ac:dyDescent="0.45">
      <c r="A221" t="s">
        <v>394</v>
      </c>
      <c r="B221" t="s">
        <v>167</v>
      </c>
      <c r="C221" t="s">
        <v>19</v>
      </c>
      <c r="D221" t="s">
        <v>32</v>
      </c>
      <c r="E221" t="s">
        <v>29</v>
      </c>
      <c r="F221">
        <v>13.29</v>
      </c>
      <c r="G221">
        <v>14.05</v>
      </c>
      <c r="H221">
        <v>16</v>
      </c>
      <c r="I221" s="4" t="str">
        <f t="shared" si="12"/>
        <v>Admis</v>
      </c>
      <c r="J221" s="4" t="str">
        <f t="shared" si="13"/>
        <v>Non eligible</v>
      </c>
      <c r="K221">
        <v>13.44</v>
      </c>
      <c r="L221" s="6" t="str">
        <f t="shared" si="14"/>
        <v>RAS</v>
      </c>
      <c r="M221" s="6" t="str">
        <f t="shared" si="15"/>
        <v>Hors Data</v>
      </c>
      <c r="N221" s="8" t="str" cm="1">
        <f t="array" ref="N221">_xlfn.IFS(H221&gt;=16,"Excellent",H221&gt;=14,"Très bien",H221&gt;=12,"Bien",H221&gt;=10,"Passable",TRUE,"Insuffisant")</f>
        <v>Excellent</v>
      </c>
      <c r="O221">
        <v>0.7833</v>
      </c>
      <c r="P221">
        <v>85000</v>
      </c>
      <c r="Q221" s="2">
        <v>45558</v>
      </c>
    </row>
    <row r="222" spans="1:17" x14ac:dyDescent="0.45">
      <c r="A222" t="s">
        <v>395</v>
      </c>
      <c r="B222" t="s">
        <v>325</v>
      </c>
      <c r="C222" t="s">
        <v>14</v>
      </c>
      <c r="D222" t="s">
        <v>20</v>
      </c>
      <c r="E222" t="s">
        <v>42</v>
      </c>
      <c r="F222">
        <v>14.2</v>
      </c>
      <c r="G222">
        <v>14.52</v>
      </c>
      <c r="H222">
        <v>18.41</v>
      </c>
      <c r="I222" s="4" t="str">
        <f t="shared" si="12"/>
        <v>Admis</v>
      </c>
      <c r="J222" s="4" t="str">
        <f t="shared" si="13"/>
        <v>Non eligible</v>
      </c>
      <c r="K222">
        <v>11.39</v>
      </c>
      <c r="L222" s="6" t="str">
        <f t="shared" si="14"/>
        <v>RAS</v>
      </c>
      <c r="M222" s="6" t="str">
        <f t="shared" si="15"/>
        <v>Hors Data</v>
      </c>
      <c r="N222" s="8" t="str" cm="1">
        <f t="array" ref="N222">_xlfn.IFS(H222&gt;=16,"Excellent",H222&gt;=14,"Très bien",H222&gt;=12,"Bien",H222&gt;=10,"Passable",TRUE,"Insuffisant")</f>
        <v>Excellent</v>
      </c>
      <c r="O222">
        <v>0.71450000000000002</v>
      </c>
      <c r="P222">
        <v>75000</v>
      </c>
      <c r="Q222" s="2">
        <v>45782</v>
      </c>
    </row>
    <row r="223" spans="1:17" x14ac:dyDescent="0.45">
      <c r="A223" t="s">
        <v>396</v>
      </c>
      <c r="B223" t="s">
        <v>196</v>
      </c>
      <c r="C223" t="s">
        <v>14</v>
      </c>
      <c r="D223" t="s">
        <v>32</v>
      </c>
      <c r="E223" t="s">
        <v>29</v>
      </c>
      <c r="F223">
        <v>20</v>
      </c>
      <c r="G223">
        <v>9.3000000000000007</v>
      </c>
      <c r="H223">
        <v>16.2</v>
      </c>
      <c r="I223" s="4" t="str">
        <f t="shared" si="12"/>
        <v>Admis</v>
      </c>
      <c r="J223" s="4" t="str">
        <f t="shared" si="13"/>
        <v>Non eligible</v>
      </c>
      <c r="K223">
        <v>16.97</v>
      </c>
      <c r="L223" s="6" t="str">
        <f t="shared" si="14"/>
        <v>RAS</v>
      </c>
      <c r="M223" s="6" t="str">
        <f t="shared" si="15"/>
        <v>Hors Data</v>
      </c>
      <c r="N223" s="8" t="str" cm="1">
        <f t="array" ref="N223">_xlfn.IFS(H223&gt;=16,"Excellent",H223&gt;=14,"Très bien",H223&gt;=12,"Bien",H223&gt;=10,"Passable",TRUE,"Insuffisant")</f>
        <v>Excellent</v>
      </c>
      <c r="O223">
        <v>0.59699999999999998</v>
      </c>
      <c r="P223">
        <v>70000</v>
      </c>
      <c r="Q223" s="2">
        <v>45731</v>
      </c>
    </row>
    <row r="224" spans="1:17" x14ac:dyDescent="0.45">
      <c r="A224" t="s">
        <v>397</v>
      </c>
      <c r="B224" t="s">
        <v>398</v>
      </c>
      <c r="C224" t="s">
        <v>19</v>
      </c>
      <c r="D224" t="s">
        <v>20</v>
      </c>
      <c r="E224" t="s">
        <v>16</v>
      </c>
      <c r="F224">
        <v>13.73</v>
      </c>
      <c r="G224">
        <v>12.44</v>
      </c>
      <c r="H224">
        <v>17.62</v>
      </c>
      <c r="I224" s="4" t="str">
        <f t="shared" si="12"/>
        <v>Admis</v>
      </c>
      <c r="J224" s="4" t="str">
        <f t="shared" si="13"/>
        <v>Non eligible</v>
      </c>
      <c r="K224">
        <v>11</v>
      </c>
      <c r="L224" s="6" t="str">
        <f t="shared" si="14"/>
        <v>RAS</v>
      </c>
      <c r="M224" s="6" t="str">
        <f t="shared" si="15"/>
        <v>Data</v>
      </c>
      <c r="N224" s="8" t="str" cm="1">
        <f t="array" ref="N224">_xlfn.IFS(H224&gt;=16,"Excellent",H224&gt;=14,"Très bien",H224&gt;=12,"Bien",H224&gt;=10,"Passable",TRUE,"Insuffisant")</f>
        <v>Excellent</v>
      </c>
      <c r="O224">
        <v>0.76500000000000001</v>
      </c>
      <c r="P224">
        <v>50000</v>
      </c>
      <c r="Q224" s="2">
        <v>45727</v>
      </c>
    </row>
    <row r="225" spans="1:17" x14ac:dyDescent="0.45">
      <c r="A225" t="s">
        <v>399</v>
      </c>
      <c r="B225" t="s">
        <v>400</v>
      </c>
      <c r="C225" t="s">
        <v>14</v>
      </c>
      <c r="D225" t="s">
        <v>15</v>
      </c>
      <c r="E225" t="s">
        <v>21</v>
      </c>
      <c r="F225">
        <v>16.95</v>
      </c>
      <c r="G225">
        <v>20</v>
      </c>
      <c r="H225">
        <v>17.89</v>
      </c>
      <c r="I225" s="4" t="str">
        <f t="shared" si="12"/>
        <v>Admis</v>
      </c>
      <c r="J225" s="4" t="str">
        <f t="shared" si="13"/>
        <v>Eligible</v>
      </c>
      <c r="K225">
        <v>19.690000000000001</v>
      </c>
      <c r="L225" s="6" t="str">
        <f t="shared" si="14"/>
        <v>RAS</v>
      </c>
      <c r="M225" s="6" t="str">
        <f t="shared" si="15"/>
        <v>Hors Data</v>
      </c>
      <c r="N225" s="8" t="str" cm="1">
        <f t="array" ref="N225">_xlfn.IFS(H225&gt;=16,"Excellent",H225&gt;=14,"Très bien",H225&gt;=12,"Bien",H225&gt;=10,"Passable",TRUE,"Insuffisant")</f>
        <v>Excellent</v>
      </c>
      <c r="O225">
        <v>0.86499999999999999</v>
      </c>
      <c r="P225">
        <v>85000</v>
      </c>
      <c r="Q225" s="2">
        <v>45671</v>
      </c>
    </row>
    <row r="226" spans="1:17" x14ac:dyDescent="0.45">
      <c r="A226" t="s">
        <v>401</v>
      </c>
      <c r="B226" t="s">
        <v>402</v>
      </c>
      <c r="C226" t="s">
        <v>19</v>
      </c>
      <c r="D226" t="s">
        <v>47</v>
      </c>
      <c r="E226" t="s">
        <v>29</v>
      </c>
      <c r="F226">
        <v>19.45</v>
      </c>
      <c r="G226">
        <v>13.02</v>
      </c>
      <c r="H226">
        <v>18.62</v>
      </c>
      <c r="I226" s="4" t="str">
        <f t="shared" si="12"/>
        <v>Admis</v>
      </c>
      <c r="J226" s="4" t="str">
        <f t="shared" si="13"/>
        <v>Eligible</v>
      </c>
      <c r="K226">
        <v>15.76</v>
      </c>
      <c r="L226" s="6" t="str">
        <f t="shared" si="14"/>
        <v>RAS</v>
      </c>
      <c r="M226" s="6" t="str">
        <f t="shared" si="15"/>
        <v>Hors Data</v>
      </c>
      <c r="N226" s="8" t="str" cm="1">
        <f t="array" ref="N226">_xlfn.IFS(H226&gt;=16,"Excellent",H226&gt;=14,"Très bien",H226&gt;=12,"Bien",H226&gt;=10,"Passable",TRUE,"Insuffisant")</f>
        <v>Excellent</v>
      </c>
      <c r="O226">
        <v>0.94030000000000002</v>
      </c>
      <c r="P226">
        <v>90000</v>
      </c>
      <c r="Q226" s="2">
        <v>46174</v>
      </c>
    </row>
    <row r="227" spans="1:17" x14ac:dyDescent="0.45">
      <c r="A227" t="s">
        <v>403</v>
      </c>
      <c r="B227" t="s">
        <v>404</v>
      </c>
      <c r="C227" t="s">
        <v>14</v>
      </c>
      <c r="D227" t="s">
        <v>32</v>
      </c>
      <c r="E227" t="s">
        <v>42</v>
      </c>
      <c r="F227">
        <v>8.73</v>
      </c>
      <c r="G227">
        <v>13.43</v>
      </c>
      <c r="H227">
        <v>11.99</v>
      </c>
      <c r="I227" s="4" t="str">
        <f t="shared" si="12"/>
        <v>Admis</v>
      </c>
      <c r="J227" s="4" t="str">
        <f t="shared" si="13"/>
        <v>Non eligible</v>
      </c>
      <c r="K227">
        <v>11.71</v>
      </c>
      <c r="L227" s="6" t="str">
        <f t="shared" si="14"/>
        <v>A surveiller</v>
      </c>
      <c r="M227" s="6" t="str">
        <f t="shared" si="15"/>
        <v>Hors Data</v>
      </c>
      <c r="N227" s="8" t="str" cm="1">
        <f t="array" ref="N227">_xlfn.IFS(H227&gt;=16,"Excellent",H227&gt;=14,"Très bien",H227&gt;=12,"Bien",H227&gt;=10,"Passable",TRUE,"Insuffisant")</f>
        <v>Passable</v>
      </c>
      <c r="O227">
        <v>0.67549999999999999</v>
      </c>
      <c r="P227">
        <v>100000</v>
      </c>
      <c r="Q227" s="2">
        <v>45801</v>
      </c>
    </row>
    <row r="228" spans="1:17" x14ac:dyDescent="0.45">
      <c r="A228" t="s">
        <v>405</v>
      </c>
      <c r="B228" t="s">
        <v>406</v>
      </c>
      <c r="C228" t="s">
        <v>19</v>
      </c>
      <c r="D228" t="s">
        <v>20</v>
      </c>
      <c r="E228" t="s">
        <v>29</v>
      </c>
      <c r="F228">
        <v>15.81</v>
      </c>
      <c r="G228">
        <v>19.489999999999998</v>
      </c>
      <c r="H228">
        <v>14.67</v>
      </c>
      <c r="I228" s="4" t="str">
        <f t="shared" si="12"/>
        <v>Admis</v>
      </c>
      <c r="J228" s="4" t="str">
        <f t="shared" si="13"/>
        <v>Eligible</v>
      </c>
      <c r="K228">
        <v>19.04</v>
      </c>
      <c r="L228" s="6" t="str">
        <f t="shared" si="14"/>
        <v>RAS</v>
      </c>
      <c r="M228" s="6" t="str">
        <f t="shared" si="15"/>
        <v>Hors Data</v>
      </c>
      <c r="N228" s="8" t="str" cm="1">
        <f t="array" ref="N228">_xlfn.IFS(H228&gt;=16,"Excellent",H228&gt;=14,"Très bien",H228&gt;=12,"Bien",H228&gt;=10,"Passable",TRUE,"Insuffisant")</f>
        <v>Très bien</v>
      </c>
      <c r="O228">
        <v>0.9395</v>
      </c>
      <c r="P228">
        <v>110000</v>
      </c>
      <c r="Q228" s="2">
        <v>45828</v>
      </c>
    </row>
    <row r="229" spans="1:17" x14ac:dyDescent="0.45">
      <c r="A229" t="s">
        <v>407</v>
      </c>
      <c r="B229" t="s">
        <v>223</v>
      </c>
      <c r="C229" t="s">
        <v>19</v>
      </c>
      <c r="D229" t="s">
        <v>32</v>
      </c>
      <c r="E229" t="s">
        <v>42</v>
      </c>
      <c r="F229">
        <v>20</v>
      </c>
      <c r="G229">
        <v>17.64</v>
      </c>
      <c r="H229">
        <v>17.62</v>
      </c>
      <c r="I229" s="4" t="str">
        <f t="shared" si="12"/>
        <v>Admis</v>
      </c>
      <c r="J229" s="4" t="str">
        <f t="shared" si="13"/>
        <v>Non eligible</v>
      </c>
      <c r="K229">
        <v>20</v>
      </c>
      <c r="L229" s="6" t="str">
        <f t="shared" si="14"/>
        <v>RAS</v>
      </c>
      <c r="M229" s="6" t="str">
        <f t="shared" si="15"/>
        <v>Hors Data</v>
      </c>
      <c r="N229" s="8" t="str" cm="1">
        <f t="array" ref="N229">_xlfn.IFS(H229&gt;=16,"Excellent",H229&gt;=14,"Très bien",H229&gt;=12,"Bien",H229&gt;=10,"Passable",TRUE,"Insuffisant")</f>
        <v>Excellent</v>
      </c>
      <c r="O229">
        <v>0.79869999999999997</v>
      </c>
      <c r="P229">
        <v>80000</v>
      </c>
      <c r="Q229" s="2">
        <v>45805</v>
      </c>
    </row>
    <row r="230" spans="1:17" x14ac:dyDescent="0.45">
      <c r="A230" t="s">
        <v>408</v>
      </c>
      <c r="B230" t="s">
        <v>409</v>
      </c>
      <c r="C230" t="s">
        <v>19</v>
      </c>
      <c r="D230" t="s">
        <v>32</v>
      </c>
      <c r="E230" t="s">
        <v>21</v>
      </c>
      <c r="F230">
        <v>18.73</v>
      </c>
      <c r="G230">
        <v>19.39</v>
      </c>
      <c r="H230">
        <v>14.66</v>
      </c>
      <c r="I230" s="4" t="str">
        <f t="shared" si="12"/>
        <v>Admis</v>
      </c>
      <c r="J230" s="4" t="str">
        <f t="shared" si="13"/>
        <v>Non eligible</v>
      </c>
      <c r="K230">
        <v>20</v>
      </c>
      <c r="L230" s="6" t="str">
        <f t="shared" si="14"/>
        <v>RAS</v>
      </c>
      <c r="M230" s="6" t="str">
        <f t="shared" si="15"/>
        <v>Hors Data</v>
      </c>
      <c r="N230" s="8" t="str" cm="1">
        <f t="array" ref="N230">_xlfn.IFS(H230&gt;=16,"Excellent",H230&gt;=14,"Très bien",H230&gt;=12,"Bien",H230&gt;=10,"Passable",TRUE,"Insuffisant")</f>
        <v>Très bien</v>
      </c>
      <c r="O230">
        <v>0.64900000000000002</v>
      </c>
      <c r="P230">
        <v>60000</v>
      </c>
      <c r="Q230" s="2">
        <v>46222</v>
      </c>
    </row>
    <row r="231" spans="1:17" x14ac:dyDescent="0.45">
      <c r="A231" t="s">
        <v>410</v>
      </c>
      <c r="B231" t="s">
        <v>411</v>
      </c>
      <c r="C231" t="s">
        <v>14</v>
      </c>
      <c r="D231" t="s">
        <v>28</v>
      </c>
      <c r="E231" t="s">
        <v>21</v>
      </c>
      <c r="F231">
        <v>6.25</v>
      </c>
      <c r="G231">
        <v>7.59</v>
      </c>
      <c r="H231">
        <v>13.09</v>
      </c>
      <c r="I231" s="4" t="str">
        <f t="shared" si="12"/>
        <v>Admis</v>
      </c>
      <c r="J231" s="4" t="str">
        <f t="shared" si="13"/>
        <v>Non eligible</v>
      </c>
      <c r="K231">
        <v>10.92</v>
      </c>
      <c r="L231" s="6" t="str">
        <f t="shared" si="14"/>
        <v>A surveiller</v>
      </c>
      <c r="M231" s="6" t="str">
        <f t="shared" si="15"/>
        <v>Hors Data</v>
      </c>
      <c r="N231" s="8" t="str" cm="1">
        <f t="array" ref="N231">_xlfn.IFS(H231&gt;=16,"Excellent",H231&gt;=14,"Très bien",H231&gt;=12,"Bien",H231&gt;=10,"Passable",TRUE,"Insuffisant")</f>
        <v>Bien</v>
      </c>
      <c r="O231">
        <v>0.79449999999999998</v>
      </c>
      <c r="P231">
        <v>120000</v>
      </c>
      <c r="Q231" s="2">
        <v>45773</v>
      </c>
    </row>
    <row r="232" spans="1:17" x14ac:dyDescent="0.45">
      <c r="A232" t="s">
        <v>412</v>
      </c>
      <c r="B232" t="s">
        <v>34</v>
      </c>
      <c r="C232" t="s">
        <v>14</v>
      </c>
      <c r="D232" t="s">
        <v>32</v>
      </c>
      <c r="E232" t="s">
        <v>16</v>
      </c>
      <c r="F232">
        <v>10.029999999999999</v>
      </c>
      <c r="G232">
        <v>14.89</v>
      </c>
      <c r="H232">
        <v>9.69</v>
      </c>
      <c r="I232" s="4" t="str">
        <f t="shared" si="12"/>
        <v>Non admis</v>
      </c>
      <c r="J232" s="4" t="str">
        <f t="shared" si="13"/>
        <v>Non eligible</v>
      </c>
      <c r="K232">
        <v>9.83</v>
      </c>
      <c r="L232" s="6" t="str">
        <f t="shared" si="14"/>
        <v>A surveiller</v>
      </c>
      <c r="M232" s="6" t="str">
        <f t="shared" si="15"/>
        <v>Data</v>
      </c>
      <c r="N232" s="8" t="str" cm="1">
        <f t="array" ref="N232">_xlfn.IFS(H232&gt;=16,"Excellent",H232&gt;=14,"Très bien",H232&gt;=12,"Bien",H232&gt;=10,"Passable",TRUE,"Insuffisant")</f>
        <v>Insuffisant</v>
      </c>
      <c r="O232">
        <v>0.94510000000000005</v>
      </c>
      <c r="P232">
        <v>110000</v>
      </c>
      <c r="Q232" s="2">
        <v>45775</v>
      </c>
    </row>
    <row r="233" spans="1:17" x14ac:dyDescent="0.45">
      <c r="A233" t="s">
        <v>413</v>
      </c>
      <c r="B233" t="s">
        <v>414</v>
      </c>
      <c r="C233" t="s">
        <v>19</v>
      </c>
      <c r="D233" t="s">
        <v>47</v>
      </c>
      <c r="E233" t="s">
        <v>42</v>
      </c>
      <c r="F233">
        <v>20</v>
      </c>
      <c r="G233">
        <v>17.87</v>
      </c>
      <c r="H233">
        <v>16.09</v>
      </c>
      <c r="I233" s="4" t="str">
        <f t="shared" si="12"/>
        <v>Admis</v>
      </c>
      <c r="J233" s="4" t="str">
        <f t="shared" si="13"/>
        <v>Non eligible</v>
      </c>
      <c r="K233">
        <v>18.899999999999999</v>
      </c>
      <c r="L233" s="6" t="str">
        <f t="shared" si="14"/>
        <v>RAS</v>
      </c>
      <c r="M233" s="6" t="str">
        <f t="shared" si="15"/>
        <v>Hors Data</v>
      </c>
      <c r="N233" s="8" t="str" cm="1">
        <f t="array" ref="N233">_xlfn.IFS(H233&gt;=16,"Excellent",H233&gt;=14,"Très bien",H233&gt;=12,"Bien",H233&gt;=10,"Passable",TRUE,"Insuffisant")</f>
        <v>Excellent</v>
      </c>
      <c r="O233">
        <v>0.75680000000000003</v>
      </c>
      <c r="P233">
        <v>85000</v>
      </c>
      <c r="Q233" s="2">
        <v>45765</v>
      </c>
    </row>
    <row r="234" spans="1:17" x14ac:dyDescent="0.45">
      <c r="A234" t="s">
        <v>415</v>
      </c>
      <c r="B234" t="s">
        <v>129</v>
      </c>
      <c r="C234" t="s">
        <v>14</v>
      </c>
      <c r="D234" t="s">
        <v>28</v>
      </c>
      <c r="E234" t="s">
        <v>21</v>
      </c>
      <c r="F234">
        <v>11.36</v>
      </c>
      <c r="G234">
        <v>11.04</v>
      </c>
      <c r="H234">
        <v>8.14</v>
      </c>
      <c r="I234" s="4" t="str">
        <f t="shared" si="12"/>
        <v>Non admis</v>
      </c>
      <c r="J234" s="4" t="str">
        <f t="shared" si="13"/>
        <v>Non eligible</v>
      </c>
      <c r="K234">
        <v>13.1</v>
      </c>
      <c r="L234" s="6" t="str">
        <f t="shared" si="14"/>
        <v>A surveiller</v>
      </c>
      <c r="M234" s="6" t="str">
        <f t="shared" si="15"/>
        <v>Hors Data</v>
      </c>
      <c r="N234" s="8" t="str" cm="1">
        <f t="array" ref="N234">_xlfn.IFS(H234&gt;=16,"Excellent",H234&gt;=14,"Très bien",H234&gt;=12,"Bien",H234&gt;=10,"Passable",TRUE,"Insuffisant")</f>
        <v>Insuffisant</v>
      </c>
      <c r="O234">
        <v>0.55000000000000004</v>
      </c>
      <c r="P234">
        <v>50000</v>
      </c>
      <c r="Q234" s="2">
        <v>45764</v>
      </c>
    </row>
    <row r="235" spans="1:17" x14ac:dyDescent="0.45">
      <c r="A235" t="s">
        <v>416</v>
      </c>
      <c r="B235" t="s">
        <v>417</v>
      </c>
      <c r="C235" t="s">
        <v>19</v>
      </c>
      <c r="D235" t="s">
        <v>20</v>
      </c>
      <c r="E235" t="s">
        <v>42</v>
      </c>
      <c r="F235">
        <v>7.95</v>
      </c>
      <c r="G235">
        <v>13.18</v>
      </c>
      <c r="H235">
        <v>9.5500000000000007</v>
      </c>
      <c r="I235" s="4" t="str">
        <f t="shared" si="12"/>
        <v>Non admis</v>
      </c>
      <c r="J235" s="4" t="str">
        <f t="shared" si="13"/>
        <v>Non eligible</v>
      </c>
      <c r="K235">
        <v>9.99</v>
      </c>
      <c r="L235" s="6" t="str">
        <f t="shared" si="14"/>
        <v>A surveiller</v>
      </c>
      <c r="M235" s="6" t="str">
        <f t="shared" si="15"/>
        <v>Hors Data</v>
      </c>
      <c r="N235" s="8" t="str" cm="1">
        <f t="array" ref="N235">_xlfn.IFS(H235&gt;=16,"Excellent",H235&gt;=14,"Très bien",H235&gt;=12,"Bien",H235&gt;=10,"Passable",TRUE,"Insuffisant")</f>
        <v>Insuffisant</v>
      </c>
      <c r="O235">
        <v>0.90759999999999996</v>
      </c>
      <c r="P235">
        <v>85000</v>
      </c>
      <c r="Q235" s="2">
        <v>45598</v>
      </c>
    </row>
    <row r="236" spans="1:17" x14ac:dyDescent="0.45">
      <c r="A236" t="s">
        <v>418</v>
      </c>
      <c r="B236" t="s">
        <v>419</v>
      </c>
      <c r="C236" t="s">
        <v>14</v>
      </c>
      <c r="D236" t="s">
        <v>20</v>
      </c>
      <c r="E236" t="s">
        <v>16</v>
      </c>
      <c r="F236">
        <v>10.63</v>
      </c>
      <c r="G236">
        <v>13.99</v>
      </c>
      <c r="H236">
        <v>16.22</v>
      </c>
      <c r="I236" s="4" t="str">
        <f t="shared" si="12"/>
        <v>Admis</v>
      </c>
      <c r="J236" s="4" t="str">
        <f t="shared" si="13"/>
        <v>Non eligible</v>
      </c>
      <c r="K236">
        <v>16</v>
      </c>
      <c r="L236" s="6" t="str">
        <f t="shared" si="14"/>
        <v>RAS</v>
      </c>
      <c r="M236" s="6" t="str">
        <f t="shared" si="15"/>
        <v>Data</v>
      </c>
      <c r="N236" s="8" t="str" cm="1">
        <f t="array" ref="N236">_xlfn.IFS(H236&gt;=16,"Excellent",H236&gt;=14,"Très bien",H236&gt;=12,"Bien",H236&gt;=10,"Passable",TRUE,"Insuffisant")</f>
        <v>Excellent</v>
      </c>
      <c r="O236">
        <v>0.59889999999999999</v>
      </c>
      <c r="P236">
        <v>90000</v>
      </c>
      <c r="Q236" s="2">
        <v>45958</v>
      </c>
    </row>
    <row r="237" spans="1:17" x14ac:dyDescent="0.45">
      <c r="A237" t="s">
        <v>420</v>
      </c>
      <c r="B237" t="s">
        <v>295</v>
      </c>
      <c r="C237" t="s">
        <v>19</v>
      </c>
      <c r="D237" t="s">
        <v>35</v>
      </c>
      <c r="E237" t="s">
        <v>16</v>
      </c>
      <c r="F237">
        <v>13.45</v>
      </c>
      <c r="G237">
        <v>13.15</v>
      </c>
      <c r="H237">
        <v>19.48</v>
      </c>
      <c r="I237" s="4" t="str">
        <f t="shared" si="12"/>
        <v>Admis</v>
      </c>
      <c r="J237" s="4" t="str">
        <f t="shared" si="13"/>
        <v>Non eligible</v>
      </c>
      <c r="K237">
        <v>16.45</v>
      </c>
      <c r="L237" s="6" t="str">
        <f t="shared" si="14"/>
        <v>RAS</v>
      </c>
      <c r="M237" s="6" t="str">
        <f t="shared" si="15"/>
        <v>Data</v>
      </c>
      <c r="N237" s="8" t="str" cm="1">
        <f t="array" ref="N237">_xlfn.IFS(H237&gt;=16,"Excellent",H237&gt;=14,"Très bien",H237&gt;=12,"Bien",H237&gt;=10,"Passable",TRUE,"Insuffisant")</f>
        <v>Excellent</v>
      </c>
      <c r="O237">
        <v>0.69740000000000002</v>
      </c>
      <c r="P237">
        <v>120000</v>
      </c>
      <c r="Q237" s="2">
        <v>45553</v>
      </c>
    </row>
    <row r="238" spans="1:17" x14ac:dyDescent="0.45">
      <c r="A238" t="s">
        <v>421</v>
      </c>
      <c r="B238" t="s">
        <v>422</v>
      </c>
      <c r="C238" t="s">
        <v>19</v>
      </c>
      <c r="D238" t="s">
        <v>47</v>
      </c>
      <c r="E238" t="s">
        <v>16</v>
      </c>
      <c r="F238">
        <v>14.01</v>
      </c>
      <c r="G238">
        <v>12.19</v>
      </c>
      <c r="H238">
        <v>9.76</v>
      </c>
      <c r="I238" s="4" t="str">
        <f t="shared" si="12"/>
        <v>Non admis</v>
      </c>
      <c r="J238" s="4" t="str">
        <f t="shared" si="13"/>
        <v>Non eligible</v>
      </c>
      <c r="K238">
        <v>13.58</v>
      </c>
      <c r="L238" s="6" t="str">
        <f t="shared" si="14"/>
        <v>A surveiller</v>
      </c>
      <c r="M238" s="6" t="str">
        <f t="shared" si="15"/>
        <v>Data</v>
      </c>
      <c r="N238" s="8" t="str" cm="1">
        <f t="array" ref="N238">_xlfn.IFS(H238&gt;=16,"Excellent",H238&gt;=14,"Très bien",H238&gt;=12,"Bien",H238&gt;=10,"Passable",TRUE,"Insuffisant")</f>
        <v>Insuffisant</v>
      </c>
      <c r="O238">
        <v>0.77359999999999995</v>
      </c>
      <c r="P238">
        <v>85000</v>
      </c>
      <c r="Q238" s="2">
        <v>45694</v>
      </c>
    </row>
    <row r="239" spans="1:17" x14ac:dyDescent="0.45">
      <c r="A239" t="s">
        <v>423</v>
      </c>
      <c r="B239" t="s">
        <v>348</v>
      </c>
      <c r="C239" t="s">
        <v>14</v>
      </c>
      <c r="D239" t="s">
        <v>15</v>
      </c>
      <c r="E239" t="s">
        <v>16</v>
      </c>
      <c r="F239">
        <v>14.62</v>
      </c>
      <c r="G239">
        <v>13.17</v>
      </c>
      <c r="H239">
        <v>11.1</v>
      </c>
      <c r="I239" s="4" t="str">
        <f t="shared" si="12"/>
        <v>Admis</v>
      </c>
      <c r="J239" s="4" t="str">
        <f t="shared" si="13"/>
        <v>Non eligible</v>
      </c>
      <c r="K239">
        <v>12.13</v>
      </c>
      <c r="L239" s="6" t="str">
        <f t="shared" si="14"/>
        <v>RAS</v>
      </c>
      <c r="M239" s="6" t="str">
        <f t="shared" si="15"/>
        <v>Data</v>
      </c>
      <c r="N239" s="8" t="str" cm="1">
        <f t="array" ref="N239">_xlfn.IFS(H239&gt;=16,"Excellent",H239&gt;=14,"Très bien",H239&gt;=12,"Bien",H239&gt;=10,"Passable",TRUE,"Insuffisant")</f>
        <v>Passable</v>
      </c>
      <c r="O239">
        <v>0.91810000000000003</v>
      </c>
      <c r="P239">
        <v>85000</v>
      </c>
      <c r="Q239" s="2">
        <v>45677</v>
      </c>
    </row>
    <row r="240" spans="1:17" x14ac:dyDescent="0.45">
      <c r="A240" t="s">
        <v>424</v>
      </c>
      <c r="B240" t="s">
        <v>425</v>
      </c>
      <c r="C240" t="s">
        <v>14</v>
      </c>
      <c r="D240" t="s">
        <v>32</v>
      </c>
      <c r="E240" t="s">
        <v>21</v>
      </c>
      <c r="F240">
        <v>13.93</v>
      </c>
      <c r="G240">
        <v>10.64</v>
      </c>
      <c r="H240">
        <v>9.5399999999999991</v>
      </c>
      <c r="I240" s="4" t="str">
        <f t="shared" si="12"/>
        <v>Non admis</v>
      </c>
      <c r="J240" s="4" t="str">
        <f t="shared" si="13"/>
        <v>Non eligible</v>
      </c>
      <c r="K240">
        <v>11.81</v>
      </c>
      <c r="L240" s="6" t="str">
        <f t="shared" si="14"/>
        <v>A surveiller</v>
      </c>
      <c r="M240" s="6" t="str">
        <f t="shared" si="15"/>
        <v>Hors Data</v>
      </c>
      <c r="N240" s="8" t="str" cm="1">
        <f t="array" ref="N240">_xlfn.IFS(H240&gt;=16,"Excellent",H240&gt;=14,"Très bien",H240&gt;=12,"Bien",H240&gt;=10,"Passable",TRUE,"Insuffisant")</f>
        <v>Insuffisant</v>
      </c>
      <c r="O240">
        <v>0.8478</v>
      </c>
      <c r="P240">
        <v>80000</v>
      </c>
      <c r="Q240" s="2">
        <v>45740</v>
      </c>
    </row>
    <row r="241" spans="1:17" x14ac:dyDescent="0.45">
      <c r="A241" t="s">
        <v>426</v>
      </c>
      <c r="B241" t="s">
        <v>427</v>
      </c>
      <c r="C241" t="s">
        <v>19</v>
      </c>
      <c r="D241" t="s">
        <v>35</v>
      </c>
      <c r="E241" t="s">
        <v>21</v>
      </c>
      <c r="F241">
        <v>12.51</v>
      </c>
      <c r="G241">
        <v>7.25</v>
      </c>
      <c r="H241">
        <v>13.88</v>
      </c>
      <c r="I241" s="4" t="str">
        <f t="shared" si="12"/>
        <v>Admis</v>
      </c>
      <c r="J241" s="4" t="str">
        <f t="shared" si="13"/>
        <v>Eligible</v>
      </c>
      <c r="K241">
        <v>8.65</v>
      </c>
      <c r="L241" s="6" t="str">
        <f t="shared" si="14"/>
        <v>RAS</v>
      </c>
      <c r="M241" s="6" t="str">
        <f t="shared" si="15"/>
        <v>Hors Data</v>
      </c>
      <c r="N241" s="8" t="str" cm="1">
        <f t="array" ref="N241">_xlfn.IFS(H241&gt;=16,"Excellent",H241&gt;=14,"Très bien",H241&gt;=12,"Bien",H241&gt;=10,"Passable",TRUE,"Insuffisant")</f>
        <v>Bien</v>
      </c>
      <c r="O241">
        <v>0.93389999999999995</v>
      </c>
      <c r="P241">
        <v>80000</v>
      </c>
      <c r="Q241" s="2">
        <v>46065</v>
      </c>
    </row>
    <row r="242" spans="1:17" x14ac:dyDescent="0.45">
      <c r="A242" t="s">
        <v>428</v>
      </c>
      <c r="B242" t="s">
        <v>279</v>
      </c>
      <c r="C242" t="s">
        <v>14</v>
      </c>
      <c r="D242" t="s">
        <v>28</v>
      </c>
      <c r="E242" t="s">
        <v>42</v>
      </c>
      <c r="F242">
        <v>8.11</v>
      </c>
      <c r="G242">
        <v>11.32</v>
      </c>
      <c r="H242">
        <v>11.87</v>
      </c>
      <c r="I242" s="4" t="str">
        <f t="shared" si="12"/>
        <v>Admis</v>
      </c>
      <c r="J242" s="4" t="str">
        <f t="shared" si="13"/>
        <v>Non eligible</v>
      </c>
      <c r="K242">
        <v>10.74</v>
      </c>
      <c r="L242" s="6" t="str">
        <f t="shared" si="14"/>
        <v>A surveiller</v>
      </c>
      <c r="M242" s="6" t="str">
        <f t="shared" si="15"/>
        <v>Hors Data</v>
      </c>
      <c r="N242" s="8" t="str" cm="1">
        <f t="array" ref="N242">_xlfn.IFS(H242&gt;=16,"Excellent",H242&gt;=14,"Très bien",H242&gt;=12,"Bien",H242&gt;=10,"Passable",TRUE,"Insuffisant")</f>
        <v>Passable</v>
      </c>
      <c r="O242">
        <v>0.80379999999999996</v>
      </c>
      <c r="P242">
        <v>50000</v>
      </c>
      <c r="Q242" s="2">
        <v>45955</v>
      </c>
    </row>
    <row r="243" spans="1:17" x14ac:dyDescent="0.45">
      <c r="A243" t="s">
        <v>429</v>
      </c>
      <c r="B243" t="s">
        <v>430</v>
      </c>
      <c r="C243" t="s">
        <v>19</v>
      </c>
      <c r="D243" t="s">
        <v>47</v>
      </c>
      <c r="E243" t="s">
        <v>42</v>
      </c>
      <c r="F243">
        <v>16.97</v>
      </c>
      <c r="G243">
        <v>17.03</v>
      </c>
      <c r="H243">
        <v>18.690000000000001</v>
      </c>
      <c r="I243" s="4" t="str">
        <f t="shared" si="12"/>
        <v>Admis</v>
      </c>
      <c r="J243" s="4" t="str">
        <f t="shared" si="13"/>
        <v>Non eligible</v>
      </c>
      <c r="K243">
        <v>20</v>
      </c>
      <c r="L243" s="6" t="str">
        <f t="shared" si="14"/>
        <v>RAS</v>
      </c>
      <c r="M243" s="6" t="str">
        <f t="shared" si="15"/>
        <v>Hors Data</v>
      </c>
      <c r="N243" s="8" t="str" cm="1">
        <f t="array" ref="N243">_xlfn.IFS(H243&gt;=16,"Excellent",H243&gt;=14,"Très bien",H243&gt;=12,"Bien",H243&gt;=10,"Passable",TRUE,"Insuffisant")</f>
        <v>Excellent</v>
      </c>
      <c r="O243">
        <v>0.72509999999999997</v>
      </c>
      <c r="P243">
        <v>60000</v>
      </c>
      <c r="Q243" s="2">
        <v>46229</v>
      </c>
    </row>
    <row r="244" spans="1:17" x14ac:dyDescent="0.45">
      <c r="A244" t="s">
        <v>431</v>
      </c>
      <c r="B244" t="s">
        <v>133</v>
      </c>
      <c r="C244" t="s">
        <v>14</v>
      </c>
      <c r="D244" t="s">
        <v>20</v>
      </c>
      <c r="E244" t="s">
        <v>21</v>
      </c>
      <c r="F244">
        <v>15.51</v>
      </c>
      <c r="G244">
        <v>18.29</v>
      </c>
      <c r="H244">
        <v>14.69</v>
      </c>
      <c r="I244" s="4" t="str">
        <f t="shared" si="12"/>
        <v>Admis</v>
      </c>
      <c r="J244" s="4" t="str">
        <f t="shared" si="13"/>
        <v>Eligible</v>
      </c>
      <c r="K244">
        <v>13.32</v>
      </c>
      <c r="L244" s="6" t="str">
        <f t="shared" si="14"/>
        <v>RAS</v>
      </c>
      <c r="M244" s="6" t="str">
        <f t="shared" si="15"/>
        <v>Hors Data</v>
      </c>
      <c r="N244" s="8" t="str" cm="1">
        <f t="array" ref="N244">_xlfn.IFS(H244&gt;=16,"Excellent",H244&gt;=14,"Très bien",H244&gt;=12,"Bien",H244&gt;=10,"Passable",TRUE,"Insuffisant")</f>
        <v>Très bien</v>
      </c>
      <c r="O244">
        <v>0.87749999999999995</v>
      </c>
      <c r="P244">
        <v>110000</v>
      </c>
      <c r="Q244" s="2">
        <v>45781</v>
      </c>
    </row>
    <row r="245" spans="1:17" x14ac:dyDescent="0.45">
      <c r="A245" t="s">
        <v>432</v>
      </c>
      <c r="B245" t="s">
        <v>311</v>
      </c>
      <c r="C245" t="s">
        <v>19</v>
      </c>
      <c r="D245" t="s">
        <v>47</v>
      </c>
      <c r="E245" t="s">
        <v>29</v>
      </c>
      <c r="F245">
        <v>13.02</v>
      </c>
      <c r="G245">
        <v>16.77</v>
      </c>
      <c r="H245">
        <v>15.13</v>
      </c>
      <c r="I245" s="4" t="str">
        <f t="shared" si="12"/>
        <v>Admis</v>
      </c>
      <c r="J245" s="4" t="str">
        <f t="shared" si="13"/>
        <v>Non eligible</v>
      </c>
      <c r="K245">
        <v>16.63</v>
      </c>
      <c r="L245" s="6" t="str">
        <f t="shared" si="14"/>
        <v>RAS</v>
      </c>
      <c r="M245" s="6" t="str">
        <f t="shared" si="15"/>
        <v>Hors Data</v>
      </c>
      <c r="N245" s="8" t="str" cm="1">
        <f t="array" ref="N245">_xlfn.IFS(H245&gt;=16,"Excellent",H245&gt;=14,"Très bien",H245&gt;=12,"Bien",H245&gt;=10,"Passable",TRUE,"Insuffisant")</f>
        <v>Très bien</v>
      </c>
      <c r="O245">
        <v>0.79690000000000005</v>
      </c>
      <c r="P245">
        <v>75000</v>
      </c>
      <c r="Q245" s="2">
        <v>46185</v>
      </c>
    </row>
    <row r="246" spans="1:17" x14ac:dyDescent="0.45">
      <c r="A246" t="s">
        <v>433</v>
      </c>
      <c r="B246" t="s">
        <v>105</v>
      </c>
      <c r="C246" t="s">
        <v>19</v>
      </c>
      <c r="D246" t="s">
        <v>32</v>
      </c>
      <c r="E246" t="s">
        <v>29</v>
      </c>
      <c r="F246">
        <v>11.63</v>
      </c>
      <c r="G246">
        <v>10.54</v>
      </c>
      <c r="H246">
        <v>15.88</v>
      </c>
      <c r="I246" s="4" t="str">
        <f t="shared" si="12"/>
        <v>Admis</v>
      </c>
      <c r="J246" s="4" t="str">
        <f t="shared" si="13"/>
        <v>Non eligible</v>
      </c>
      <c r="K246">
        <v>12.08</v>
      </c>
      <c r="L246" s="6" t="str">
        <f t="shared" si="14"/>
        <v>RAS</v>
      </c>
      <c r="M246" s="6" t="str">
        <f t="shared" si="15"/>
        <v>Hors Data</v>
      </c>
      <c r="N246" s="8" t="str" cm="1">
        <f t="array" ref="N246">_xlfn.IFS(H246&gt;=16,"Excellent",H246&gt;=14,"Très bien",H246&gt;=12,"Bien",H246&gt;=10,"Passable",TRUE,"Insuffisant")</f>
        <v>Très bien</v>
      </c>
      <c r="O246">
        <v>0.76190000000000002</v>
      </c>
      <c r="P246">
        <v>120000</v>
      </c>
      <c r="Q246" s="2">
        <v>45567</v>
      </c>
    </row>
    <row r="247" spans="1:17" x14ac:dyDescent="0.45">
      <c r="A247" t="s">
        <v>434</v>
      </c>
      <c r="B247" t="s">
        <v>133</v>
      </c>
      <c r="C247" t="s">
        <v>14</v>
      </c>
      <c r="D247" t="s">
        <v>20</v>
      </c>
      <c r="E247" t="s">
        <v>42</v>
      </c>
      <c r="F247">
        <v>13.65</v>
      </c>
      <c r="G247">
        <v>11.84</v>
      </c>
      <c r="H247">
        <v>14.38</v>
      </c>
      <c r="I247" s="4" t="str">
        <f t="shared" si="12"/>
        <v>Admis</v>
      </c>
      <c r="J247" s="4" t="str">
        <f t="shared" si="13"/>
        <v>Eligible</v>
      </c>
      <c r="K247">
        <v>14.58</v>
      </c>
      <c r="L247" s="6" t="str">
        <f t="shared" si="14"/>
        <v>RAS</v>
      </c>
      <c r="M247" s="6" t="str">
        <f t="shared" si="15"/>
        <v>Hors Data</v>
      </c>
      <c r="N247" s="8" t="str" cm="1">
        <f t="array" ref="N247">_xlfn.IFS(H247&gt;=16,"Excellent",H247&gt;=14,"Très bien",H247&gt;=12,"Bien",H247&gt;=10,"Passable",TRUE,"Insuffisant")</f>
        <v>Très bien</v>
      </c>
      <c r="O247">
        <v>0.95069999999999999</v>
      </c>
      <c r="P247">
        <v>80000</v>
      </c>
      <c r="Q247" s="2">
        <v>45888</v>
      </c>
    </row>
    <row r="248" spans="1:17" x14ac:dyDescent="0.45">
      <c r="A248" t="s">
        <v>435</v>
      </c>
      <c r="B248" t="s">
        <v>436</v>
      </c>
      <c r="C248" t="s">
        <v>19</v>
      </c>
      <c r="D248" t="s">
        <v>28</v>
      </c>
      <c r="E248" t="s">
        <v>29</v>
      </c>
      <c r="F248">
        <v>9</v>
      </c>
      <c r="G248">
        <v>7.75</v>
      </c>
      <c r="H248">
        <v>13.18</v>
      </c>
      <c r="I248" s="4" t="str">
        <f t="shared" si="12"/>
        <v>Admis</v>
      </c>
      <c r="J248" s="4" t="str">
        <f t="shared" si="13"/>
        <v>Non eligible</v>
      </c>
      <c r="K248">
        <v>12.86</v>
      </c>
      <c r="L248" s="6" t="str">
        <f t="shared" si="14"/>
        <v>A surveiller</v>
      </c>
      <c r="M248" s="6" t="str">
        <f t="shared" si="15"/>
        <v>Hors Data</v>
      </c>
      <c r="N248" s="8" t="str" cm="1">
        <f t="array" ref="N248">_xlfn.IFS(H248&gt;=16,"Excellent",H248&gt;=14,"Très bien",H248&gt;=12,"Bien",H248&gt;=10,"Passable",TRUE,"Insuffisant")</f>
        <v>Bien</v>
      </c>
      <c r="O248">
        <v>0.84540000000000004</v>
      </c>
      <c r="P248">
        <v>130000</v>
      </c>
      <c r="Q248" s="2">
        <v>46095</v>
      </c>
    </row>
    <row r="249" spans="1:17" x14ac:dyDescent="0.45">
      <c r="A249" t="s">
        <v>437</v>
      </c>
      <c r="B249" t="s">
        <v>438</v>
      </c>
      <c r="C249" t="s">
        <v>14</v>
      </c>
      <c r="D249" t="s">
        <v>20</v>
      </c>
      <c r="E249" t="s">
        <v>16</v>
      </c>
      <c r="F249">
        <v>3.82</v>
      </c>
      <c r="G249">
        <v>4.0599999999999996</v>
      </c>
      <c r="H249">
        <v>0.41</v>
      </c>
      <c r="I249" s="4" t="str">
        <f t="shared" si="12"/>
        <v>Non admis</v>
      </c>
      <c r="J249" s="4" t="str">
        <f t="shared" si="13"/>
        <v>Non eligible</v>
      </c>
      <c r="K249">
        <v>6.34</v>
      </c>
      <c r="L249" s="6" t="str">
        <f t="shared" si="14"/>
        <v>A surveiller</v>
      </c>
      <c r="M249" s="6" t="str">
        <f t="shared" si="15"/>
        <v>Data</v>
      </c>
      <c r="N249" s="8" t="str" cm="1">
        <f t="array" ref="N249">_xlfn.IFS(H249&gt;=16,"Excellent",H249&gt;=14,"Très bien",H249&gt;=12,"Bien",H249&gt;=10,"Passable",TRUE,"Insuffisant")</f>
        <v>Insuffisant</v>
      </c>
      <c r="O249">
        <v>0.92369999999999997</v>
      </c>
      <c r="P249">
        <v>60000</v>
      </c>
      <c r="Q249" s="2">
        <v>45908</v>
      </c>
    </row>
    <row r="250" spans="1:17" x14ac:dyDescent="0.45">
      <c r="A250" t="s">
        <v>439</v>
      </c>
      <c r="B250" t="s">
        <v>295</v>
      </c>
      <c r="C250" t="s">
        <v>19</v>
      </c>
      <c r="D250" t="s">
        <v>28</v>
      </c>
      <c r="E250" t="s">
        <v>42</v>
      </c>
      <c r="F250">
        <v>9.43</v>
      </c>
      <c r="G250">
        <v>12.28</v>
      </c>
      <c r="H250">
        <v>9.69</v>
      </c>
      <c r="I250" s="4" t="str">
        <f t="shared" si="12"/>
        <v>Non admis</v>
      </c>
      <c r="J250" s="4" t="str">
        <f t="shared" si="13"/>
        <v>Non eligible</v>
      </c>
      <c r="K250">
        <v>6.53</v>
      </c>
      <c r="L250" s="6" t="str">
        <f t="shared" si="14"/>
        <v>A surveiller</v>
      </c>
      <c r="M250" s="6" t="str">
        <f t="shared" si="15"/>
        <v>Hors Data</v>
      </c>
      <c r="N250" s="8" t="str" cm="1">
        <f t="array" ref="N250">_xlfn.IFS(H250&gt;=16,"Excellent",H250&gt;=14,"Très bien",H250&gt;=12,"Bien",H250&gt;=10,"Passable",TRUE,"Insuffisant")</f>
        <v>Insuffisant</v>
      </c>
      <c r="O250">
        <v>0.87739999999999996</v>
      </c>
      <c r="P250">
        <v>70000</v>
      </c>
      <c r="Q250" s="2">
        <v>46189</v>
      </c>
    </row>
    <row r="251" spans="1:17" x14ac:dyDescent="0.45">
      <c r="A251" t="s">
        <v>440</v>
      </c>
      <c r="B251" t="s">
        <v>225</v>
      </c>
      <c r="C251" t="s">
        <v>14</v>
      </c>
      <c r="D251" t="s">
        <v>35</v>
      </c>
      <c r="E251" t="s">
        <v>21</v>
      </c>
      <c r="F251">
        <v>9.5399999999999991</v>
      </c>
      <c r="G251">
        <v>13.74</v>
      </c>
      <c r="H251">
        <v>13.21</v>
      </c>
      <c r="I251" s="4" t="str">
        <f t="shared" si="12"/>
        <v>Admis</v>
      </c>
      <c r="J251" s="4" t="str">
        <f t="shared" si="13"/>
        <v>Non eligible</v>
      </c>
      <c r="K251">
        <v>12.27</v>
      </c>
      <c r="L251" s="6" t="str">
        <f t="shared" si="14"/>
        <v>A surveiller</v>
      </c>
      <c r="M251" s="6" t="str">
        <f t="shared" si="15"/>
        <v>Hors Data</v>
      </c>
      <c r="N251" s="8" t="str" cm="1">
        <f t="array" ref="N251">_xlfn.IFS(H251&gt;=16,"Excellent",H251&gt;=14,"Très bien",H251&gt;=12,"Bien",H251&gt;=10,"Passable",TRUE,"Insuffisant")</f>
        <v>Bien</v>
      </c>
      <c r="O251">
        <v>0.94869999999999999</v>
      </c>
      <c r="P251">
        <v>90000</v>
      </c>
      <c r="Q251" s="2">
        <v>45756</v>
      </c>
    </row>
    <row r="252" spans="1:17" x14ac:dyDescent="0.45">
      <c r="A252" t="s">
        <v>441</v>
      </c>
      <c r="B252" t="s">
        <v>425</v>
      </c>
      <c r="C252" t="s">
        <v>14</v>
      </c>
      <c r="D252" t="s">
        <v>28</v>
      </c>
      <c r="E252" t="s">
        <v>16</v>
      </c>
      <c r="F252">
        <v>9.5399999999999991</v>
      </c>
      <c r="G252">
        <v>9.1999999999999993</v>
      </c>
      <c r="H252">
        <v>10.32</v>
      </c>
      <c r="I252" s="4" t="str">
        <f t="shared" si="12"/>
        <v>Admis</v>
      </c>
      <c r="J252" s="4" t="str">
        <f t="shared" si="13"/>
        <v>Non eligible</v>
      </c>
      <c r="K252">
        <v>6.79</v>
      </c>
      <c r="L252" s="6" t="str">
        <f t="shared" si="14"/>
        <v>A surveiller</v>
      </c>
      <c r="M252" s="6" t="str">
        <f t="shared" si="15"/>
        <v>Data</v>
      </c>
      <c r="N252" s="8" t="str" cm="1">
        <f t="array" ref="N252">_xlfn.IFS(H252&gt;=16,"Excellent",H252&gt;=14,"Très bien",H252&gt;=12,"Bien",H252&gt;=10,"Passable",TRUE,"Insuffisant")</f>
        <v>Passable</v>
      </c>
      <c r="O252">
        <v>0.83479999999999999</v>
      </c>
      <c r="P252">
        <v>110000</v>
      </c>
      <c r="Q252" s="2">
        <v>45559</v>
      </c>
    </row>
    <row r="253" spans="1:17" x14ac:dyDescent="0.45">
      <c r="A253" t="s">
        <v>442</v>
      </c>
      <c r="B253" t="s">
        <v>443</v>
      </c>
      <c r="C253" t="s">
        <v>14</v>
      </c>
      <c r="D253" t="s">
        <v>47</v>
      </c>
      <c r="E253" t="s">
        <v>16</v>
      </c>
      <c r="F253">
        <v>11.49</v>
      </c>
      <c r="G253">
        <v>10.35</v>
      </c>
      <c r="H253">
        <v>6.29</v>
      </c>
      <c r="I253" s="4" t="str">
        <f t="shared" si="12"/>
        <v>Non admis</v>
      </c>
      <c r="J253" s="4" t="str">
        <f t="shared" si="13"/>
        <v>Non eligible</v>
      </c>
      <c r="K253">
        <v>9.8800000000000008</v>
      </c>
      <c r="L253" s="6" t="str">
        <f t="shared" si="14"/>
        <v>A surveiller</v>
      </c>
      <c r="M253" s="6" t="str">
        <f t="shared" si="15"/>
        <v>Data</v>
      </c>
      <c r="N253" s="8" t="str" cm="1">
        <f t="array" ref="N253">_xlfn.IFS(H253&gt;=16,"Excellent",H253&gt;=14,"Très bien",H253&gt;=12,"Bien",H253&gt;=10,"Passable",TRUE,"Insuffisant")</f>
        <v>Insuffisant</v>
      </c>
      <c r="O253">
        <v>0.91059999999999997</v>
      </c>
      <c r="P253">
        <v>60000</v>
      </c>
      <c r="Q253" s="2">
        <v>46077</v>
      </c>
    </row>
    <row r="254" spans="1:17" x14ac:dyDescent="0.45">
      <c r="A254" t="s">
        <v>444</v>
      </c>
      <c r="B254" t="s">
        <v>445</v>
      </c>
      <c r="C254" t="s">
        <v>14</v>
      </c>
      <c r="D254" t="s">
        <v>47</v>
      </c>
      <c r="E254" t="s">
        <v>29</v>
      </c>
      <c r="F254">
        <v>17.37</v>
      </c>
      <c r="G254">
        <v>16.66</v>
      </c>
      <c r="H254">
        <v>16.72</v>
      </c>
      <c r="I254" s="4" t="str">
        <f t="shared" si="12"/>
        <v>Admis</v>
      </c>
      <c r="J254" s="4" t="str">
        <f t="shared" si="13"/>
        <v>Eligible</v>
      </c>
      <c r="K254">
        <v>16.36</v>
      </c>
      <c r="L254" s="6" t="str">
        <f t="shared" si="14"/>
        <v>RAS</v>
      </c>
      <c r="M254" s="6" t="str">
        <f t="shared" si="15"/>
        <v>Hors Data</v>
      </c>
      <c r="N254" s="8" t="str" cm="1">
        <f t="array" ref="N254">_xlfn.IFS(H254&gt;=16,"Excellent",H254&gt;=14,"Très bien",H254&gt;=12,"Bien",H254&gt;=10,"Passable",TRUE,"Insuffisant")</f>
        <v>Excellent</v>
      </c>
      <c r="O254">
        <v>0.94679999999999997</v>
      </c>
      <c r="P254">
        <v>85000</v>
      </c>
      <c r="Q254" s="2">
        <v>45583</v>
      </c>
    </row>
    <row r="255" spans="1:17" x14ac:dyDescent="0.45">
      <c r="A255" t="s">
        <v>446</v>
      </c>
      <c r="B255" t="s">
        <v>447</v>
      </c>
      <c r="C255" t="s">
        <v>14</v>
      </c>
      <c r="D255" t="s">
        <v>20</v>
      </c>
      <c r="E255" t="s">
        <v>21</v>
      </c>
      <c r="F255">
        <v>11.73</v>
      </c>
      <c r="G255">
        <v>11.67</v>
      </c>
      <c r="H255">
        <v>10.93</v>
      </c>
      <c r="I255" s="4" t="str">
        <f t="shared" si="12"/>
        <v>Admis</v>
      </c>
      <c r="J255" s="4" t="str">
        <f t="shared" si="13"/>
        <v>Non eligible</v>
      </c>
      <c r="K255">
        <v>12.2</v>
      </c>
      <c r="L255" s="6" t="str">
        <f t="shared" si="14"/>
        <v>RAS</v>
      </c>
      <c r="M255" s="6" t="str">
        <f t="shared" si="15"/>
        <v>Hors Data</v>
      </c>
      <c r="N255" s="8" t="str" cm="1">
        <f t="array" ref="N255">_xlfn.IFS(H255&gt;=16,"Excellent",H255&gt;=14,"Très bien",H255&gt;=12,"Bien",H255&gt;=10,"Passable",TRUE,"Insuffisant")</f>
        <v>Passable</v>
      </c>
      <c r="O255">
        <v>0.68320000000000003</v>
      </c>
      <c r="P255">
        <v>70000</v>
      </c>
      <c r="Q255" s="2">
        <v>46071</v>
      </c>
    </row>
    <row r="256" spans="1:17" x14ac:dyDescent="0.45">
      <c r="A256" t="s">
        <v>448</v>
      </c>
      <c r="B256" t="s">
        <v>449</v>
      </c>
      <c r="C256" t="s">
        <v>19</v>
      </c>
      <c r="D256" t="s">
        <v>47</v>
      </c>
      <c r="E256" t="s">
        <v>42</v>
      </c>
      <c r="F256">
        <v>14.76</v>
      </c>
      <c r="G256">
        <v>20</v>
      </c>
      <c r="H256">
        <v>20</v>
      </c>
      <c r="I256" s="4" t="str">
        <f t="shared" si="12"/>
        <v>Admis</v>
      </c>
      <c r="J256" s="4" t="str">
        <f t="shared" si="13"/>
        <v>Eligible</v>
      </c>
      <c r="K256">
        <v>20</v>
      </c>
      <c r="L256" s="6" t="str">
        <f t="shared" si="14"/>
        <v>RAS</v>
      </c>
      <c r="M256" s="6" t="str">
        <f t="shared" si="15"/>
        <v>Hors Data</v>
      </c>
      <c r="N256" s="8" t="str" cm="1">
        <f t="array" ref="N256">_xlfn.IFS(H256&gt;=16,"Excellent",H256&gt;=14,"Très bien",H256&gt;=12,"Bien",H256&gt;=10,"Passable",TRUE,"Insuffisant")</f>
        <v>Excellent</v>
      </c>
      <c r="O256">
        <v>0.96360000000000001</v>
      </c>
      <c r="P256">
        <v>110000</v>
      </c>
      <c r="Q256" s="2">
        <v>46049</v>
      </c>
    </row>
    <row r="257" spans="1:17" x14ac:dyDescent="0.45">
      <c r="A257" t="s">
        <v>450</v>
      </c>
      <c r="B257" t="s">
        <v>445</v>
      </c>
      <c r="C257" t="s">
        <v>14</v>
      </c>
      <c r="D257" t="s">
        <v>15</v>
      </c>
      <c r="E257" t="s">
        <v>42</v>
      </c>
      <c r="F257">
        <v>13.53</v>
      </c>
      <c r="G257">
        <v>14.64</v>
      </c>
      <c r="H257">
        <v>15.39</v>
      </c>
      <c r="I257" s="4" t="str">
        <f t="shared" si="12"/>
        <v>Admis</v>
      </c>
      <c r="J257" s="4" t="str">
        <f t="shared" si="13"/>
        <v>Non eligible</v>
      </c>
      <c r="K257">
        <v>17.600000000000001</v>
      </c>
      <c r="L257" s="6" t="str">
        <f t="shared" si="14"/>
        <v>RAS</v>
      </c>
      <c r="M257" s="6" t="str">
        <f t="shared" si="15"/>
        <v>Hors Data</v>
      </c>
      <c r="N257" s="8" t="str" cm="1">
        <f t="array" ref="N257">_xlfn.IFS(H257&gt;=16,"Excellent",H257&gt;=14,"Très bien",H257&gt;=12,"Bien",H257&gt;=10,"Passable",TRUE,"Insuffisant")</f>
        <v>Très bien</v>
      </c>
      <c r="O257">
        <v>0.63129999999999997</v>
      </c>
      <c r="P257">
        <v>90000</v>
      </c>
      <c r="Q257" s="2">
        <v>46126</v>
      </c>
    </row>
    <row r="258" spans="1:17" x14ac:dyDescent="0.45">
      <c r="A258" t="s">
        <v>451</v>
      </c>
      <c r="B258" t="s">
        <v>452</v>
      </c>
      <c r="C258" t="s">
        <v>19</v>
      </c>
      <c r="D258" t="s">
        <v>47</v>
      </c>
      <c r="E258" t="s">
        <v>42</v>
      </c>
      <c r="F258">
        <v>16.59</v>
      </c>
      <c r="G258">
        <v>20</v>
      </c>
      <c r="H258">
        <v>14.2</v>
      </c>
      <c r="I258" s="4" t="str">
        <f t="shared" si="12"/>
        <v>Admis</v>
      </c>
      <c r="J258" s="4" t="str">
        <f t="shared" si="13"/>
        <v>Eligible</v>
      </c>
      <c r="K258">
        <v>16.57</v>
      </c>
      <c r="L258" s="6" t="str">
        <f t="shared" si="14"/>
        <v>RAS</v>
      </c>
      <c r="M258" s="6" t="str">
        <f t="shared" si="15"/>
        <v>Hors Data</v>
      </c>
      <c r="N258" s="8" t="str" cm="1">
        <f t="array" ref="N258">_xlfn.IFS(H258&gt;=16,"Excellent",H258&gt;=14,"Très bien",H258&gt;=12,"Bien",H258&gt;=10,"Passable",TRUE,"Insuffisant")</f>
        <v>Très bien</v>
      </c>
      <c r="O258">
        <v>0.92749999999999999</v>
      </c>
      <c r="P258">
        <v>100000</v>
      </c>
      <c r="Q258" s="2">
        <v>45871</v>
      </c>
    </row>
    <row r="259" spans="1:17" x14ac:dyDescent="0.45">
      <c r="A259" t="s">
        <v>453</v>
      </c>
      <c r="B259" t="s">
        <v>454</v>
      </c>
      <c r="C259" t="s">
        <v>14</v>
      </c>
      <c r="D259" t="s">
        <v>32</v>
      </c>
      <c r="E259" t="s">
        <v>29</v>
      </c>
      <c r="F259">
        <v>11.72</v>
      </c>
      <c r="G259">
        <v>14.44</v>
      </c>
      <c r="H259">
        <v>11.25</v>
      </c>
      <c r="I259" s="4" t="str">
        <f t="shared" ref="I259:I322" si="16">IF(H259&gt;=10,"Admis","Non admis")</f>
        <v>Admis</v>
      </c>
      <c r="J259" s="4" t="str">
        <f t="shared" ref="J259:J322" si="17">IF(AND(F259&gt;=12,H259&gt;=12,O259&gt;=0.8),"Eligible","Non eligible")</f>
        <v>Non eligible</v>
      </c>
      <c r="K259">
        <v>10.64</v>
      </c>
      <c r="L259" s="6" t="str">
        <f t="shared" ref="L259:L322" si="18">IF(OR(F259&lt;10,H259&lt;10),"A surveiller","RAS")</f>
        <v>RAS</v>
      </c>
      <c r="M259" s="6" t="str">
        <f t="shared" ref="M259:M322" si="19">IF(NOT(E259="Data"),"Hors Data","Data")</f>
        <v>Hors Data</v>
      </c>
      <c r="N259" s="8" t="str" cm="1">
        <f t="array" ref="N259">_xlfn.IFS(H259&gt;=16,"Excellent",H259&gt;=14,"Très bien",H259&gt;=12,"Bien",H259&gt;=10,"Passable",TRUE,"Insuffisant")</f>
        <v>Passable</v>
      </c>
      <c r="O259">
        <v>0.79310000000000003</v>
      </c>
      <c r="P259">
        <v>70000</v>
      </c>
      <c r="Q259" s="2">
        <v>46162</v>
      </c>
    </row>
    <row r="260" spans="1:17" x14ac:dyDescent="0.45">
      <c r="A260" t="s">
        <v>455</v>
      </c>
      <c r="B260" t="s">
        <v>279</v>
      </c>
      <c r="C260" t="s">
        <v>14</v>
      </c>
      <c r="D260" t="s">
        <v>28</v>
      </c>
      <c r="E260" t="s">
        <v>42</v>
      </c>
      <c r="F260">
        <v>10.35</v>
      </c>
      <c r="G260">
        <v>11.54</v>
      </c>
      <c r="H260">
        <v>9.43</v>
      </c>
      <c r="I260" s="4" t="str">
        <f t="shared" si="16"/>
        <v>Non admis</v>
      </c>
      <c r="J260" s="4" t="str">
        <f t="shared" si="17"/>
        <v>Non eligible</v>
      </c>
      <c r="K260">
        <v>16.23</v>
      </c>
      <c r="L260" s="6" t="str">
        <f t="shared" si="18"/>
        <v>A surveiller</v>
      </c>
      <c r="M260" s="6" t="str">
        <f t="shared" si="19"/>
        <v>Hors Data</v>
      </c>
      <c r="N260" s="8" t="str" cm="1">
        <f t="array" ref="N260">_xlfn.IFS(H260&gt;=16,"Excellent",H260&gt;=14,"Très bien",H260&gt;=12,"Bien",H260&gt;=10,"Passable",TRUE,"Insuffisant")</f>
        <v>Insuffisant</v>
      </c>
      <c r="O260">
        <v>0.97809999999999997</v>
      </c>
      <c r="P260">
        <v>75000</v>
      </c>
      <c r="Q260" s="2">
        <v>45654</v>
      </c>
    </row>
    <row r="261" spans="1:17" x14ac:dyDescent="0.45">
      <c r="A261" t="s">
        <v>456</v>
      </c>
      <c r="B261" t="s">
        <v>304</v>
      </c>
      <c r="C261" t="s">
        <v>19</v>
      </c>
      <c r="D261" t="s">
        <v>32</v>
      </c>
      <c r="E261" t="s">
        <v>16</v>
      </c>
      <c r="F261">
        <v>13.81</v>
      </c>
      <c r="G261">
        <v>14.48</v>
      </c>
      <c r="H261">
        <v>13.35</v>
      </c>
      <c r="I261" s="4" t="str">
        <f t="shared" si="16"/>
        <v>Admis</v>
      </c>
      <c r="J261" s="4" t="str">
        <f t="shared" si="17"/>
        <v>Eligible</v>
      </c>
      <c r="K261">
        <v>15.6</v>
      </c>
      <c r="L261" s="6" t="str">
        <f t="shared" si="18"/>
        <v>RAS</v>
      </c>
      <c r="M261" s="6" t="str">
        <f t="shared" si="19"/>
        <v>Data</v>
      </c>
      <c r="N261" s="8" t="str" cm="1">
        <f t="array" ref="N261">_xlfn.IFS(H261&gt;=16,"Excellent",H261&gt;=14,"Très bien",H261&gt;=12,"Bien",H261&gt;=10,"Passable",TRUE,"Insuffisant")</f>
        <v>Bien</v>
      </c>
      <c r="O261">
        <v>0.82909999999999995</v>
      </c>
      <c r="P261">
        <v>100000</v>
      </c>
      <c r="Q261" s="2">
        <v>45840</v>
      </c>
    </row>
    <row r="262" spans="1:17" x14ac:dyDescent="0.45">
      <c r="A262" t="s">
        <v>457</v>
      </c>
      <c r="B262" t="s">
        <v>458</v>
      </c>
      <c r="C262" t="s">
        <v>19</v>
      </c>
      <c r="D262" t="s">
        <v>15</v>
      </c>
      <c r="E262" t="s">
        <v>16</v>
      </c>
      <c r="F262">
        <v>14.54</v>
      </c>
      <c r="G262">
        <v>10.81</v>
      </c>
      <c r="H262">
        <v>12.17</v>
      </c>
      <c r="I262" s="4" t="str">
        <f t="shared" si="16"/>
        <v>Admis</v>
      </c>
      <c r="J262" s="4" t="str">
        <f t="shared" si="17"/>
        <v>Eligible</v>
      </c>
      <c r="K262">
        <v>11.37</v>
      </c>
      <c r="L262" s="6" t="str">
        <f t="shared" si="18"/>
        <v>RAS</v>
      </c>
      <c r="M262" s="6" t="str">
        <f t="shared" si="19"/>
        <v>Data</v>
      </c>
      <c r="N262" s="8" t="str" cm="1">
        <f t="array" ref="N262">_xlfn.IFS(H262&gt;=16,"Excellent",H262&gt;=14,"Très bien",H262&gt;=12,"Bien",H262&gt;=10,"Passable",TRUE,"Insuffisant")</f>
        <v>Bien</v>
      </c>
      <c r="O262">
        <v>0.83850000000000002</v>
      </c>
      <c r="P262">
        <v>75000</v>
      </c>
      <c r="Q262" s="2">
        <v>45621</v>
      </c>
    </row>
    <row r="263" spans="1:17" x14ac:dyDescent="0.45">
      <c r="A263" t="s">
        <v>459</v>
      </c>
      <c r="B263" t="s">
        <v>404</v>
      </c>
      <c r="C263" t="s">
        <v>14</v>
      </c>
      <c r="D263" t="s">
        <v>35</v>
      </c>
      <c r="E263" t="s">
        <v>21</v>
      </c>
      <c r="F263">
        <v>15.24</v>
      </c>
      <c r="G263">
        <v>15.29</v>
      </c>
      <c r="H263">
        <v>17.13</v>
      </c>
      <c r="I263" s="4" t="str">
        <f t="shared" si="16"/>
        <v>Admis</v>
      </c>
      <c r="J263" s="4" t="str">
        <f t="shared" si="17"/>
        <v>Eligible</v>
      </c>
      <c r="K263">
        <v>15.71</v>
      </c>
      <c r="L263" s="6" t="str">
        <f t="shared" si="18"/>
        <v>RAS</v>
      </c>
      <c r="M263" s="6" t="str">
        <f t="shared" si="19"/>
        <v>Hors Data</v>
      </c>
      <c r="N263" s="8" t="str" cm="1">
        <f t="array" ref="N263">_xlfn.IFS(H263&gt;=16,"Excellent",H263&gt;=14,"Très bien",H263&gt;=12,"Bien",H263&gt;=10,"Passable",TRUE,"Insuffisant")</f>
        <v>Excellent</v>
      </c>
      <c r="O263">
        <v>0.92810000000000004</v>
      </c>
      <c r="P263">
        <v>100000</v>
      </c>
      <c r="Q263" s="2">
        <v>46072</v>
      </c>
    </row>
    <row r="264" spans="1:17" x14ac:dyDescent="0.45">
      <c r="A264" t="s">
        <v>460</v>
      </c>
      <c r="B264" t="s">
        <v>461</v>
      </c>
      <c r="C264" t="s">
        <v>14</v>
      </c>
      <c r="D264" t="s">
        <v>47</v>
      </c>
      <c r="E264" t="s">
        <v>42</v>
      </c>
      <c r="F264">
        <v>11.97</v>
      </c>
      <c r="G264">
        <v>15.35</v>
      </c>
      <c r="H264">
        <v>11.01</v>
      </c>
      <c r="I264" s="4" t="str">
        <f t="shared" si="16"/>
        <v>Admis</v>
      </c>
      <c r="J264" s="4" t="str">
        <f t="shared" si="17"/>
        <v>Non eligible</v>
      </c>
      <c r="K264">
        <v>14.01</v>
      </c>
      <c r="L264" s="6" t="str">
        <f t="shared" si="18"/>
        <v>RAS</v>
      </c>
      <c r="M264" s="6" t="str">
        <f t="shared" si="19"/>
        <v>Hors Data</v>
      </c>
      <c r="N264" s="8" t="str" cm="1">
        <f t="array" ref="N264">_xlfn.IFS(H264&gt;=16,"Excellent",H264&gt;=14,"Très bien",H264&gt;=12,"Bien",H264&gt;=10,"Passable",TRUE,"Insuffisant")</f>
        <v>Passable</v>
      </c>
      <c r="O264">
        <v>0.82140000000000002</v>
      </c>
      <c r="P264">
        <v>60000</v>
      </c>
      <c r="Q264" s="2">
        <v>46035</v>
      </c>
    </row>
    <row r="265" spans="1:17" x14ac:dyDescent="0.45">
      <c r="A265" t="s">
        <v>462</v>
      </c>
      <c r="B265" t="s">
        <v>463</v>
      </c>
      <c r="C265" t="s">
        <v>19</v>
      </c>
      <c r="D265" t="s">
        <v>47</v>
      </c>
      <c r="E265" t="s">
        <v>16</v>
      </c>
      <c r="F265">
        <v>17.14</v>
      </c>
      <c r="G265">
        <v>18.95</v>
      </c>
      <c r="H265">
        <v>11.32</v>
      </c>
      <c r="I265" s="4" t="str">
        <f t="shared" si="16"/>
        <v>Admis</v>
      </c>
      <c r="J265" s="4" t="str">
        <f t="shared" si="17"/>
        <v>Non eligible</v>
      </c>
      <c r="K265">
        <v>12.42</v>
      </c>
      <c r="L265" s="6" t="str">
        <f t="shared" si="18"/>
        <v>RAS</v>
      </c>
      <c r="M265" s="6" t="str">
        <f t="shared" si="19"/>
        <v>Data</v>
      </c>
      <c r="N265" s="8" t="str" cm="1">
        <f t="array" ref="N265">_xlfn.IFS(H265&gt;=16,"Excellent",H265&gt;=14,"Très bien",H265&gt;=12,"Bien",H265&gt;=10,"Passable",TRUE,"Insuffisant")</f>
        <v>Passable</v>
      </c>
      <c r="O265">
        <v>0.93889999999999996</v>
      </c>
      <c r="P265">
        <v>75000</v>
      </c>
      <c r="Q265" s="2">
        <v>46100</v>
      </c>
    </row>
    <row r="266" spans="1:17" x14ac:dyDescent="0.45">
      <c r="A266" t="s">
        <v>464</v>
      </c>
      <c r="B266" t="s">
        <v>465</v>
      </c>
      <c r="C266" t="s">
        <v>19</v>
      </c>
      <c r="D266" t="s">
        <v>32</v>
      </c>
      <c r="E266" t="s">
        <v>29</v>
      </c>
      <c r="F266">
        <v>10.29</v>
      </c>
      <c r="G266">
        <v>8.39</v>
      </c>
      <c r="H266">
        <v>12.78</v>
      </c>
      <c r="I266" s="4" t="str">
        <f t="shared" si="16"/>
        <v>Admis</v>
      </c>
      <c r="J266" s="4" t="str">
        <f t="shared" si="17"/>
        <v>Non eligible</v>
      </c>
      <c r="K266">
        <v>10.71</v>
      </c>
      <c r="L266" s="6" t="str">
        <f t="shared" si="18"/>
        <v>RAS</v>
      </c>
      <c r="M266" s="6" t="str">
        <f t="shared" si="19"/>
        <v>Hors Data</v>
      </c>
      <c r="N266" s="8" t="str" cm="1">
        <f t="array" ref="N266">_xlfn.IFS(H266&gt;=16,"Excellent",H266&gt;=14,"Très bien",H266&gt;=12,"Bien",H266&gt;=10,"Passable",TRUE,"Insuffisant")</f>
        <v>Bien</v>
      </c>
      <c r="O266">
        <v>0.98360000000000003</v>
      </c>
      <c r="P266">
        <v>60000</v>
      </c>
      <c r="Q266" s="2">
        <v>46071</v>
      </c>
    </row>
    <row r="267" spans="1:17" x14ac:dyDescent="0.45">
      <c r="A267" t="s">
        <v>466</v>
      </c>
      <c r="B267" t="s">
        <v>92</v>
      </c>
      <c r="C267" t="s">
        <v>19</v>
      </c>
      <c r="D267" t="s">
        <v>20</v>
      </c>
      <c r="E267" t="s">
        <v>16</v>
      </c>
      <c r="F267">
        <v>11.03</v>
      </c>
      <c r="G267">
        <v>11.09</v>
      </c>
      <c r="H267">
        <v>7.19</v>
      </c>
      <c r="I267" s="4" t="str">
        <f t="shared" si="16"/>
        <v>Non admis</v>
      </c>
      <c r="J267" s="4" t="str">
        <f t="shared" si="17"/>
        <v>Non eligible</v>
      </c>
      <c r="K267">
        <v>11.41</v>
      </c>
      <c r="L267" s="6" t="str">
        <f t="shared" si="18"/>
        <v>A surveiller</v>
      </c>
      <c r="M267" s="6" t="str">
        <f t="shared" si="19"/>
        <v>Data</v>
      </c>
      <c r="N267" s="8" t="str" cm="1">
        <f t="array" ref="N267">_xlfn.IFS(H267&gt;=16,"Excellent",H267&gt;=14,"Très bien",H267&gt;=12,"Bien",H267&gt;=10,"Passable",TRUE,"Insuffisant")</f>
        <v>Insuffisant</v>
      </c>
      <c r="O267">
        <v>0.98909999999999998</v>
      </c>
      <c r="P267">
        <v>50000</v>
      </c>
      <c r="Q267" s="2">
        <v>45751</v>
      </c>
    </row>
    <row r="268" spans="1:17" x14ac:dyDescent="0.45">
      <c r="A268" t="s">
        <v>467</v>
      </c>
      <c r="B268" t="s">
        <v>468</v>
      </c>
      <c r="C268" t="s">
        <v>14</v>
      </c>
      <c r="D268" t="s">
        <v>15</v>
      </c>
      <c r="E268" t="s">
        <v>42</v>
      </c>
      <c r="F268">
        <v>14.62</v>
      </c>
      <c r="G268">
        <v>15.5</v>
      </c>
      <c r="H268">
        <v>14.45</v>
      </c>
      <c r="I268" s="4" t="str">
        <f t="shared" si="16"/>
        <v>Admis</v>
      </c>
      <c r="J268" s="4" t="str">
        <f t="shared" si="17"/>
        <v>Eligible</v>
      </c>
      <c r="K268">
        <v>12.28</v>
      </c>
      <c r="L268" s="6" t="str">
        <f t="shared" si="18"/>
        <v>RAS</v>
      </c>
      <c r="M268" s="6" t="str">
        <f t="shared" si="19"/>
        <v>Hors Data</v>
      </c>
      <c r="N268" s="8" t="str" cm="1">
        <f t="array" ref="N268">_xlfn.IFS(H268&gt;=16,"Excellent",H268&gt;=14,"Très bien",H268&gt;=12,"Bien",H268&gt;=10,"Passable",TRUE,"Insuffisant")</f>
        <v>Très bien</v>
      </c>
      <c r="O268">
        <v>0.9153</v>
      </c>
      <c r="P268">
        <v>70000</v>
      </c>
      <c r="Q268" s="2">
        <v>45583</v>
      </c>
    </row>
    <row r="269" spans="1:17" x14ac:dyDescent="0.45">
      <c r="A269" t="s">
        <v>469</v>
      </c>
      <c r="B269" t="s">
        <v>82</v>
      </c>
      <c r="C269" t="s">
        <v>14</v>
      </c>
      <c r="D269" t="s">
        <v>28</v>
      </c>
      <c r="E269" t="s">
        <v>21</v>
      </c>
      <c r="F269">
        <v>13.61</v>
      </c>
      <c r="G269">
        <v>14.81</v>
      </c>
      <c r="H269">
        <v>14.76</v>
      </c>
      <c r="I269" s="4" t="str">
        <f t="shared" si="16"/>
        <v>Admis</v>
      </c>
      <c r="J269" s="4" t="str">
        <f t="shared" si="17"/>
        <v>Non eligible</v>
      </c>
      <c r="K269">
        <v>15.88</v>
      </c>
      <c r="L269" s="6" t="str">
        <f t="shared" si="18"/>
        <v>RAS</v>
      </c>
      <c r="M269" s="6" t="str">
        <f t="shared" si="19"/>
        <v>Hors Data</v>
      </c>
      <c r="N269" s="8" t="str" cm="1">
        <f t="array" ref="N269">_xlfn.IFS(H269&gt;=16,"Excellent",H269&gt;=14,"Très bien",H269&gt;=12,"Bien",H269&gt;=10,"Passable",TRUE,"Insuffisant")</f>
        <v>Très bien</v>
      </c>
      <c r="O269">
        <v>0.67179999999999995</v>
      </c>
      <c r="P269">
        <v>85000</v>
      </c>
      <c r="Q269" s="2">
        <v>46186</v>
      </c>
    </row>
    <row r="270" spans="1:17" x14ac:dyDescent="0.45">
      <c r="A270" t="s">
        <v>470</v>
      </c>
      <c r="B270" t="s">
        <v>471</v>
      </c>
      <c r="C270" t="s">
        <v>19</v>
      </c>
      <c r="D270" t="s">
        <v>47</v>
      </c>
      <c r="E270" t="s">
        <v>29</v>
      </c>
      <c r="F270">
        <v>9.68</v>
      </c>
      <c r="G270">
        <v>11.92</v>
      </c>
      <c r="H270">
        <v>15.25</v>
      </c>
      <c r="I270" s="4" t="str">
        <f t="shared" si="16"/>
        <v>Admis</v>
      </c>
      <c r="J270" s="4" t="str">
        <f t="shared" si="17"/>
        <v>Non eligible</v>
      </c>
      <c r="K270">
        <v>9.19</v>
      </c>
      <c r="L270" s="6" t="str">
        <f t="shared" si="18"/>
        <v>A surveiller</v>
      </c>
      <c r="M270" s="6" t="str">
        <f t="shared" si="19"/>
        <v>Hors Data</v>
      </c>
      <c r="N270" s="8" t="str" cm="1">
        <f t="array" ref="N270">_xlfn.IFS(H270&gt;=16,"Excellent",H270&gt;=14,"Très bien",H270&gt;=12,"Bien",H270&gt;=10,"Passable",TRUE,"Insuffisant")</f>
        <v>Très bien</v>
      </c>
      <c r="O270">
        <v>0.81479999999999997</v>
      </c>
      <c r="P270">
        <v>60000</v>
      </c>
      <c r="Q270" s="2">
        <v>45880</v>
      </c>
    </row>
    <row r="271" spans="1:17" x14ac:dyDescent="0.45">
      <c r="A271" t="s">
        <v>472</v>
      </c>
      <c r="B271" t="s">
        <v>473</v>
      </c>
      <c r="C271" t="s">
        <v>19</v>
      </c>
      <c r="D271" t="s">
        <v>20</v>
      </c>
      <c r="E271" t="s">
        <v>29</v>
      </c>
      <c r="F271">
        <v>18.239999999999998</v>
      </c>
      <c r="G271">
        <v>11.68</v>
      </c>
      <c r="H271">
        <v>13.27</v>
      </c>
      <c r="I271" s="4" t="str">
        <f t="shared" si="16"/>
        <v>Admis</v>
      </c>
      <c r="J271" s="4" t="str">
        <f t="shared" si="17"/>
        <v>Non eligible</v>
      </c>
      <c r="K271">
        <v>12.21</v>
      </c>
      <c r="L271" s="6" t="str">
        <f t="shared" si="18"/>
        <v>RAS</v>
      </c>
      <c r="M271" s="6" t="str">
        <f t="shared" si="19"/>
        <v>Hors Data</v>
      </c>
      <c r="N271" s="8" t="str" cm="1">
        <f t="array" ref="N271">_xlfn.IFS(H271&gt;=16,"Excellent",H271&gt;=14,"Très bien",H271&gt;=12,"Bien",H271&gt;=10,"Passable",TRUE,"Insuffisant")</f>
        <v>Bien</v>
      </c>
      <c r="O271">
        <v>0.55000000000000004</v>
      </c>
      <c r="P271">
        <v>60000</v>
      </c>
      <c r="Q271" s="2">
        <v>45602</v>
      </c>
    </row>
    <row r="272" spans="1:17" x14ac:dyDescent="0.45">
      <c r="A272" t="s">
        <v>474</v>
      </c>
      <c r="B272" t="s">
        <v>82</v>
      </c>
      <c r="C272" t="s">
        <v>14</v>
      </c>
      <c r="D272" t="s">
        <v>47</v>
      </c>
      <c r="E272" t="s">
        <v>16</v>
      </c>
      <c r="F272">
        <v>17.3</v>
      </c>
      <c r="G272">
        <v>15.73</v>
      </c>
      <c r="H272">
        <v>14.92</v>
      </c>
      <c r="I272" s="4" t="str">
        <f t="shared" si="16"/>
        <v>Admis</v>
      </c>
      <c r="J272" s="4" t="str">
        <f t="shared" si="17"/>
        <v>Eligible</v>
      </c>
      <c r="K272">
        <v>13.83</v>
      </c>
      <c r="L272" s="6" t="str">
        <f t="shared" si="18"/>
        <v>RAS</v>
      </c>
      <c r="M272" s="6" t="str">
        <f t="shared" si="19"/>
        <v>Data</v>
      </c>
      <c r="N272" s="8" t="str" cm="1">
        <f t="array" ref="N272">_xlfn.IFS(H272&gt;=16,"Excellent",H272&gt;=14,"Très bien",H272&gt;=12,"Bien",H272&gt;=10,"Passable",TRUE,"Insuffisant")</f>
        <v>Très bien</v>
      </c>
      <c r="O272">
        <v>0.83330000000000004</v>
      </c>
      <c r="P272">
        <v>120000</v>
      </c>
      <c r="Q272" s="2">
        <v>46184</v>
      </c>
    </row>
    <row r="273" spans="1:17" x14ac:dyDescent="0.45">
      <c r="A273" t="s">
        <v>475</v>
      </c>
      <c r="B273" t="s">
        <v>476</v>
      </c>
      <c r="C273" t="s">
        <v>14</v>
      </c>
      <c r="D273" t="s">
        <v>20</v>
      </c>
      <c r="E273" t="s">
        <v>29</v>
      </c>
      <c r="F273">
        <v>17.04</v>
      </c>
      <c r="G273">
        <v>16.760000000000002</v>
      </c>
      <c r="H273">
        <v>17.309999999999999</v>
      </c>
      <c r="I273" s="4" t="str">
        <f t="shared" si="16"/>
        <v>Admis</v>
      </c>
      <c r="J273" s="4" t="str">
        <f t="shared" si="17"/>
        <v>Eligible</v>
      </c>
      <c r="K273">
        <v>12.77</v>
      </c>
      <c r="L273" s="6" t="str">
        <f t="shared" si="18"/>
        <v>RAS</v>
      </c>
      <c r="M273" s="6" t="str">
        <f t="shared" si="19"/>
        <v>Hors Data</v>
      </c>
      <c r="N273" s="8" t="str" cm="1">
        <f t="array" ref="N273">_xlfn.IFS(H273&gt;=16,"Excellent",H273&gt;=14,"Très bien",H273&gt;=12,"Bien",H273&gt;=10,"Passable",TRUE,"Insuffisant")</f>
        <v>Excellent</v>
      </c>
      <c r="O273">
        <v>0.84279999999999999</v>
      </c>
      <c r="P273">
        <v>85000</v>
      </c>
      <c r="Q273" s="2">
        <v>46231</v>
      </c>
    </row>
    <row r="274" spans="1:17" x14ac:dyDescent="0.45">
      <c r="A274" t="s">
        <v>477</v>
      </c>
      <c r="B274" t="s">
        <v>129</v>
      </c>
      <c r="C274" t="s">
        <v>14</v>
      </c>
      <c r="D274" t="s">
        <v>47</v>
      </c>
      <c r="E274" t="s">
        <v>29</v>
      </c>
      <c r="F274">
        <v>19.11</v>
      </c>
      <c r="G274">
        <v>18.97</v>
      </c>
      <c r="H274">
        <v>15.13</v>
      </c>
      <c r="I274" s="4" t="str">
        <f t="shared" si="16"/>
        <v>Admis</v>
      </c>
      <c r="J274" s="4" t="str">
        <f t="shared" si="17"/>
        <v>Non eligible</v>
      </c>
      <c r="K274">
        <v>19.98</v>
      </c>
      <c r="L274" s="6" t="str">
        <f t="shared" si="18"/>
        <v>RAS</v>
      </c>
      <c r="M274" s="6" t="str">
        <f t="shared" si="19"/>
        <v>Hors Data</v>
      </c>
      <c r="N274" s="8" t="str" cm="1">
        <f t="array" ref="N274">_xlfn.IFS(H274&gt;=16,"Excellent",H274&gt;=14,"Très bien",H274&gt;=12,"Bien",H274&gt;=10,"Passable",TRUE,"Insuffisant")</f>
        <v>Très bien</v>
      </c>
      <c r="O274">
        <v>0.55000000000000004</v>
      </c>
      <c r="P274">
        <v>100000</v>
      </c>
      <c r="Q274" s="2">
        <v>45847</v>
      </c>
    </row>
    <row r="275" spans="1:17" x14ac:dyDescent="0.45">
      <c r="A275" t="s">
        <v>478</v>
      </c>
      <c r="B275" t="s">
        <v>479</v>
      </c>
      <c r="C275" t="s">
        <v>19</v>
      </c>
      <c r="D275" t="s">
        <v>35</v>
      </c>
      <c r="E275" t="s">
        <v>16</v>
      </c>
      <c r="F275">
        <v>14.87</v>
      </c>
      <c r="G275">
        <v>18.73</v>
      </c>
      <c r="H275">
        <v>16.79</v>
      </c>
      <c r="I275" s="4" t="str">
        <f t="shared" si="16"/>
        <v>Admis</v>
      </c>
      <c r="J275" s="4" t="str">
        <f t="shared" si="17"/>
        <v>Non eligible</v>
      </c>
      <c r="K275">
        <v>14.84</v>
      </c>
      <c r="L275" s="6" t="str">
        <f t="shared" si="18"/>
        <v>RAS</v>
      </c>
      <c r="M275" s="6" t="str">
        <f t="shared" si="19"/>
        <v>Data</v>
      </c>
      <c r="N275" s="8" t="str" cm="1">
        <f t="array" ref="N275">_xlfn.IFS(H275&gt;=16,"Excellent",H275&gt;=14,"Très bien",H275&gt;=12,"Bien",H275&gt;=10,"Passable",TRUE,"Insuffisant")</f>
        <v>Excellent</v>
      </c>
      <c r="O275">
        <v>0.62019999999999997</v>
      </c>
      <c r="P275">
        <v>100000</v>
      </c>
      <c r="Q275" s="2">
        <v>46075</v>
      </c>
    </row>
    <row r="276" spans="1:17" x14ac:dyDescent="0.45">
      <c r="A276" t="s">
        <v>480</v>
      </c>
      <c r="B276" t="s">
        <v>149</v>
      </c>
      <c r="C276" t="s">
        <v>14</v>
      </c>
      <c r="D276" t="s">
        <v>32</v>
      </c>
      <c r="E276" t="s">
        <v>29</v>
      </c>
      <c r="F276">
        <v>13.51</v>
      </c>
      <c r="G276">
        <v>14.2</v>
      </c>
      <c r="H276">
        <v>9.89</v>
      </c>
      <c r="I276" s="4" t="str">
        <f t="shared" si="16"/>
        <v>Non admis</v>
      </c>
      <c r="J276" s="4" t="str">
        <f t="shared" si="17"/>
        <v>Non eligible</v>
      </c>
      <c r="K276">
        <v>9.06</v>
      </c>
      <c r="L276" s="6" t="str">
        <f t="shared" si="18"/>
        <v>A surveiller</v>
      </c>
      <c r="M276" s="6" t="str">
        <f t="shared" si="19"/>
        <v>Hors Data</v>
      </c>
      <c r="N276" s="8" t="str" cm="1">
        <f t="array" ref="N276">_xlfn.IFS(H276&gt;=16,"Excellent",H276&gt;=14,"Très bien",H276&gt;=12,"Bien",H276&gt;=10,"Passable",TRUE,"Insuffisant")</f>
        <v>Insuffisant</v>
      </c>
      <c r="O276">
        <v>0.88829999999999998</v>
      </c>
      <c r="P276">
        <v>60000</v>
      </c>
      <c r="Q276" s="2">
        <v>45561</v>
      </c>
    </row>
    <row r="277" spans="1:17" x14ac:dyDescent="0.45">
      <c r="A277" t="s">
        <v>481</v>
      </c>
      <c r="B277" t="s">
        <v>447</v>
      </c>
      <c r="C277" t="s">
        <v>14</v>
      </c>
      <c r="D277" t="s">
        <v>32</v>
      </c>
      <c r="E277" t="s">
        <v>21</v>
      </c>
      <c r="F277">
        <v>16.36</v>
      </c>
      <c r="G277">
        <v>20</v>
      </c>
      <c r="H277">
        <v>18.11</v>
      </c>
      <c r="I277" s="4" t="str">
        <f t="shared" si="16"/>
        <v>Admis</v>
      </c>
      <c r="J277" s="4" t="str">
        <f t="shared" si="17"/>
        <v>Non eligible</v>
      </c>
      <c r="K277">
        <v>20</v>
      </c>
      <c r="L277" s="6" t="str">
        <f t="shared" si="18"/>
        <v>RAS</v>
      </c>
      <c r="M277" s="6" t="str">
        <f t="shared" si="19"/>
        <v>Hors Data</v>
      </c>
      <c r="N277" s="8" t="str" cm="1">
        <f t="array" ref="N277">_xlfn.IFS(H277&gt;=16,"Excellent",H277&gt;=14,"Très bien",H277&gt;=12,"Bien",H277&gt;=10,"Passable",TRUE,"Insuffisant")</f>
        <v>Excellent</v>
      </c>
      <c r="O277">
        <v>0.60209999999999997</v>
      </c>
      <c r="P277">
        <v>90000</v>
      </c>
      <c r="Q277" s="2">
        <v>45601</v>
      </c>
    </row>
    <row r="278" spans="1:17" x14ac:dyDescent="0.45">
      <c r="A278" t="s">
        <v>482</v>
      </c>
      <c r="B278" t="s">
        <v>376</v>
      </c>
      <c r="C278" t="s">
        <v>14</v>
      </c>
      <c r="D278" t="s">
        <v>15</v>
      </c>
      <c r="E278" t="s">
        <v>21</v>
      </c>
      <c r="F278">
        <v>12.64</v>
      </c>
      <c r="G278">
        <v>12.57</v>
      </c>
      <c r="H278">
        <v>14.08</v>
      </c>
      <c r="I278" s="4" t="str">
        <f t="shared" si="16"/>
        <v>Admis</v>
      </c>
      <c r="J278" s="4" t="str">
        <f t="shared" si="17"/>
        <v>Eligible</v>
      </c>
      <c r="K278">
        <v>10.66</v>
      </c>
      <c r="L278" s="6" t="str">
        <f t="shared" si="18"/>
        <v>RAS</v>
      </c>
      <c r="M278" s="6" t="str">
        <f t="shared" si="19"/>
        <v>Hors Data</v>
      </c>
      <c r="N278" s="8" t="str" cm="1">
        <f t="array" ref="N278">_xlfn.IFS(H278&gt;=16,"Excellent",H278&gt;=14,"Très bien",H278&gt;=12,"Bien",H278&gt;=10,"Passable",TRUE,"Insuffisant")</f>
        <v>Très bien</v>
      </c>
      <c r="O278">
        <v>0.83730000000000004</v>
      </c>
      <c r="P278">
        <v>120000</v>
      </c>
      <c r="Q278" s="2">
        <v>45729</v>
      </c>
    </row>
    <row r="279" spans="1:17" x14ac:dyDescent="0.45">
      <c r="A279" t="s">
        <v>483</v>
      </c>
      <c r="B279" t="s">
        <v>484</v>
      </c>
      <c r="C279" t="s">
        <v>19</v>
      </c>
      <c r="D279" t="s">
        <v>47</v>
      </c>
      <c r="E279" t="s">
        <v>29</v>
      </c>
      <c r="F279">
        <v>12.82</v>
      </c>
      <c r="G279">
        <v>14.25</v>
      </c>
      <c r="H279">
        <v>17.84</v>
      </c>
      <c r="I279" s="4" t="str">
        <f t="shared" si="16"/>
        <v>Admis</v>
      </c>
      <c r="J279" s="4" t="str">
        <f t="shared" si="17"/>
        <v>Eligible</v>
      </c>
      <c r="K279">
        <v>15.91</v>
      </c>
      <c r="L279" s="6" t="str">
        <f t="shared" si="18"/>
        <v>RAS</v>
      </c>
      <c r="M279" s="6" t="str">
        <f t="shared" si="19"/>
        <v>Hors Data</v>
      </c>
      <c r="N279" s="8" t="str" cm="1">
        <f t="array" ref="N279">_xlfn.IFS(H279&gt;=16,"Excellent",H279&gt;=14,"Très bien",H279&gt;=12,"Bien",H279&gt;=10,"Passable",TRUE,"Insuffisant")</f>
        <v>Excellent</v>
      </c>
      <c r="O279">
        <v>0.85229999999999995</v>
      </c>
      <c r="P279">
        <v>80000</v>
      </c>
      <c r="Q279" s="2">
        <v>45995</v>
      </c>
    </row>
    <row r="280" spans="1:17" x14ac:dyDescent="0.45">
      <c r="A280" t="s">
        <v>485</v>
      </c>
      <c r="B280" t="s">
        <v>486</v>
      </c>
      <c r="C280" t="s">
        <v>14</v>
      </c>
      <c r="D280" t="s">
        <v>47</v>
      </c>
      <c r="E280" t="s">
        <v>21</v>
      </c>
      <c r="F280">
        <v>9.1999999999999993</v>
      </c>
      <c r="G280">
        <v>12.77</v>
      </c>
      <c r="H280">
        <v>12.24</v>
      </c>
      <c r="I280" s="4" t="str">
        <f t="shared" si="16"/>
        <v>Admis</v>
      </c>
      <c r="J280" s="4" t="str">
        <f t="shared" si="17"/>
        <v>Non eligible</v>
      </c>
      <c r="K280">
        <v>11.36</v>
      </c>
      <c r="L280" s="6" t="str">
        <f t="shared" si="18"/>
        <v>A surveiller</v>
      </c>
      <c r="M280" s="6" t="str">
        <f t="shared" si="19"/>
        <v>Hors Data</v>
      </c>
      <c r="N280" s="8" t="str" cm="1">
        <f t="array" ref="N280">_xlfn.IFS(H280&gt;=16,"Excellent",H280&gt;=14,"Très bien",H280&gt;=12,"Bien",H280&gt;=10,"Passable",TRUE,"Insuffisant")</f>
        <v>Bien</v>
      </c>
      <c r="O280">
        <v>0.82589999999999997</v>
      </c>
      <c r="P280">
        <v>120000</v>
      </c>
      <c r="Q280" s="2">
        <v>45629</v>
      </c>
    </row>
    <row r="281" spans="1:17" x14ac:dyDescent="0.45">
      <c r="A281" t="s">
        <v>487</v>
      </c>
      <c r="B281" t="s">
        <v>488</v>
      </c>
      <c r="C281" t="s">
        <v>14</v>
      </c>
      <c r="D281" t="s">
        <v>28</v>
      </c>
      <c r="E281" t="s">
        <v>16</v>
      </c>
      <c r="F281">
        <v>13.05</v>
      </c>
      <c r="G281">
        <v>12.26</v>
      </c>
      <c r="H281">
        <v>12.85</v>
      </c>
      <c r="I281" s="4" t="str">
        <f t="shared" si="16"/>
        <v>Admis</v>
      </c>
      <c r="J281" s="4" t="str">
        <f t="shared" si="17"/>
        <v>Eligible</v>
      </c>
      <c r="K281">
        <v>14.08</v>
      </c>
      <c r="L281" s="6" t="str">
        <f t="shared" si="18"/>
        <v>RAS</v>
      </c>
      <c r="M281" s="6" t="str">
        <f t="shared" si="19"/>
        <v>Data</v>
      </c>
      <c r="N281" s="8" t="str" cm="1">
        <f t="array" ref="N281">_xlfn.IFS(H281&gt;=16,"Excellent",H281&gt;=14,"Très bien",H281&gt;=12,"Bien",H281&gt;=10,"Passable",TRUE,"Insuffisant")</f>
        <v>Bien</v>
      </c>
      <c r="O281">
        <v>0.88490000000000002</v>
      </c>
      <c r="P281">
        <v>130000</v>
      </c>
      <c r="Q281" s="2">
        <v>45559</v>
      </c>
    </row>
    <row r="282" spans="1:17" x14ac:dyDescent="0.45">
      <c r="A282" t="s">
        <v>489</v>
      </c>
      <c r="B282" t="s">
        <v>490</v>
      </c>
      <c r="C282" t="s">
        <v>14</v>
      </c>
      <c r="D282" t="s">
        <v>32</v>
      </c>
      <c r="E282" t="s">
        <v>21</v>
      </c>
      <c r="F282">
        <v>6.66</v>
      </c>
      <c r="G282">
        <v>9.39</v>
      </c>
      <c r="H282">
        <v>11.92</v>
      </c>
      <c r="I282" s="4" t="str">
        <f t="shared" si="16"/>
        <v>Admis</v>
      </c>
      <c r="J282" s="4" t="str">
        <f t="shared" si="17"/>
        <v>Non eligible</v>
      </c>
      <c r="K282">
        <v>10.199999999999999</v>
      </c>
      <c r="L282" s="6" t="str">
        <f t="shared" si="18"/>
        <v>A surveiller</v>
      </c>
      <c r="M282" s="6" t="str">
        <f t="shared" si="19"/>
        <v>Hors Data</v>
      </c>
      <c r="N282" s="8" t="str" cm="1">
        <f t="array" ref="N282">_xlfn.IFS(H282&gt;=16,"Excellent",H282&gt;=14,"Très bien",H282&gt;=12,"Bien",H282&gt;=10,"Passable",TRUE,"Insuffisant")</f>
        <v>Passable</v>
      </c>
      <c r="O282">
        <v>0.95240000000000002</v>
      </c>
      <c r="P282">
        <v>90000</v>
      </c>
      <c r="Q282" s="2">
        <v>46004</v>
      </c>
    </row>
    <row r="283" spans="1:17" x14ac:dyDescent="0.45">
      <c r="A283" t="s">
        <v>491</v>
      </c>
      <c r="B283" t="s">
        <v>447</v>
      </c>
      <c r="C283" t="s">
        <v>14</v>
      </c>
      <c r="D283" t="s">
        <v>15</v>
      </c>
      <c r="E283" t="s">
        <v>29</v>
      </c>
      <c r="F283">
        <v>8.64</v>
      </c>
      <c r="G283">
        <v>12.37</v>
      </c>
      <c r="H283">
        <v>11.39</v>
      </c>
      <c r="I283" s="4" t="str">
        <f t="shared" si="16"/>
        <v>Admis</v>
      </c>
      <c r="J283" s="4" t="str">
        <f t="shared" si="17"/>
        <v>Non eligible</v>
      </c>
      <c r="K283">
        <v>14.55</v>
      </c>
      <c r="L283" s="6" t="str">
        <f t="shared" si="18"/>
        <v>A surveiller</v>
      </c>
      <c r="M283" s="6" t="str">
        <f t="shared" si="19"/>
        <v>Hors Data</v>
      </c>
      <c r="N283" s="8" t="str" cm="1">
        <f t="array" ref="N283">_xlfn.IFS(H283&gt;=16,"Excellent",H283&gt;=14,"Très bien",H283&gt;=12,"Bien",H283&gt;=10,"Passable",TRUE,"Insuffisant")</f>
        <v>Passable</v>
      </c>
      <c r="O283">
        <v>0.74180000000000001</v>
      </c>
      <c r="P283">
        <v>60000</v>
      </c>
      <c r="Q283" s="2">
        <v>46075</v>
      </c>
    </row>
    <row r="284" spans="1:17" x14ac:dyDescent="0.45">
      <c r="A284" t="s">
        <v>492</v>
      </c>
      <c r="B284" t="s">
        <v>140</v>
      </c>
      <c r="C284" t="s">
        <v>19</v>
      </c>
      <c r="D284" t="s">
        <v>20</v>
      </c>
      <c r="E284" t="s">
        <v>42</v>
      </c>
      <c r="F284">
        <v>10.32</v>
      </c>
      <c r="G284">
        <v>7.48</v>
      </c>
      <c r="H284">
        <v>9.65</v>
      </c>
      <c r="I284" s="4" t="str">
        <f t="shared" si="16"/>
        <v>Non admis</v>
      </c>
      <c r="J284" s="4" t="str">
        <f t="shared" si="17"/>
        <v>Non eligible</v>
      </c>
      <c r="K284">
        <v>10.220000000000001</v>
      </c>
      <c r="L284" s="6" t="str">
        <f t="shared" si="18"/>
        <v>A surveiller</v>
      </c>
      <c r="M284" s="6" t="str">
        <f t="shared" si="19"/>
        <v>Hors Data</v>
      </c>
      <c r="N284" s="8" t="str" cm="1">
        <f t="array" ref="N284">_xlfn.IFS(H284&gt;=16,"Excellent",H284&gt;=14,"Très bien",H284&gt;=12,"Bien",H284&gt;=10,"Passable",TRUE,"Insuffisant")</f>
        <v>Insuffisant</v>
      </c>
      <c r="O284">
        <v>0.95789999999999997</v>
      </c>
      <c r="P284">
        <v>90000</v>
      </c>
      <c r="Q284" s="2">
        <v>46053</v>
      </c>
    </row>
    <row r="285" spans="1:17" x14ac:dyDescent="0.45">
      <c r="A285" t="s">
        <v>493</v>
      </c>
      <c r="B285" t="s">
        <v>494</v>
      </c>
      <c r="C285" t="s">
        <v>14</v>
      </c>
      <c r="D285" t="s">
        <v>47</v>
      </c>
      <c r="E285" t="s">
        <v>16</v>
      </c>
      <c r="F285">
        <v>20</v>
      </c>
      <c r="G285">
        <v>13.99</v>
      </c>
      <c r="H285">
        <v>15.98</v>
      </c>
      <c r="I285" s="4" t="str">
        <f t="shared" si="16"/>
        <v>Admis</v>
      </c>
      <c r="J285" s="4" t="str">
        <f t="shared" si="17"/>
        <v>Non eligible</v>
      </c>
      <c r="K285">
        <v>16.27</v>
      </c>
      <c r="L285" s="6" t="str">
        <f t="shared" si="18"/>
        <v>RAS</v>
      </c>
      <c r="M285" s="6" t="str">
        <f t="shared" si="19"/>
        <v>Data</v>
      </c>
      <c r="N285" s="8" t="str" cm="1">
        <f t="array" ref="N285">_xlfn.IFS(H285&gt;=16,"Excellent",H285&gt;=14,"Très bien",H285&gt;=12,"Bien",H285&gt;=10,"Passable",TRUE,"Insuffisant")</f>
        <v>Très bien</v>
      </c>
      <c r="O285">
        <v>0.71940000000000004</v>
      </c>
      <c r="P285">
        <v>120000</v>
      </c>
      <c r="Q285" s="2">
        <v>46095</v>
      </c>
    </row>
    <row r="286" spans="1:17" x14ac:dyDescent="0.45">
      <c r="A286" t="s">
        <v>495</v>
      </c>
      <c r="B286" t="s">
        <v>282</v>
      </c>
      <c r="C286" t="s">
        <v>14</v>
      </c>
      <c r="D286" t="s">
        <v>15</v>
      </c>
      <c r="E286" t="s">
        <v>21</v>
      </c>
      <c r="F286">
        <v>20</v>
      </c>
      <c r="G286">
        <v>14.51</v>
      </c>
      <c r="H286">
        <v>17.809999999999999</v>
      </c>
      <c r="I286" s="4" t="str">
        <f t="shared" si="16"/>
        <v>Admis</v>
      </c>
      <c r="J286" s="4" t="str">
        <f t="shared" si="17"/>
        <v>Eligible</v>
      </c>
      <c r="K286">
        <v>16.489999999999998</v>
      </c>
      <c r="L286" s="6" t="str">
        <f t="shared" si="18"/>
        <v>RAS</v>
      </c>
      <c r="M286" s="6" t="str">
        <f t="shared" si="19"/>
        <v>Hors Data</v>
      </c>
      <c r="N286" s="8" t="str" cm="1">
        <f t="array" ref="N286">_xlfn.IFS(H286&gt;=16,"Excellent",H286&gt;=14,"Très bien",H286&gt;=12,"Bien",H286&gt;=10,"Passable",TRUE,"Insuffisant")</f>
        <v>Excellent</v>
      </c>
      <c r="O286">
        <v>0.91659999999999997</v>
      </c>
      <c r="P286">
        <v>90000</v>
      </c>
      <c r="Q286" s="2">
        <v>46097</v>
      </c>
    </row>
    <row r="287" spans="1:17" x14ac:dyDescent="0.45">
      <c r="A287" t="s">
        <v>496</v>
      </c>
      <c r="B287" t="s">
        <v>427</v>
      </c>
      <c r="C287" t="s">
        <v>19</v>
      </c>
      <c r="D287" t="s">
        <v>32</v>
      </c>
      <c r="E287" t="s">
        <v>29</v>
      </c>
      <c r="F287">
        <v>10.7</v>
      </c>
      <c r="G287">
        <v>11.15</v>
      </c>
      <c r="H287">
        <v>7.88</v>
      </c>
      <c r="I287" s="4" t="str">
        <f t="shared" si="16"/>
        <v>Non admis</v>
      </c>
      <c r="J287" s="4" t="str">
        <f t="shared" si="17"/>
        <v>Non eligible</v>
      </c>
      <c r="K287">
        <v>9.3800000000000008</v>
      </c>
      <c r="L287" s="6" t="str">
        <f t="shared" si="18"/>
        <v>A surveiller</v>
      </c>
      <c r="M287" s="6" t="str">
        <f t="shared" si="19"/>
        <v>Hors Data</v>
      </c>
      <c r="N287" s="8" t="str" cm="1">
        <f t="array" ref="N287">_xlfn.IFS(H287&gt;=16,"Excellent",H287&gt;=14,"Très bien",H287&gt;=12,"Bien",H287&gt;=10,"Passable",TRUE,"Insuffisant")</f>
        <v>Insuffisant</v>
      </c>
      <c r="O287">
        <v>0.83550000000000002</v>
      </c>
      <c r="P287">
        <v>110000</v>
      </c>
      <c r="Q287" s="2">
        <v>45957</v>
      </c>
    </row>
    <row r="288" spans="1:17" x14ac:dyDescent="0.45">
      <c r="A288" t="s">
        <v>497</v>
      </c>
      <c r="B288" t="s">
        <v>364</v>
      </c>
      <c r="C288" t="s">
        <v>14</v>
      </c>
      <c r="D288" t="s">
        <v>15</v>
      </c>
      <c r="E288" t="s">
        <v>21</v>
      </c>
      <c r="F288">
        <v>14.36</v>
      </c>
      <c r="G288">
        <v>11.51</v>
      </c>
      <c r="H288">
        <v>17.649999999999999</v>
      </c>
      <c r="I288" s="4" t="str">
        <f t="shared" si="16"/>
        <v>Admis</v>
      </c>
      <c r="J288" s="4" t="str">
        <f t="shared" si="17"/>
        <v>Non eligible</v>
      </c>
      <c r="K288">
        <v>17.079999999999998</v>
      </c>
      <c r="L288" s="6" t="str">
        <f t="shared" si="18"/>
        <v>RAS</v>
      </c>
      <c r="M288" s="6" t="str">
        <f t="shared" si="19"/>
        <v>Hors Data</v>
      </c>
      <c r="N288" s="8" t="str" cm="1">
        <f t="array" ref="N288">_xlfn.IFS(H288&gt;=16,"Excellent",H288&gt;=14,"Très bien",H288&gt;=12,"Bien",H288&gt;=10,"Passable",TRUE,"Insuffisant")</f>
        <v>Excellent</v>
      </c>
      <c r="O288">
        <v>0.67620000000000002</v>
      </c>
      <c r="P288">
        <v>85000</v>
      </c>
      <c r="Q288" s="2">
        <v>45899</v>
      </c>
    </row>
    <row r="289" spans="1:17" x14ac:dyDescent="0.45">
      <c r="A289" t="s">
        <v>498</v>
      </c>
      <c r="B289" t="s">
        <v>49</v>
      </c>
      <c r="C289" t="s">
        <v>19</v>
      </c>
      <c r="D289" t="s">
        <v>32</v>
      </c>
      <c r="E289" t="s">
        <v>16</v>
      </c>
      <c r="F289">
        <v>13.42</v>
      </c>
      <c r="G289">
        <v>9.67</v>
      </c>
      <c r="H289">
        <v>9.9700000000000006</v>
      </c>
      <c r="I289" s="4" t="str">
        <f t="shared" si="16"/>
        <v>Non admis</v>
      </c>
      <c r="J289" s="4" t="str">
        <f t="shared" si="17"/>
        <v>Non eligible</v>
      </c>
      <c r="K289">
        <v>13.05</v>
      </c>
      <c r="L289" s="6" t="str">
        <f t="shared" si="18"/>
        <v>A surveiller</v>
      </c>
      <c r="M289" s="6" t="str">
        <f t="shared" si="19"/>
        <v>Data</v>
      </c>
      <c r="N289" s="8" t="str" cm="1">
        <f t="array" ref="N289">_xlfn.IFS(H289&gt;=16,"Excellent",H289&gt;=14,"Très bien",H289&gt;=12,"Bien",H289&gt;=10,"Passable",TRUE,"Insuffisant")</f>
        <v>Insuffisant</v>
      </c>
      <c r="O289">
        <v>0.59109999999999996</v>
      </c>
      <c r="P289">
        <v>80000</v>
      </c>
      <c r="Q289" s="2">
        <v>46135</v>
      </c>
    </row>
    <row r="290" spans="1:17" x14ac:dyDescent="0.45">
      <c r="A290" t="s">
        <v>499</v>
      </c>
      <c r="B290" t="s">
        <v>500</v>
      </c>
      <c r="C290" t="s">
        <v>19</v>
      </c>
      <c r="D290" t="s">
        <v>47</v>
      </c>
      <c r="E290" t="s">
        <v>42</v>
      </c>
      <c r="F290">
        <v>14.21</v>
      </c>
      <c r="G290">
        <v>11.27</v>
      </c>
      <c r="H290">
        <v>14.2</v>
      </c>
      <c r="I290" s="4" t="str">
        <f t="shared" si="16"/>
        <v>Admis</v>
      </c>
      <c r="J290" s="4" t="str">
        <f t="shared" si="17"/>
        <v>Eligible</v>
      </c>
      <c r="K290">
        <v>10.11</v>
      </c>
      <c r="L290" s="6" t="str">
        <f t="shared" si="18"/>
        <v>RAS</v>
      </c>
      <c r="M290" s="6" t="str">
        <f t="shared" si="19"/>
        <v>Hors Data</v>
      </c>
      <c r="N290" s="8" t="str" cm="1">
        <f t="array" ref="N290">_xlfn.IFS(H290&gt;=16,"Excellent",H290&gt;=14,"Très bien",H290&gt;=12,"Bien",H290&gt;=10,"Passable",TRUE,"Insuffisant")</f>
        <v>Très bien</v>
      </c>
      <c r="O290">
        <v>0.91249999999999998</v>
      </c>
      <c r="P290">
        <v>130000</v>
      </c>
      <c r="Q290" s="2">
        <v>45779</v>
      </c>
    </row>
    <row r="291" spans="1:17" x14ac:dyDescent="0.45">
      <c r="A291" t="s">
        <v>501</v>
      </c>
      <c r="B291" t="s">
        <v>155</v>
      </c>
      <c r="C291" t="s">
        <v>14</v>
      </c>
      <c r="D291" t="s">
        <v>47</v>
      </c>
      <c r="E291" t="s">
        <v>16</v>
      </c>
      <c r="F291">
        <v>14.91</v>
      </c>
      <c r="G291">
        <v>13.13</v>
      </c>
      <c r="H291">
        <v>14.5</v>
      </c>
      <c r="I291" s="4" t="str">
        <f t="shared" si="16"/>
        <v>Admis</v>
      </c>
      <c r="J291" s="4" t="str">
        <f t="shared" si="17"/>
        <v>Eligible</v>
      </c>
      <c r="K291">
        <v>15.66</v>
      </c>
      <c r="L291" s="6" t="str">
        <f t="shared" si="18"/>
        <v>RAS</v>
      </c>
      <c r="M291" s="6" t="str">
        <f t="shared" si="19"/>
        <v>Data</v>
      </c>
      <c r="N291" s="8" t="str" cm="1">
        <f t="array" ref="N291">_xlfn.IFS(H291&gt;=16,"Excellent",H291&gt;=14,"Très bien",H291&gt;=12,"Bien",H291&gt;=10,"Passable",TRUE,"Insuffisant")</f>
        <v>Très bien</v>
      </c>
      <c r="O291">
        <v>0.84230000000000005</v>
      </c>
      <c r="P291">
        <v>60000</v>
      </c>
      <c r="Q291" s="2">
        <v>45604</v>
      </c>
    </row>
    <row r="292" spans="1:17" x14ac:dyDescent="0.45">
      <c r="A292" t="s">
        <v>502</v>
      </c>
      <c r="B292" t="s">
        <v>503</v>
      </c>
      <c r="C292" t="s">
        <v>19</v>
      </c>
      <c r="D292" t="s">
        <v>35</v>
      </c>
      <c r="E292" t="s">
        <v>21</v>
      </c>
      <c r="F292">
        <v>13.47</v>
      </c>
      <c r="G292">
        <v>14.63</v>
      </c>
      <c r="H292">
        <v>12.22</v>
      </c>
      <c r="I292" s="4" t="str">
        <f t="shared" si="16"/>
        <v>Admis</v>
      </c>
      <c r="J292" s="4" t="str">
        <f t="shared" si="17"/>
        <v>Eligible</v>
      </c>
      <c r="K292">
        <v>12.63</v>
      </c>
      <c r="L292" s="6" t="str">
        <f t="shared" si="18"/>
        <v>RAS</v>
      </c>
      <c r="M292" s="6" t="str">
        <f t="shared" si="19"/>
        <v>Hors Data</v>
      </c>
      <c r="N292" s="8" t="str" cm="1">
        <f t="array" ref="N292">_xlfn.IFS(H292&gt;=16,"Excellent",H292&gt;=14,"Très bien",H292&gt;=12,"Bien",H292&gt;=10,"Passable",TRUE,"Insuffisant")</f>
        <v>Bien</v>
      </c>
      <c r="O292">
        <v>0.83460000000000001</v>
      </c>
      <c r="P292">
        <v>80000</v>
      </c>
      <c r="Q292" s="2">
        <v>46062</v>
      </c>
    </row>
    <row r="293" spans="1:17" x14ac:dyDescent="0.45">
      <c r="A293" t="s">
        <v>504</v>
      </c>
      <c r="B293" t="s">
        <v>505</v>
      </c>
      <c r="C293" t="s">
        <v>14</v>
      </c>
      <c r="D293" t="s">
        <v>47</v>
      </c>
      <c r="E293" t="s">
        <v>29</v>
      </c>
      <c r="F293">
        <v>19.03</v>
      </c>
      <c r="G293">
        <v>20</v>
      </c>
      <c r="H293">
        <v>20</v>
      </c>
      <c r="I293" s="4" t="str">
        <f t="shared" si="16"/>
        <v>Admis</v>
      </c>
      <c r="J293" s="4" t="str">
        <f t="shared" si="17"/>
        <v>Eligible</v>
      </c>
      <c r="K293">
        <v>15.79</v>
      </c>
      <c r="L293" s="6" t="str">
        <f t="shared" si="18"/>
        <v>RAS</v>
      </c>
      <c r="M293" s="6" t="str">
        <f t="shared" si="19"/>
        <v>Hors Data</v>
      </c>
      <c r="N293" s="8" t="str" cm="1">
        <f t="array" ref="N293">_xlfn.IFS(H293&gt;=16,"Excellent",H293&gt;=14,"Très bien",H293&gt;=12,"Bien",H293&gt;=10,"Passable",TRUE,"Insuffisant")</f>
        <v>Excellent</v>
      </c>
      <c r="O293">
        <v>0.88360000000000005</v>
      </c>
      <c r="P293">
        <v>60000</v>
      </c>
      <c r="Q293" s="2">
        <v>45729</v>
      </c>
    </row>
    <row r="294" spans="1:17" x14ac:dyDescent="0.45">
      <c r="A294" t="s">
        <v>506</v>
      </c>
      <c r="B294" t="s">
        <v>107</v>
      </c>
      <c r="C294" t="s">
        <v>19</v>
      </c>
      <c r="D294" t="s">
        <v>20</v>
      </c>
      <c r="E294" t="s">
        <v>42</v>
      </c>
      <c r="F294">
        <v>13.37</v>
      </c>
      <c r="G294">
        <v>11.34</v>
      </c>
      <c r="H294">
        <v>14.54</v>
      </c>
      <c r="I294" s="4" t="str">
        <f t="shared" si="16"/>
        <v>Admis</v>
      </c>
      <c r="J294" s="4" t="str">
        <f t="shared" si="17"/>
        <v>Eligible</v>
      </c>
      <c r="K294">
        <v>12.44</v>
      </c>
      <c r="L294" s="6" t="str">
        <f t="shared" si="18"/>
        <v>RAS</v>
      </c>
      <c r="M294" s="6" t="str">
        <f t="shared" si="19"/>
        <v>Hors Data</v>
      </c>
      <c r="N294" s="8" t="str" cm="1">
        <f t="array" ref="N294">_xlfn.IFS(H294&gt;=16,"Excellent",H294&gt;=14,"Très bien",H294&gt;=12,"Bien",H294&gt;=10,"Passable",TRUE,"Insuffisant")</f>
        <v>Très bien</v>
      </c>
      <c r="O294">
        <v>0.89810000000000001</v>
      </c>
      <c r="P294">
        <v>100000</v>
      </c>
      <c r="Q294" s="2">
        <v>46221</v>
      </c>
    </row>
    <row r="295" spans="1:17" x14ac:dyDescent="0.45">
      <c r="A295" t="s">
        <v>507</v>
      </c>
      <c r="B295" t="s">
        <v>508</v>
      </c>
      <c r="C295" t="s">
        <v>14</v>
      </c>
      <c r="D295" t="s">
        <v>35</v>
      </c>
      <c r="E295" t="s">
        <v>21</v>
      </c>
      <c r="F295">
        <v>16.010000000000002</v>
      </c>
      <c r="G295">
        <v>15.74</v>
      </c>
      <c r="H295">
        <v>16.96</v>
      </c>
      <c r="I295" s="4" t="str">
        <f t="shared" si="16"/>
        <v>Admis</v>
      </c>
      <c r="J295" s="4" t="str">
        <f t="shared" si="17"/>
        <v>Eligible</v>
      </c>
      <c r="K295">
        <v>15.28</v>
      </c>
      <c r="L295" s="6" t="str">
        <f t="shared" si="18"/>
        <v>RAS</v>
      </c>
      <c r="M295" s="6" t="str">
        <f t="shared" si="19"/>
        <v>Hors Data</v>
      </c>
      <c r="N295" s="8" t="str" cm="1">
        <f t="array" ref="N295">_xlfn.IFS(H295&gt;=16,"Excellent",H295&gt;=14,"Très bien",H295&gt;=12,"Bien",H295&gt;=10,"Passable",TRUE,"Insuffisant")</f>
        <v>Excellent</v>
      </c>
      <c r="O295">
        <v>0.92490000000000006</v>
      </c>
      <c r="P295">
        <v>130000</v>
      </c>
      <c r="Q295" s="2">
        <v>45825</v>
      </c>
    </row>
    <row r="296" spans="1:17" x14ac:dyDescent="0.45">
      <c r="A296" t="s">
        <v>509</v>
      </c>
      <c r="B296" t="s">
        <v>510</v>
      </c>
      <c r="C296" t="s">
        <v>19</v>
      </c>
      <c r="D296" t="s">
        <v>15</v>
      </c>
      <c r="E296" t="s">
        <v>42</v>
      </c>
      <c r="F296">
        <v>13.51</v>
      </c>
      <c r="G296">
        <v>15.36</v>
      </c>
      <c r="H296">
        <v>15.65</v>
      </c>
      <c r="I296" s="4" t="str">
        <f t="shared" si="16"/>
        <v>Admis</v>
      </c>
      <c r="J296" s="4" t="str">
        <f t="shared" si="17"/>
        <v>Eligible</v>
      </c>
      <c r="K296">
        <v>11.58</v>
      </c>
      <c r="L296" s="6" t="str">
        <f t="shared" si="18"/>
        <v>RAS</v>
      </c>
      <c r="M296" s="6" t="str">
        <f t="shared" si="19"/>
        <v>Hors Data</v>
      </c>
      <c r="N296" s="8" t="str" cm="1">
        <f t="array" ref="N296">_xlfn.IFS(H296&gt;=16,"Excellent",H296&gt;=14,"Très bien",H296&gt;=12,"Bien",H296&gt;=10,"Passable",TRUE,"Insuffisant")</f>
        <v>Très bien</v>
      </c>
      <c r="O296">
        <v>0.87549999999999994</v>
      </c>
      <c r="P296">
        <v>130000</v>
      </c>
      <c r="Q296" s="2">
        <v>46132</v>
      </c>
    </row>
    <row r="297" spans="1:17" x14ac:dyDescent="0.45">
      <c r="A297" t="s">
        <v>511</v>
      </c>
      <c r="B297" t="s">
        <v>512</v>
      </c>
      <c r="C297" t="s">
        <v>19</v>
      </c>
      <c r="D297" t="s">
        <v>32</v>
      </c>
      <c r="E297" t="s">
        <v>16</v>
      </c>
      <c r="F297">
        <v>18.760000000000002</v>
      </c>
      <c r="G297">
        <v>14.56</v>
      </c>
      <c r="H297">
        <v>15.29</v>
      </c>
      <c r="I297" s="4" t="str">
        <f t="shared" si="16"/>
        <v>Admis</v>
      </c>
      <c r="J297" s="4" t="str">
        <f t="shared" si="17"/>
        <v>Eligible</v>
      </c>
      <c r="K297">
        <v>12.37</v>
      </c>
      <c r="L297" s="6" t="str">
        <f t="shared" si="18"/>
        <v>RAS</v>
      </c>
      <c r="M297" s="6" t="str">
        <f t="shared" si="19"/>
        <v>Data</v>
      </c>
      <c r="N297" s="8" t="str" cm="1">
        <f t="array" ref="N297">_xlfn.IFS(H297&gt;=16,"Excellent",H297&gt;=14,"Très bien",H297&gt;=12,"Bien",H297&gt;=10,"Passable",TRUE,"Insuffisant")</f>
        <v>Très bien</v>
      </c>
      <c r="O297">
        <v>0.94489999999999996</v>
      </c>
      <c r="P297">
        <v>70000</v>
      </c>
      <c r="Q297" s="2">
        <v>45565</v>
      </c>
    </row>
    <row r="298" spans="1:17" x14ac:dyDescent="0.45">
      <c r="A298" t="s">
        <v>513</v>
      </c>
      <c r="B298" t="s">
        <v>185</v>
      </c>
      <c r="C298" t="s">
        <v>19</v>
      </c>
      <c r="D298" t="s">
        <v>20</v>
      </c>
      <c r="E298" t="s">
        <v>16</v>
      </c>
      <c r="F298">
        <v>14.91</v>
      </c>
      <c r="G298">
        <v>10.93</v>
      </c>
      <c r="H298">
        <v>12.43</v>
      </c>
      <c r="I298" s="4" t="str">
        <f t="shared" si="16"/>
        <v>Admis</v>
      </c>
      <c r="J298" s="4" t="str">
        <f t="shared" si="17"/>
        <v>Non eligible</v>
      </c>
      <c r="K298">
        <v>8.7100000000000009</v>
      </c>
      <c r="L298" s="6" t="str">
        <f t="shared" si="18"/>
        <v>RAS</v>
      </c>
      <c r="M298" s="6" t="str">
        <f t="shared" si="19"/>
        <v>Data</v>
      </c>
      <c r="N298" s="8" t="str" cm="1">
        <f t="array" ref="N298">_xlfn.IFS(H298&gt;=16,"Excellent",H298&gt;=14,"Très bien",H298&gt;=12,"Bien",H298&gt;=10,"Passable",TRUE,"Insuffisant")</f>
        <v>Bien</v>
      </c>
      <c r="O298">
        <v>0.71930000000000005</v>
      </c>
      <c r="P298">
        <v>110000</v>
      </c>
      <c r="Q298" s="2">
        <v>45997</v>
      </c>
    </row>
    <row r="299" spans="1:17" x14ac:dyDescent="0.45">
      <c r="A299" t="s">
        <v>514</v>
      </c>
      <c r="B299" t="s">
        <v>515</v>
      </c>
      <c r="C299" t="s">
        <v>14</v>
      </c>
      <c r="D299" t="s">
        <v>35</v>
      </c>
      <c r="E299" t="s">
        <v>16</v>
      </c>
      <c r="F299">
        <v>14.41</v>
      </c>
      <c r="G299">
        <v>16.39</v>
      </c>
      <c r="H299">
        <v>12.11</v>
      </c>
      <c r="I299" s="4" t="str">
        <f t="shared" si="16"/>
        <v>Admis</v>
      </c>
      <c r="J299" s="4" t="str">
        <f t="shared" si="17"/>
        <v>Non eligible</v>
      </c>
      <c r="K299">
        <v>12.44</v>
      </c>
      <c r="L299" s="6" t="str">
        <f t="shared" si="18"/>
        <v>RAS</v>
      </c>
      <c r="M299" s="6" t="str">
        <f t="shared" si="19"/>
        <v>Data</v>
      </c>
      <c r="N299" s="8" t="str" cm="1">
        <f t="array" ref="N299">_xlfn.IFS(H299&gt;=16,"Excellent",H299&gt;=14,"Très bien",H299&gt;=12,"Bien",H299&gt;=10,"Passable",TRUE,"Insuffisant")</f>
        <v>Bien</v>
      </c>
      <c r="O299">
        <v>0.78539999999999999</v>
      </c>
      <c r="P299">
        <v>120000</v>
      </c>
      <c r="Q299" s="2">
        <v>45849</v>
      </c>
    </row>
    <row r="300" spans="1:17" x14ac:dyDescent="0.45">
      <c r="A300" t="s">
        <v>516</v>
      </c>
      <c r="B300" t="s">
        <v>454</v>
      </c>
      <c r="C300" t="s">
        <v>14</v>
      </c>
      <c r="D300" t="s">
        <v>47</v>
      </c>
      <c r="E300" t="s">
        <v>21</v>
      </c>
      <c r="F300">
        <v>16.96</v>
      </c>
      <c r="G300">
        <v>15.52</v>
      </c>
      <c r="H300">
        <v>15.37</v>
      </c>
      <c r="I300" s="4" t="str">
        <f t="shared" si="16"/>
        <v>Admis</v>
      </c>
      <c r="J300" s="4" t="str">
        <f t="shared" si="17"/>
        <v>Non eligible</v>
      </c>
      <c r="K300">
        <v>12.89</v>
      </c>
      <c r="L300" s="6" t="str">
        <f t="shared" si="18"/>
        <v>RAS</v>
      </c>
      <c r="M300" s="6" t="str">
        <f t="shared" si="19"/>
        <v>Hors Data</v>
      </c>
      <c r="N300" s="8" t="str" cm="1">
        <f t="array" ref="N300">_xlfn.IFS(H300&gt;=16,"Excellent",H300&gt;=14,"Très bien",H300&gt;=12,"Bien",H300&gt;=10,"Passable",TRUE,"Insuffisant")</f>
        <v>Très bien</v>
      </c>
      <c r="O300">
        <v>0.75690000000000002</v>
      </c>
      <c r="P300">
        <v>120000</v>
      </c>
      <c r="Q300" s="2">
        <v>45859</v>
      </c>
    </row>
    <row r="301" spans="1:17" x14ac:dyDescent="0.45">
      <c r="A301" t="s">
        <v>517</v>
      </c>
      <c r="B301" t="s">
        <v>77</v>
      </c>
      <c r="C301" t="s">
        <v>14</v>
      </c>
      <c r="D301" t="s">
        <v>35</v>
      </c>
      <c r="E301" t="s">
        <v>21</v>
      </c>
      <c r="F301">
        <v>10.31</v>
      </c>
      <c r="G301">
        <v>12.88</v>
      </c>
      <c r="H301">
        <v>9.83</v>
      </c>
      <c r="I301" s="4" t="str">
        <f t="shared" si="16"/>
        <v>Non admis</v>
      </c>
      <c r="J301" s="4" t="str">
        <f t="shared" si="17"/>
        <v>Non eligible</v>
      </c>
      <c r="K301">
        <v>9.1300000000000008</v>
      </c>
      <c r="L301" s="6" t="str">
        <f t="shared" si="18"/>
        <v>A surveiller</v>
      </c>
      <c r="M301" s="6" t="str">
        <f t="shared" si="19"/>
        <v>Hors Data</v>
      </c>
      <c r="N301" s="8" t="str" cm="1">
        <f t="array" ref="N301">_xlfn.IFS(H301&gt;=16,"Excellent",H301&gt;=14,"Très bien",H301&gt;=12,"Bien",H301&gt;=10,"Passable",TRUE,"Insuffisant")</f>
        <v>Insuffisant</v>
      </c>
      <c r="O301">
        <v>0.69230000000000003</v>
      </c>
      <c r="P301">
        <v>85000</v>
      </c>
      <c r="Q301" s="2">
        <v>45721</v>
      </c>
    </row>
    <row r="302" spans="1:17" x14ac:dyDescent="0.45">
      <c r="A302" t="s">
        <v>518</v>
      </c>
      <c r="B302" t="s">
        <v>268</v>
      </c>
      <c r="C302" t="s">
        <v>14</v>
      </c>
      <c r="D302" t="s">
        <v>35</v>
      </c>
      <c r="E302" t="s">
        <v>29</v>
      </c>
      <c r="F302">
        <v>18.920000000000002</v>
      </c>
      <c r="G302">
        <v>17.79</v>
      </c>
      <c r="H302">
        <v>18.82</v>
      </c>
      <c r="I302" s="4" t="str">
        <f t="shared" si="16"/>
        <v>Admis</v>
      </c>
      <c r="J302" s="4" t="str">
        <f t="shared" si="17"/>
        <v>Eligible</v>
      </c>
      <c r="K302">
        <v>16.690000000000001</v>
      </c>
      <c r="L302" s="6" t="str">
        <f t="shared" si="18"/>
        <v>RAS</v>
      </c>
      <c r="M302" s="6" t="str">
        <f t="shared" si="19"/>
        <v>Hors Data</v>
      </c>
      <c r="N302" s="8" t="str" cm="1">
        <f t="array" ref="N302">_xlfn.IFS(H302&gt;=16,"Excellent",H302&gt;=14,"Très bien",H302&gt;=12,"Bien",H302&gt;=10,"Passable",TRUE,"Insuffisant")</f>
        <v>Excellent</v>
      </c>
      <c r="O302">
        <v>0.97560000000000002</v>
      </c>
      <c r="P302">
        <v>60000</v>
      </c>
      <c r="Q302" s="2">
        <v>46215</v>
      </c>
    </row>
    <row r="303" spans="1:17" x14ac:dyDescent="0.45">
      <c r="A303" t="s">
        <v>519</v>
      </c>
      <c r="B303" t="s">
        <v>520</v>
      </c>
      <c r="C303" t="s">
        <v>19</v>
      </c>
      <c r="D303" t="s">
        <v>47</v>
      </c>
      <c r="E303" t="s">
        <v>21</v>
      </c>
      <c r="F303">
        <v>16.510000000000002</v>
      </c>
      <c r="G303">
        <v>11.37</v>
      </c>
      <c r="H303">
        <v>14.83</v>
      </c>
      <c r="I303" s="4" t="str">
        <f t="shared" si="16"/>
        <v>Admis</v>
      </c>
      <c r="J303" s="4" t="str">
        <f t="shared" si="17"/>
        <v>Eligible</v>
      </c>
      <c r="K303">
        <v>15.08</v>
      </c>
      <c r="L303" s="6" t="str">
        <f t="shared" si="18"/>
        <v>RAS</v>
      </c>
      <c r="M303" s="6" t="str">
        <f t="shared" si="19"/>
        <v>Hors Data</v>
      </c>
      <c r="N303" s="8" t="str" cm="1">
        <f t="array" ref="N303">_xlfn.IFS(H303&gt;=16,"Excellent",H303&gt;=14,"Très bien",H303&gt;=12,"Bien",H303&gt;=10,"Passable",TRUE,"Insuffisant")</f>
        <v>Très bien</v>
      </c>
      <c r="O303">
        <v>0.81740000000000002</v>
      </c>
      <c r="P303">
        <v>85000</v>
      </c>
      <c r="Q303" s="2">
        <v>45810</v>
      </c>
    </row>
    <row r="304" spans="1:17" x14ac:dyDescent="0.45">
      <c r="A304" t="s">
        <v>521</v>
      </c>
      <c r="B304" t="s">
        <v>522</v>
      </c>
      <c r="C304" t="s">
        <v>14</v>
      </c>
      <c r="D304" t="s">
        <v>47</v>
      </c>
      <c r="E304" t="s">
        <v>16</v>
      </c>
      <c r="F304">
        <v>20</v>
      </c>
      <c r="G304">
        <v>18.54</v>
      </c>
      <c r="H304">
        <v>15.41</v>
      </c>
      <c r="I304" s="4" t="str">
        <f t="shared" si="16"/>
        <v>Admis</v>
      </c>
      <c r="J304" s="4" t="str">
        <f t="shared" si="17"/>
        <v>Non eligible</v>
      </c>
      <c r="K304">
        <v>16.329999999999998</v>
      </c>
      <c r="L304" s="6" t="str">
        <f t="shared" si="18"/>
        <v>RAS</v>
      </c>
      <c r="M304" s="6" t="str">
        <f t="shared" si="19"/>
        <v>Data</v>
      </c>
      <c r="N304" s="8" t="str" cm="1">
        <f t="array" ref="N304">_xlfn.IFS(H304&gt;=16,"Excellent",H304&gt;=14,"Très bien",H304&gt;=12,"Bien",H304&gt;=10,"Passable",TRUE,"Insuffisant")</f>
        <v>Très bien</v>
      </c>
      <c r="O304">
        <v>0.7198</v>
      </c>
      <c r="P304">
        <v>110000</v>
      </c>
      <c r="Q304" s="2">
        <v>46131</v>
      </c>
    </row>
    <row r="305" spans="1:17" x14ac:dyDescent="0.45">
      <c r="A305" t="s">
        <v>523</v>
      </c>
      <c r="B305" t="s">
        <v>55</v>
      </c>
      <c r="C305" t="s">
        <v>19</v>
      </c>
      <c r="D305" t="s">
        <v>20</v>
      </c>
      <c r="E305" t="s">
        <v>42</v>
      </c>
      <c r="F305">
        <v>15.18</v>
      </c>
      <c r="G305">
        <v>19.07</v>
      </c>
      <c r="H305">
        <v>19.670000000000002</v>
      </c>
      <c r="I305" s="4" t="str">
        <f t="shared" si="16"/>
        <v>Admis</v>
      </c>
      <c r="J305" s="4" t="str">
        <f t="shared" si="17"/>
        <v>Non eligible</v>
      </c>
      <c r="K305">
        <v>17.3</v>
      </c>
      <c r="L305" s="6" t="str">
        <f t="shared" si="18"/>
        <v>RAS</v>
      </c>
      <c r="M305" s="6" t="str">
        <f t="shared" si="19"/>
        <v>Hors Data</v>
      </c>
      <c r="N305" s="8" t="str" cm="1">
        <f t="array" ref="N305">_xlfn.IFS(H305&gt;=16,"Excellent",H305&gt;=14,"Très bien",H305&gt;=12,"Bien",H305&gt;=10,"Passable",TRUE,"Insuffisant")</f>
        <v>Excellent</v>
      </c>
      <c r="O305">
        <v>0.7026</v>
      </c>
      <c r="P305">
        <v>90000</v>
      </c>
      <c r="Q305" s="2">
        <v>45833</v>
      </c>
    </row>
    <row r="306" spans="1:17" x14ac:dyDescent="0.45">
      <c r="A306" t="s">
        <v>524</v>
      </c>
      <c r="B306" t="s">
        <v>119</v>
      </c>
      <c r="C306" t="s">
        <v>19</v>
      </c>
      <c r="D306" t="s">
        <v>47</v>
      </c>
      <c r="E306" t="s">
        <v>29</v>
      </c>
      <c r="F306">
        <v>16.04</v>
      </c>
      <c r="G306">
        <v>20</v>
      </c>
      <c r="H306">
        <v>17.809999999999999</v>
      </c>
      <c r="I306" s="4" t="str">
        <f t="shared" si="16"/>
        <v>Admis</v>
      </c>
      <c r="J306" s="4" t="str">
        <f t="shared" si="17"/>
        <v>Eligible</v>
      </c>
      <c r="K306">
        <v>15.73</v>
      </c>
      <c r="L306" s="6" t="str">
        <f t="shared" si="18"/>
        <v>RAS</v>
      </c>
      <c r="M306" s="6" t="str">
        <f t="shared" si="19"/>
        <v>Hors Data</v>
      </c>
      <c r="N306" s="8" t="str" cm="1">
        <f t="array" ref="N306">_xlfn.IFS(H306&gt;=16,"Excellent",H306&gt;=14,"Très bien",H306&gt;=12,"Bien",H306&gt;=10,"Passable",TRUE,"Insuffisant")</f>
        <v>Excellent</v>
      </c>
      <c r="O306">
        <v>0.84230000000000005</v>
      </c>
      <c r="P306">
        <v>80000</v>
      </c>
      <c r="Q306" s="2">
        <v>45569</v>
      </c>
    </row>
    <row r="307" spans="1:17" x14ac:dyDescent="0.45">
      <c r="A307" t="s">
        <v>525</v>
      </c>
      <c r="B307" t="s">
        <v>526</v>
      </c>
      <c r="C307" t="s">
        <v>14</v>
      </c>
      <c r="D307" t="s">
        <v>28</v>
      </c>
      <c r="E307" t="s">
        <v>16</v>
      </c>
      <c r="F307">
        <v>13.37</v>
      </c>
      <c r="G307">
        <v>13.7</v>
      </c>
      <c r="H307">
        <v>11.99</v>
      </c>
      <c r="I307" s="4" t="str">
        <f t="shared" si="16"/>
        <v>Admis</v>
      </c>
      <c r="J307" s="4" t="str">
        <f t="shared" si="17"/>
        <v>Non eligible</v>
      </c>
      <c r="K307">
        <v>12.6</v>
      </c>
      <c r="L307" s="6" t="str">
        <f t="shared" si="18"/>
        <v>RAS</v>
      </c>
      <c r="M307" s="6" t="str">
        <f t="shared" si="19"/>
        <v>Data</v>
      </c>
      <c r="N307" s="8" t="str" cm="1">
        <f t="array" ref="N307">_xlfn.IFS(H307&gt;=16,"Excellent",H307&gt;=14,"Très bien",H307&gt;=12,"Bien",H307&gt;=10,"Passable",TRUE,"Insuffisant")</f>
        <v>Passable</v>
      </c>
      <c r="O307">
        <v>0.55000000000000004</v>
      </c>
      <c r="P307">
        <v>70000</v>
      </c>
      <c r="Q307" s="2">
        <v>46151</v>
      </c>
    </row>
    <row r="308" spans="1:17" x14ac:dyDescent="0.45">
      <c r="A308" t="s">
        <v>527</v>
      </c>
      <c r="B308" t="s">
        <v>425</v>
      </c>
      <c r="C308" t="s">
        <v>14</v>
      </c>
      <c r="D308" t="s">
        <v>47</v>
      </c>
      <c r="E308" t="s">
        <v>29</v>
      </c>
      <c r="F308">
        <v>15.42</v>
      </c>
      <c r="G308">
        <v>15.05</v>
      </c>
      <c r="H308">
        <v>14.68</v>
      </c>
      <c r="I308" s="4" t="str">
        <f t="shared" si="16"/>
        <v>Admis</v>
      </c>
      <c r="J308" s="4" t="str">
        <f t="shared" si="17"/>
        <v>Non eligible</v>
      </c>
      <c r="K308">
        <v>11.67</v>
      </c>
      <c r="L308" s="6" t="str">
        <f t="shared" si="18"/>
        <v>RAS</v>
      </c>
      <c r="M308" s="6" t="str">
        <f t="shared" si="19"/>
        <v>Hors Data</v>
      </c>
      <c r="N308" s="8" t="str" cm="1">
        <f t="array" ref="N308">_xlfn.IFS(H308&gt;=16,"Excellent",H308&gt;=14,"Très bien",H308&gt;=12,"Bien",H308&gt;=10,"Passable",TRUE,"Insuffisant")</f>
        <v>Très bien</v>
      </c>
      <c r="O308">
        <v>0.79059999999999997</v>
      </c>
      <c r="P308">
        <v>100000</v>
      </c>
      <c r="Q308" s="2">
        <v>45665</v>
      </c>
    </row>
    <row r="309" spans="1:17" x14ac:dyDescent="0.45">
      <c r="A309" t="s">
        <v>528</v>
      </c>
      <c r="B309" t="s">
        <v>529</v>
      </c>
      <c r="C309" t="s">
        <v>19</v>
      </c>
      <c r="D309" t="s">
        <v>20</v>
      </c>
      <c r="E309" t="s">
        <v>29</v>
      </c>
      <c r="F309">
        <v>16.04</v>
      </c>
      <c r="G309">
        <v>11.55</v>
      </c>
      <c r="H309">
        <v>13.92</v>
      </c>
      <c r="I309" s="4" t="str">
        <f t="shared" si="16"/>
        <v>Admis</v>
      </c>
      <c r="J309" s="4" t="str">
        <f t="shared" si="17"/>
        <v>Non eligible</v>
      </c>
      <c r="K309">
        <v>12.84</v>
      </c>
      <c r="L309" s="6" t="str">
        <f t="shared" si="18"/>
        <v>RAS</v>
      </c>
      <c r="M309" s="6" t="str">
        <f t="shared" si="19"/>
        <v>Hors Data</v>
      </c>
      <c r="N309" s="8" t="str" cm="1">
        <f t="array" ref="N309">_xlfn.IFS(H309&gt;=16,"Excellent",H309&gt;=14,"Très bien",H309&gt;=12,"Bien",H309&gt;=10,"Passable",TRUE,"Insuffisant")</f>
        <v>Bien</v>
      </c>
      <c r="O309">
        <v>0.74919999999999998</v>
      </c>
      <c r="P309">
        <v>80000</v>
      </c>
      <c r="Q309" s="2">
        <v>45725</v>
      </c>
    </row>
    <row r="310" spans="1:17" x14ac:dyDescent="0.45">
      <c r="A310" t="s">
        <v>530</v>
      </c>
      <c r="B310" t="s">
        <v>438</v>
      </c>
      <c r="C310" t="s">
        <v>14</v>
      </c>
      <c r="D310" t="s">
        <v>32</v>
      </c>
      <c r="E310" t="s">
        <v>29</v>
      </c>
      <c r="F310">
        <v>12.09</v>
      </c>
      <c r="G310">
        <v>14.77</v>
      </c>
      <c r="H310">
        <v>12.31</v>
      </c>
      <c r="I310" s="4" t="str">
        <f t="shared" si="16"/>
        <v>Admis</v>
      </c>
      <c r="J310" s="4" t="str">
        <f t="shared" si="17"/>
        <v>Non eligible</v>
      </c>
      <c r="K310">
        <v>11.4</v>
      </c>
      <c r="L310" s="6" t="str">
        <f t="shared" si="18"/>
        <v>RAS</v>
      </c>
      <c r="M310" s="6" t="str">
        <f t="shared" si="19"/>
        <v>Hors Data</v>
      </c>
      <c r="N310" s="8" t="str" cm="1">
        <f t="array" ref="N310">_xlfn.IFS(H310&gt;=16,"Excellent",H310&gt;=14,"Très bien",H310&gt;=12,"Bien",H310&gt;=10,"Passable",TRUE,"Insuffisant")</f>
        <v>Bien</v>
      </c>
      <c r="O310">
        <v>0.77869999999999995</v>
      </c>
      <c r="P310">
        <v>85000</v>
      </c>
      <c r="Q310" s="2">
        <v>46138</v>
      </c>
    </row>
    <row r="311" spans="1:17" x14ac:dyDescent="0.45">
      <c r="A311" t="s">
        <v>531</v>
      </c>
      <c r="B311" t="s">
        <v>366</v>
      </c>
      <c r="C311" t="s">
        <v>14</v>
      </c>
      <c r="D311" t="s">
        <v>47</v>
      </c>
      <c r="E311" t="s">
        <v>16</v>
      </c>
      <c r="F311">
        <v>13.81</v>
      </c>
      <c r="G311">
        <v>11.53</v>
      </c>
      <c r="H311">
        <v>11.74</v>
      </c>
      <c r="I311" s="4" t="str">
        <f t="shared" si="16"/>
        <v>Admis</v>
      </c>
      <c r="J311" s="4" t="str">
        <f t="shared" si="17"/>
        <v>Non eligible</v>
      </c>
      <c r="K311">
        <v>13.74</v>
      </c>
      <c r="L311" s="6" t="str">
        <f t="shared" si="18"/>
        <v>RAS</v>
      </c>
      <c r="M311" s="6" t="str">
        <f t="shared" si="19"/>
        <v>Data</v>
      </c>
      <c r="N311" s="8" t="str" cm="1">
        <f t="array" ref="N311">_xlfn.IFS(H311&gt;=16,"Excellent",H311&gt;=14,"Très bien",H311&gt;=12,"Bien",H311&gt;=10,"Passable",TRUE,"Insuffisant")</f>
        <v>Passable</v>
      </c>
      <c r="O311">
        <v>0.64239999999999997</v>
      </c>
      <c r="P311">
        <v>130000</v>
      </c>
      <c r="Q311" s="2">
        <v>46161</v>
      </c>
    </row>
    <row r="312" spans="1:17" x14ac:dyDescent="0.45">
      <c r="A312" t="s">
        <v>532</v>
      </c>
      <c r="B312" t="s">
        <v>533</v>
      </c>
      <c r="C312" t="s">
        <v>19</v>
      </c>
      <c r="D312" t="s">
        <v>47</v>
      </c>
      <c r="E312" t="s">
        <v>29</v>
      </c>
      <c r="F312">
        <v>20</v>
      </c>
      <c r="G312">
        <v>20</v>
      </c>
      <c r="H312">
        <v>18.260000000000002</v>
      </c>
      <c r="I312" s="4" t="str">
        <f t="shared" si="16"/>
        <v>Admis</v>
      </c>
      <c r="J312" s="4" t="str">
        <f t="shared" si="17"/>
        <v>Eligible</v>
      </c>
      <c r="K312">
        <v>17.190000000000001</v>
      </c>
      <c r="L312" s="6" t="str">
        <f t="shared" si="18"/>
        <v>RAS</v>
      </c>
      <c r="M312" s="6" t="str">
        <f t="shared" si="19"/>
        <v>Hors Data</v>
      </c>
      <c r="N312" s="8" t="str" cm="1">
        <f t="array" ref="N312">_xlfn.IFS(H312&gt;=16,"Excellent",H312&gt;=14,"Très bien",H312&gt;=12,"Bien",H312&gt;=10,"Passable",TRUE,"Insuffisant")</f>
        <v>Excellent</v>
      </c>
      <c r="O312">
        <v>0.91190000000000004</v>
      </c>
      <c r="P312">
        <v>50000</v>
      </c>
      <c r="Q312" s="2">
        <v>46177</v>
      </c>
    </row>
    <row r="313" spans="1:17" x14ac:dyDescent="0.45">
      <c r="A313" t="s">
        <v>534</v>
      </c>
      <c r="B313" t="s">
        <v>535</v>
      </c>
      <c r="C313" t="s">
        <v>19</v>
      </c>
      <c r="D313" t="s">
        <v>32</v>
      </c>
      <c r="E313" t="s">
        <v>16</v>
      </c>
      <c r="F313">
        <v>16.07</v>
      </c>
      <c r="G313">
        <v>11.43</v>
      </c>
      <c r="H313">
        <v>16.62</v>
      </c>
      <c r="I313" s="4" t="str">
        <f t="shared" si="16"/>
        <v>Admis</v>
      </c>
      <c r="J313" s="4" t="str">
        <f t="shared" si="17"/>
        <v>Eligible</v>
      </c>
      <c r="K313">
        <v>16.760000000000002</v>
      </c>
      <c r="L313" s="6" t="str">
        <f t="shared" si="18"/>
        <v>RAS</v>
      </c>
      <c r="M313" s="6" t="str">
        <f t="shared" si="19"/>
        <v>Data</v>
      </c>
      <c r="N313" s="8" t="str" cm="1">
        <f t="array" ref="N313">_xlfn.IFS(H313&gt;=16,"Excellent",H313&gt;=14,"Très bien",H313&gt;=12,"Bien",H313&gt;=10,"Passable",TRUE,"Insuffisant")</f>
        <v>Excellent</v>
      </c>
      <c r="O313">
        <v>0.8952</v>
      </c>
      <c r="P313">
        <v>70000</v>
      </c>
      <c r="Q313" s="2">
        <v>45834</v>
      </c>
    </row>
    <row r="314" spans="1:17" x14ac:dyDescent="0.45">
      <c r="A314" t="s">
        <v>536</v>
      </c>
      <c r="B314" t="s">
        <v>537</v>
      </c>
      <c r="C314" t="s">
        <v>14</v>
      </c>
      <c r="D314" t="s">
        <v>28</v>
      </c>
      <c r="E314" t="s">
        <v>21</v>
      </c>
      <c r="F314">
        <v>10.78</v>
      </c>
      <c r="G314">
        <v>12.1</v>
      </c>
      <c r="H314">
        <v>12.87</v>
      </c>
      <c r="I314" s="4" t="str">
        <f t="shared" si="16"/>
        <v>Admis</v>
      </c>
      <c r="J314" s="4" t="str">
        <f t="shared" si="17"/>
        <v>Non eligible</v>
      </c>
      <c r="K314">
        <v>10.32</v>
      </c>
      <c r="L314" s="6" t="str">
        <f t="shared" si="18"/>
        <v>RAS</v>
      </c>
      <c r="M314" s="6" t="str">
        <f t="shared" si="19"/>
        <v>Hors Data</v>
      </c>
      <c r="N314" s="8" t="str" cm="1">
        <f t="array" ref="N314">_xlfn.IFS(H314&gt;=16,"Excellent",H314&gt;=14,"Très bien",H314&gt;=12,"Bien",H314&gt;=10,"Passable",TRUE,"Insuffisant")</f>
        <v>Bien</v>
      </c>
      <c r="O314">
        <v>0.88970000000000005</v>
      </c>
      <c r="P314">
        <v>130000</v>
      </c>
      <c r="Q314" s="2">
        <v>46065</v>
      </c>
    </row>
    <row r="315" spans="1:17" x14ac:dyDescent="0.45">
      <c r="A315" t="s">
        <v>538</v>
      </c>
      <c r="B315" t="s">
        <v>505</v>
      </c>
      <c r="C315" t="s">
        <v>14</v>
      </c>
      <c r="D315" t="s">
        <v>47</v>
      </c>
      <c r="E315" t="s">
        <v>29</v>
      </c>
      <c r="F315">
        <v>19.940000000000001</v>
      </c>
      <c r="G315">
        <v>20</v>
      </c>
      <c r="H315">
        <v>20</v>
      </c>
      <c r="I315" s="4" t="str">
        <f t="shared" si="16"/>
        <v>Admis</v>
      </c>
      <c r="J315" s="4" t="str">
        <f t="shared" si="17"/>
        <v>Non eligible</v>
      </c>
      <c r="K315">
        <v>15.25</v>
      </c>
      <c r="L315" s="6" t="str">
        <f t="shared" si="18"/>
        <v>RAS</v>
      </c>
      <c r="M315" s="6" t="str">
        <f t="shared" si="19"/>
        <v>Hors Data</v>
      </c>
      <c r="N315" s="8" t="str" cm="1">
        <f t="array" ref="N315">_xlfn.IFS(H315&gt;=16,"Excellent",H315&gt;=14,"Très bien",H315&gt;=12,"Bien",H315&gt;=10,"Passable",TRUE,"Insuffisant")</f>
        <v>Excellent</v>
      </c>
      <c r="O315">
        <v>0.78210000000000002</v>
      </c>
      <c r="P315">
        <v>130000</v>
      </c>
      <c r="Q315" s="2">
        <v>45765</v>
      </c>
    </row>
    <row r="316" spans="1:17" x14ac:dyDescent="0.45">
      <c r="A316" t="s">
        <v>539</v>
      </c>
      <c r="B316" t="s">
        <v>240</v>
      </c>
      <c r="C316" t="s">
        <v>14</v>
      </c>
      <c r="D316" t="s">
        <v>20</v>
      </c>
      <c r="E316" t="s">
        <v>16</v>
      </c>
      <c r="F316">
        <v>10.130000000000001</v>
      </c>
      <c r="G316">
        <v>6.44</v>
      </c>
      <c r="H316">
        <v>7.28</v>
      </c>
      <c r="I316" s="4" t="str">
        <f t="shared" si="16"/>
        <v>Non admis</v>
      </c>
      <c r="J316" s="4" t="str">
        <f t="shared" si="17"/>
        <v>Non eligible</v>
      </c>
      <c r="K316">
        <v>8.16</v>
      </c>
      <c r="L316" s="6" t="str">
        <f t="shared" si="18"/>
        <v>A surveiller</v>
      </c>
      <c r="M316" s="6" t="str">
        <f t="shared" si="19"/>
        <v>Data</v>
      </c>
      <c r="N316" s="8" t="str" cm="1">
        <f t="array" ref="N316">_xlfn.IFS(H316&gt;=16,"Excellent",H316&gt;=14,"Très bien",H316&gt;=12,"Bien",H316&gt;=10,"Passable",TRUE,"Insuffisant")</f>
        <v>Insuffisant</v>
      </c>
      <c r="O316">
        <v>0.78939999999999999</v>
      </c>
      <c r="P316">
        <v>75000</v>
      </c>
      <c r="Q316" s="2">
        <v>46054</v>
      </c>
    </row>
    <row r="317" spans="1:17" x14ac:dyDescent="0.45">
      <c r="A317" t="s">
        <v>540</v>
      </c>
      <c r="B317" t="s">
        <v>250</v>
      </c>
      <c r="C317" t="s">
        <v>19</v>
      </c>
      <c r="D317" t="s">
        <v>28</v>
      </c>
      <c r="E317" t="s">
        <v>42</v>
      </c>
      <c r="F317">
        <v>9.18</v>
      </c>
      <c r="G317">
        <v>7.74</v>
      </c>
      <c r="H317">
        <v>7.54</v>
      </c>
      <c r="I317" s="4" t="str">
        <f t="shared" si="16"/>
        <v>Non admis</v>
      </c>
      <c r="J317" s="4" t="str">
        <f t="shared" si="17"/>
        <v>Non eligible</v>
      </c>
      <c r="K317">
        <v>10.34</v>
      </c>
      <c r="L317" s="6" t="str">
        <f t="shared" si="18"/>
        <v>A surveiller</v>
      </c>
      <c r="M317" s="6" t="str">
        <f t="shared" si="19"/>
        <v>Hors Data</v>
      </c>
      <c r="N317" s="8" t="str" cm="1">
        <f t="array" ref="N317">_xlfn.IFS(H317&gt;=16,"Excellent",H317&gt;=14,"Très bien",H317&gt;=12,"Bien",H317&gt;=10,"Passable",TRUE,"Insuffisant")</f>
        <v>Insuffisant</v>
      </c>
      <c r="O317">
        <v>0.60060000000000002</v>
      </c>
      <c r="P317">
        <v>130000</v>
      </c>
      <c r="Q317" s="2">
        <v>45887</v>
      </c>
    </row>
    <row r="318" spans="1:17" x14ac:dyDescent="0.45">
      <c r="A318" t="s">
        <v>541</v>
      </c>
      <c r="B318" t="s">
        <v>417</v>
      </c>
      <c r="C318" t="s">
        <v>19</v>
      </c>
      <c r="D318" t="s">
        <v>32</v>
      </c>
      <c r="E318" t="s">
        <v>21</v>
      </c>
      <c r="F318">
        <v>16.18</v>
      </c>
      <c r="G318">
        <v>14.19</v>
      </c>
      <c r="H318">
        <v>15.55</v>
      </c>
      <c r="I318" s="4" t="str">
        <f t="shared" si="16"/>
        <v>Admis</v>
      </c>
      <c r="J318" s="4" t="str">
        <f t="shared" si="17"/>
        <v>Eligible</v>
      </c>
      <c r="K318">
        <v>19.29</v>
      </c>
      <c r="L318" s="6" t="str">
        <f t="shared" si="18"/>
        <v>RAS</v>
      </c>
      <c r="M318" s="6" t="str">
        <f t="shared" si="19"/>
        <v>Hors Data</v>
      </c>
      <c r="N318" s="8" t="str" cm="1">
        <f t="array" ref="N318">_xlfn.IFS(H318&gt;=16,"Excellent",H318&gt;=14,"Très bien",H318&gt;=12,"Bien",H318&gt;=10,"Passable",TRUE,"Insuffisant")</f>
        <v>Très bien</v>
      </c>
      <c r="O318">
        <v>0.86739999999999995</v>
      </c>
      <c r="P318">
        <v>70000</v>
      </c>
      <c r="Q318" s="2">
        <v>45572</v>
      </c>
    </row>
    <row r="319" spans="1:17" x14ac:dyDescent="0.45">
      <c r="A319" t="s">
        <v>542</v>
      </c>
      <c r="B319" t="s">
        <v>533</v>
      </c>
      <c r="C319" t="s">
        <v>19</v>
      </c>
      <c r="D319" t="s">
        <v>35</v>
      </c>
      <c r="E319" t="s">
        <v>29</v>
      </c>
      <c r="F319">
        <v>14.17</v>
      </c>
      <c r="G319">
        <v>14.81</v>
      </c>
      <c r="H319">
        <v>10.97</v>
      </c>
      <c r="I319" s="4" t="str">
        <f t="shared" si="16"/>
        <v>Admis</v>
      </c>
      <c r="J319" s="4" t="str">
        <f t="shared" si="17"/>
        <v>Non eligible</v>
      </c>
      <c r="K319">
        <v>13.66</v>
      </c>
      <c r="L319" s="6" t="str">
        <f t="shared" si="18"/>
        <v>RAS</v>
      </c>
      <c r="M319" s="6" t="str">
        <f t="shared" si="19"/>
        <v>Hors Data</v>
      </c>
      <c r="N319" s="8" t="str" cm="1">
        <f t="array" ref="N319">_xlfn.IFS(H319&gt;=16,"Excellent",H319&gt;=14,"Très bien",H319&gt;=12,"Bien",H319&gt;=10,"Passable",TRUE,"Insuffisant")</f>
        <v>Passable</v>
      </c>
      <c r="O319">
        <v>0.98650000000000004</v>
      </c>
      <c r="P319">
        <v>50000</v>
      </c>
      <c r="Q319" s="2">
        <v>45828</v>
      </c>
    </row>
    <row r="320" spans="1:17" x14ac:dyDescent="0.45">
      <c r="A320" t="s">
        <v>543</v>
      </c>
      <c r="B320" t="s">
        <v>544</v>
      </c>
      <c r="C320" t="s">
        <v>19</v>
      </c>
      <c r="D320" t="s">
        <v>28</v>
      </c>
      <c r="E320" t="s">
        <v>21</v>
      </c>
      <c r="F320">
        <v>14.03</v>
      </c>
      <c r="G320">
        <v>12.98</v>
      </c>
      <c r="H320">
        <v>12.12</v>
      </c>
      <c r="I320" s="4" t="str">
        <f t="shared" si="16"/>
        <v>Admis</v>
      </c>
      <c r="J320" s="4" t="str">
        <f t="shared" si="17"/>
        <v>Eligible</v>
      </c>
      <c r="K320">
        <v>18.14</v>
      </c>
      <c r="L320" s="6" t="str">
        <f t="shared" si="18"/>
        <v>RAS</v>
      </c>
      <c r="M320" s="6" t="str">
        <f t="shared" si="19"/>
        <v>Hors Data</v>
      </c>
      <c r="N320" s="8" t="str" cm="1">
        <f t="array" ref="N320">_xlfn.IFS(H320&gt;=16,"Excellent",H320&gt;=14,"Très bien",H320&gt;=12,"Bien",H320&gt;=10,"Passable",TRUE,"Insuffisant")</f>
        <v>Bien</v>
      </c>
      <c r="O320">
        <v>0.87139999999999995</v>
      </c>
      <c r="P320">
        <v>75000</v>
      </c>
      <c r="Q320" s="2">
        <v>45863</v>
      </c>
    </row>
    <row r="321" spans="1:17" x14ac:dyDescent="0.45">
      <c r="A321" t="s">
        <v>545</v>
      </c>
      <c r="B321" t="s">
        <v>546</v>
      </c>
      <c r="C321" t="s">
        <v>19</v>
      </c>
      <c r="D321" t="s">
        <v>20</v>
      </c>
      <c r="E321" t="s">
        <v>42</v>
      </c>
      <c r="F321">
        <v>11.2</v>
      </c>
      <c r="G321">
        <v>9.7799999999999994</v>
      </c>
      <c r="H321">
        <v>8.82</v>
      </c>
      <c r="I321" s="4" t="str">
        <f t="shared" si="16"/>
        <v>Non admis</v>
      </c>
      <c r="J321" s="4" t="str">
        <f t="shared" si="17"/>
        <v>Non eligible</v>
      </c>
      <c r="K321">
        <v>9.0500000000000007</v>
      </c>
      <c r="L321" s="6" t="str">
        <f t="shared" si="18"/>
        <v>A surveiller</v>
      </c>
      <c r="M321" s="6" t="str">
        <f t="shared" si="19"/>
        <v>Hors Data</v>
      </c>
      <c r="N321" s="8" t="str" cm="1">
        <f t="array" ref="N321">_xlfn.IFS(H321&gt;=16,"Excellent",H321&gt;=14,"Très bien",H321&gt;=12,"Bien",H321&gt;=10,"Passable",TRUE,"Insuffisant")</f>
        <v>Insuffisant</v>
      </c>
      <c r="O321">
        <v>0.96179999999999999</v>
      </c>
      <c r="P321">
        <v>85000</v>
      </c>
      <c r="Q321" s="2">
        <v>45716</v>
      </c>
    </row>
    <row r="322" spans="1:17" x14ac:dyDescent="0.45">
      <c r="A322" t="s">
        <v>547</v>
      </c>
      <c r="B322" t="s">
        <v>169</v>
      </c>
      <c r="C322" t="s">
        <v>14</v>
      </c>
      <c r="D322" t="s">
        <v>32</v>
      </c>
      <c r="E322" t="s">
        <v>42</v>
      </c>
      <c r="F322">
        <v>13.5</v>
      </c>
      <c r="G322">
        <v>15.7</v>
      </c>
      <c r="H322">
        <v>16.13</v>
      </c>
      <c r="I322" s="4" t="str">
        <f t="shared" si="16"/>
        <v>Admis</v>
      </c>
      <c r="J322" s="4" t="str">
        <f t="shared" si="17"/>
        <v>Non eligible</v>
      </c>
      <c r="K322">
        <v>15.75</v>
      </c>
      <c r="L322" s="6" t="str">
        <f t="shared" si="18"/>
        <v>RAS</v>
      </c>
      <c r="M322" s="6" t="str">
        <f t="shared" si="19"/>
        <v>Hors Data</v>
      </c>
      <c r="N322" s="8" t="str" cm="1">
        <f t="array" ref="N322">_xlfn.IFS(H322&gt;=16,"Excellent",H322&gt;=14,"Très bien",H322&gt;=12,"Bien",H322&gt;=10,"Passable",TRUE,"Insuffisant")</f>
        <v>Excellent</v>
      </c>
      <c r="O322">
        <v>0.55000000000000004</v>
      </c>
      <c r="P322">
        <v>50000</v>
      </c>
      <c r="Q322" s="2">
        <v>45798</v>
      </c>
    </row>
    <row r="323" spans="1:17" x14ac:dyDescent="0.45">
      <c r="A323" t="s">
        <v>548</v>
      </c>
      <c r="B323" t="s">
        <v>549</v>
      </c>
      <c r="C323" t="s">
        <v>14</v>
      </c>
      <c r="D323" t="s">
        <v>20</v>
      </c>
      <c r="E323" t="s">
        <v>29</v>
      </c>
      <c r="F323">
        <v>17.239999999999998</v>
      </c>
      <c r="G323">
        <v>17.97</v>
      </c>
      <c r="H323">
        <v>19.239999999999998</v>
      </c>
      <c r="I323" s="4" t="str">
        <f t="shared" ref="I323:I386" si="20">IF(H323&gt;=10,"Admis","Non admis")</f>
        <v>Admis</v>
      </c>
      <c r="J323" s="4" t="str">
        <f t="shared" ref="J323:J386" si="21">IF(AND(F323&gt;=12,H323&gt;=12,O323&gt;=0.8),"Eligible","Non eligible")</f>
        <v>Non eligible</v>
      </c>
      <c r="K323">
        <v>16.940000000000001</v>
      </c>
      <c r="L323" s="6" t="str">
        <f t="shared" ref="L323:L386" si="22">IF(OR(F323&lt;10,H323&lt;10),"A surveiller","RAS")</f>
        <v>RAS</v>
      </c>
      <c r="M323" s="6" t="str">
        <f t="shared" ref="M323:M386" si="23">IF(NOT(E323="Data"),"Hors Data","Data")</f>
        <v>Hors Data</v>
      </c>
      <c r="N323" s="8" t="str" cm="1">
        <f t="array" ref="N323">_xlfn.IFS(H323&gt;=16,"Excellent",H323&gt;=14,"Très bien",H323&gt;=12,"Bien",H323&gt;=10,"Passable",TRUE,"Insuffisant")</f>
        <v>Excellent</v>
      </c>
      <c r="O323">
        <v>0.67400000000000004</v>
      </c>
      <c r="P323">
        <v>60000</v>
      </c>
      <c r="Q323" s="2">
        <v>45887</v>
      </c>
    </row>
    <row r="324" spans="1:17" x14ac:dyDescent="0.45">
      <c r="A324" t="s">
        <v>550</v>
      </c>
      <c r="B324" t="s">
        <v>551</v>
      </c>
      <c r="C324" t="s">
        <v>19</v>
      </c>
      <c r="D324" t="s">
        <v>28</v>
      </c>
      <c r="E324" t="s">
        <v>16</v>
      </c>
      <c r="F324">
        <v>13.5</v>
      </c>
      <c r="G324">
        <v>17.940000000000001</v>
      </c>
      <c r="H324">
        <v>14.94</v>
      </c>
      <c r="I324" s="4" t="str">
        <f t="shared" si="20"/>
        <v>Admis</v>
      </c>
      <c r="J324" s="4" t="str">
        <f t="shared" si="21"/>
        <v>Eligible</v>
      </c>
      <c r="K324">
        <v>16.63</v>
      </c>
      <c r="L324" s="6" t="str">
        <f t="shared" si="22"/>
        <v>RAS</v>
      </c>
      <c r="M324" s="6" t="str">
        <f t="shared" si="23"/>
        <v>Data</v>
      </c>
      <c r="N324" s="8" t="str" cm="1">
        <f t="array" ref="N324">_xlfn.IFS(H324&gt;=16,"Excellent",H324&gt;=14,"Très bien",H324&gt;=12,"Bien",H324&gt;=10,"Passable",TRUE,"Insuffisant")</f>
        <v>Très bien</v>
      </c>
      <c r="O324">
        <v>0.8901</v>
      </c>
      <c r="P324">
        <v>110000</v>
      </c>
      <c r="Q324" s="2">
        <v>45570</v>
      </c>
    </row>
    <row r="325" spans="1:17" x14ac:dyDescent="0.45">
      <c r="A325" t="s">
        <v>552</v>
      </c>
      <c r="B325" t="s">
        <v>176</v>
      </c>
      <c r="C325" t="s">
        <v>19</v>
      </c>
      <c r="D325" t="s">
        <v>35</v>
      </c>
      <c r="E325" t="s">
        <v>29</v>
      </c>
      <c r="F325">
        <v>12.32</v>
      </c>
      <c r="G325">
        <v>16.18</v>
      </c>
      <c r="H325">
        <v>16.87</v>
      </c>
      <c r="I325" s="4" t="str">
        <f t="shared" si="20"/>
        <v>Admis</v>
      </c>
      <c r="J325" s="4" t="str">
        <f t="shared" si="21"/>
        <v>Non eligible</v>
      </c>
      <c r="K325">
        <v>8.7200000000000006</v>
      </c>
      <c r="L325" s="6" t="str">
        <f t="shared" si="22"/>
        <v>RAS</v>
      </c>
      <c r="M325" s="6" t="str">
        <f t="shared" si="23"/>
        <v>Hors Data</v>
      </c>
      <c r="N325" s="8" t="str" cm="1">
        <f t="array" ref="N325">_xlfn.IFS(H325&gt;=16,"Excellent",H325&gt;=14,"Très bien",H325&gt;=12,"Bien",H325&gt;=10,"Passable",TRUE,"Insuffisant")</f>
        <v>Excellent</v>
      </c>
      <c r="O325">
        <v>0.66690000000000005</v>
      </c>
      <c r="P325">
        <v>90000</v>
      </c>
      <c r="Q325" s="2">
        <v>45642</v>
      </c>
    </row>
    <row r="326" spans="1:17" x14ac:dyDescent="0.45">
      <c r="A326" t="s">
        <v>553</v>
      </c>
      <c r="B326" t="s">
        <v>73</v>
      </c>
      <c r="C326" t="s">
        <v>19</v>
      </c>
      <c r="D326" t="s">
        <v>15</v>
      </c>
      <c r="E326" t="s">
        <v>21</v>
      </c>
      <c r="F326">
        <v>12.76</v>
      </c>
      <c r="G326">
        <v>14.99</v>
      </c>
      <c r="H326">
        <v>15.88</v>
      </c>
      <c r="I326" s="4" t="str">
        <f t="shared" si="20"/>
        <v>Admis</v>
      </c>
      <c r="J326" s="4" t="str">
        <f t="shared" si="21"/>
        <v>Eligible</v>
      </c>
      <c r="K326">
        <v>9.6999999999999993</v>
      </c>
      <c r="L326" s="6" t="str">
        <f t="shared" si="22"/>
        <v>RAS</v>
      </c>
      <c r="M326" s="6" t="str">
        <f t="shared" si="23"/>
        <v>Hors Data</v>
      </c>
      <c r="N326" s="8" t="str" cm="1">
        <f t="array" ref="N326">_xlfn.IFS(H326&gt;=16,"Excellent",H326&gt;=14,"Très bien",H326&gt;=12,"Bien",H326&gt;=10,"Passable",TRUE,"Insuffisant")</f>
        <v>Très bien</v>
      </c>
      <c r="O326">
        <v>0.92649999999999999</v>
      </c>
      <c r="P326">
        <v>90000</v>
      </c>
      <c r="Q326" s="2">
        <v>46072</v>
      </c>
    </row>
    <row r="327" spans="1:17" x14ac:dyDescent="0.45">
      <c r="A327" t="s">
        <v>554</v>
      </c>
      <c r="B327" t="s">
        <v>63</v>
      </c>
      <c r="C327" t="s">
        <v>14</v>
      </c>
      <c r="D327" t="s">
        <v>20</v>
      </c>
      <c r="E327" t="s">
        <v>21</v>
      </c>
      <c r="F327">
        <v>12.34</v>
      </c>
      <c r="G327">
        <v>13.1</v>
      </c>
      <c r="H327">
        <v>15.36</v>
      </c>
      <c r="I327" s="4" t="str">
        <f t="shared" si="20"/>
        <v>Admis</v>
      </c>
      <c r="J327" s="4" t="str">
        <f t="shared" si="21"/>
        <v>Eligible</v>
      </c>
      <c r="K327">
        <v>13.32</v>
      </c>
      <c r="L327" s="6" t="str">
        <f t="shared" si="22"/>
        <v>RAS</v>
      </c>
      <c r="M327" s="6" t="str">
        <f t="shared" si="23"/>
        <v>Hors Data</v>
      </c>
      <c r="N327" s="8" t="str" cm="1">
        <f t="array" ref="N327">_xlfn.IFS(H327&gt;=16,"Excellent",H327&gt;=14,"Très bien",H327&gt;=12,"Bien",H327&gt;=10,"Passable",TRUE,"Insuffisant")</f>
        <v>Très bien</v>
      </c>
      <c r="O327">
        <v>0.9254</v>
      </c>
      <c r="P327">
        <v>130000</v>
      </c>
      <c r="Q327" s="2">
        <v>45782</v>
      </c>
    </row>
    <row r="328" spans="1:17" x14ac:dyDescent="0.45">
      <c r="A328" t="s">
        <v>555</v>
      </c>
      <c r="B328" t="s">
        <v>556</v>
      </c>
      <c r="C328" t="s">
        <v>14</v>
      </c>
      <c r="D328" t="s">
        <v>15</v>
      </c>
      <c r="E328" t="s">
        <v>21</v>
      </c>
      <c r="F328">
        <v>8.01</v>
      </c>
      <c r="G328">
        <v>15.07</v>
      </c>
      <c r="H328">
        <v>5.86</v>
      </c>
      <c r="I328" s="4" t="str">
        <f t="shared" si="20"/>
        <v>Non admis</v>
      </c>
      <c r="J328" s="4" t="str">
        <f t="shared" si="21"/>
        <v>Non eligible</v>
      </c>
      <c r="K328">
        <v>4.55</v>
      </c>
      <c r="L328" s="6" t="str">
        <f t="shared" si="22"/>
        <v>A surveiller</v>
      </c>
      <c r="M328" s="6" t="str">
        <f t="shared" si="23"/>
        <v>Hors Data</v>
      </c>
      <c r="N328" s="8" t="str" cm="1">
        <f t="array" ref="N328">_xlfn.IFS(H328&gt;=16,"Excellent",H328&gt;=14,"Très bien",H328&gt;=12,"Bien",H328&gt;=10,"Passable",TRUE,"Insuffisant")</f>
        <v>Insuffisant</v>
      </c>
      <c r="O328">
        <v>0.89339999999999997</v>
      </c>
      <c r="P328">
        <v>70000</v>
      </c>
      <c r="Q328" s="2">
        <v>45961</v>
      </c>
    </row>
    <row r="329" spans="1:17" x14ac:dyDescent="0.45">
      <c r="A329" t="s">
        <v>557</v>
      </c>
      <c r="B329" t="s">
        <v>558</v>
      </c>
      <c r="C329" t="s">
        <v>14</v>
      </c>
      <c r="D329" t="s">
        <v>47</v>
      </c>
      <c r="E329" t="s">
        <v>21</v>
      </c>
      <c r="F329">
        <v>15.32</v>
      </c>
      <c r="G329">
        <v>16.940000000000001</v>
      </c>
      <c r="H329">
        <v>13.33</v>
      </c>
      <c r="I329" s="4" t="str">
        <f t="shared" si="20"/>
        <v>Admis</v>
      </c>
      <c r="J329" s="4" t="str">
        <f t="shared" si="21"/>
        <v>Eligible</v>
      </c>
      <c r="K329">
        <v>15.06</v>
      </c>
      <c r="L329" s="6" t="str">
        <f t="shared" si="22"/>
        <v>RAS</v>
      </c>
      <c r="M329" s="6" t="str">
        <f t="shared" si="23"/>
        <v>Hors Data</v>
      </c>
      <c r="N329" s="8" t="str" cm="1">
        <f t="array" ref="N329">_xlfn.IFS(H329&gt;=16,"Excellent",H329&gt;=14,"Très bien",H329&gt;=12,"Bien",H329&gt;=10,"Passable",TRUE,"Insuffisant")</f>
        <v>Bien</v>
      </c>
      <c r="O329">
        <v>0.80220000000000002</v>
      </c>
      <c r="P329">
        <v>120000</v>
      </c>
      <c r="Q329" s="2">
        <v>45932</v>
      </c>
    </row>
    <row r="330" spans="1:17" x14ac:dyDescent="0.45">
      <c r="A330" t="s">
        <v>559</v>
      </c>
      <c r="B330" t="s">
        <v>376</v>
      </c>
      <c r="C330" t="s">
        <v>14</v>
      </c>
      <c r="D330" t="s">
        <v>47</v>
      </c>
      <c r="E330" t="s">
        <v>29</v>
      </c>
      <c r="F330">
        <v>14.49</v>
      </c>
      <c r="G330">
        <v>16.98</v>
      </c>
      <c r="H330">
        <v>20</v>
      </c>
      <c r="I330" s="4" t="str">
        <f t="shared" si="20"/>
        <v>Admis</v>
      </c>
      <c r="J330" s="4" t="str">
        <f t="shared" si="21"/>
        <v>Non eligible</v>
      </c>
      <c r="K330">
        <v>17.760000000000002</v>
      </c>
      <c r="L330" s="6" t="str">
        <f t="shared" si="22"/>
        <v>RAS</v>
      </c>
      <c r="M330" s="6" t="str">
        <f t="shared" si="23"/>
        <v>Hors Data</v>
      </c>
      <c r="N330" s="8" t="str" cm="1">
        <f t="array" ref="N330">_xlfn.IFS(H330&gt;=16,"Excellent",H330&gt;=14,"Très bien",H330&gt;=12,"Bien",H330&gt;=10,"Passable",TRUE,"Insuffisant")</f>
        <v>Excellent</v>
      </c>
      <c r="O330">
        <v>0.67269999999999996</v>
      </c>
      <c r="P330">
        <v>75000</v>
      </c>
      <c r="Q330" s="2">
        <v>45921</v>
      </c>
    </row>
    <row r="331" spans="1:17" x14ac:dyDescent="0.45">
      <c r="A331" t="s">
        <v>560</v>
      </c>
      <c r="B331" t="s">
        <v>546</v>
      </c>
      <c r="C331" t="s">
        <v>19</v>
      </c>
      <c r="D331" t="s">
        <v>35</v>
      </c>
      <c r="E331" t="s">
        <v>29</v>
      </c>
      <c r="F331">
        <v>12.31</v>
      </c>
      <c r="G331">
        <v>7.56</v>
      </c>
      <c r="H331">
        <v>9.82</v>
      </c>
      <c r="I331" s="4" t="str">
        <f t="shared" si="20"/>
        <v>Non admis</v>
      </c>
      <c r="J331" s="4" t="str">
        <f t="shared" si="21"/>
        <v>Non eligible</v>
      </c>
      <c r="K331">
        <v>7.89</v>
      </c>
      <c r="L331" s="6" t="str">
        <f t="shared" si="22"/>
        <v>A surveiller</v>
      </c>
      <c r="M331" s="6" t="str">
        <f t="shared" si="23"/>
        <v>Hors Data</v>
      </c>
      <c r="N331" s="8" t="str" cm="1">
        <f t="array" ref="N331">_xlfn.IFS(H331&gt;=16,"Excellent",H331&gt;=14,"Très bien",H331&gt;=12,"Bien",H331&gt;=10,"Passable",TRUE,"Insuffisant")</f>
        <v>Insuffisant</v>
      </c>
      <c r="O331">
        <v>0.85360000000000003</v>
      </c>
      <c r="P331">
        <v>130000</v>
      </c>
      <c r="Q331" s="2">
        <v>45825</v>
      </c>
    </row>
    <row r="332" spans="1:17" x14ac:dyDescent="0.45">
      <c r="A332" t="s">
        <v>561</v>
      </c>
      <c r="B332" t="s">
        <v>264</v>
      </c>
      <c r="C332" t="s">
        <v>19</v>
      </c>
      <c r="D332" t="s">
        <v>20</v>
      </c>
      <c r="E332" t="s">
        <v>21</v>
      </c>
      <c r="F332">
        <v>11.06</v>
      </c>
      <c r="G332">
        <v>11.83</v>
      </c>
      <c r="H332">
        <v>11.26</v>
      </c>
      <c r="I332" s="4" t="str">
        <f t="shared" si="20"/>
        <v>Admis</v>
      </c>
      <c r="J332" s="4" t="str">
        <f t="shared" si="21"/>
        <v>Non eligible</v>
      </c>
      <c r="K332">
        <v>9.42</v>
      </c>
      <c r="L332" s="6" t="str">
        <f t="shared" si="22"/>
        <v>RAS</v>
      </c>
      <c r="M332" s="6" t="str">
        <f t="shared" si="23"/>
        <v>Hors Data</v>
      </c>
      <c r="N332" s="8" t="str" cm="1">
        <f t="array" ref="N332">_xlfn.IFS(H332&gt;=16,"Excellent",H332&gt;=14,"Très bien",H332&gt;=12,"Bien",H332&gt;=10,"Passable",TRUE,"Insuffisant")</f>
        <v>Passable</v>
      </c>
      <c r="O332">
        <v>0.78349999999999997</v>
      </c>
      <c r="P332">
        <v>110000</v>
      </c>
      <c r="Q332" s="2">
        <v>45874</v>
      </c>
    </row>
    <row r="333" spans="1:17" x14ac:dyDescent="0.45">
      <c r="A333" t="s">
        <v>562</v>
      </c>
      <c r="B333" t="s">
        <v>447</v>
      </c>
      <c r="C333" t="s">
        <v>14</v>
      </c>
      <c r="D333" t="s">
        <v>15</v>
      </c>
      <c r="E333" t="s">
        <v>42</v>
      </c>
      <c r="F333">
        <v>9.31</v>
      </c>
      <c r="G333">
        <v>13.8</v>
      </c>
      <c r="H333">
        <v>12.04</v>
      </c>
      <c r="I333" s="4" t="str">
        <f t="shared" si="20"/>
        <v>Admis</v>
      </c>
      <c r="J333" s="4" t="str">
        <f t="shared" si="21"/>
        <v>Non eligible</v>
      </c>
      <c r="K333">
        <v>9.1199999999999992</v>
      </c>
      <c r="L333" s="6" t="str">
        <f t="shared" si="22"/>
        <v>A surveiller</v>
      </c>
      <c r="M333" s="6" t="str">
        <f t="shared" si="23"/>
        <v>Hors Data</v>
      </c>
      <c r="N333" s="8" t="str" cm="1">
        <f t="array" ref="N333">_xlfn.IFS(H333&gt;=16,"Excellent",H333&gt;=14,"Très bien",H333&gt;=12,"Bien",H333&gt;=10,"Passable",TRUE,"Insuffisant")</f>
        <v>Bien</v>
      </c>
      <c r="O333">
        <v>0.83299999999999996</v>
      </c>
      <c r="P333">
        <v>70000</v>
      </c>
      <c r="Q333" s="2">
        <v>46112</v>
      </c>
    </row>
    <row r="334" spans="1:17" x14ac:dyDescent="0.45">
      <c r="A334" t="s">
        <v>563</v>
      </c>
      <c r="B334" t="s">
        <v>214</v>
      </c>
      <c r="C334" t="s">
        <v>14</v>
      </c>
      <c r="D334" t="s">
        <v>20</v>
      </c>
      <c r="E334" t="s">
        <v>29</v>
      </c>
      <c r="F334">
        <v>11.86</v>
      </c>
      <c r="G334">
        <v>14.96</v>
      </c>
      <c r="H334">
        <v>13.21</v>
      </c>
      <c r="I334" s="4" t="str">
        <f t="shared" si="20"/>
        <v>Admis</v>
      </c>
      <c r="J334" s="4" t="str">
        <f t="shared" si="21"/>
        <v>Non eligible</v>
      </c>
      <c r="K334">
        <v>8.57</v>
      </c>
      <c r="L334" s="6" t="str">
        <f t="shared" si="22"/>
        <v>RAS</v>
      </c>
      <c r="M334" s="6" t="str">
        <f t="shared" si="23"/>
        <v>Hors Data</v>
      </c>
      <c r="N334" s="8" t="str" cm="1">
        <f t="array" ref="N334">_xlfn.IFS(H334&gt;=16,"Excellent",H334&gt;=14,"Très bien",H334&gt;=12,"Bien",H334&gt;=10,"Passable",TRUE,"Insuffisant")</f>
        <v>Bien</v>
      </c>
      <c r="O334">
        <v>0.95879999999999999</v>
      </c>
      <c r="P334">
        <v>70000</v>
      </c>
      <c r="Q334" s="2">
        <v>46211</v>
      </c>
    </row>
    <row r="335" spans="1:17" x14ac:dyDescent="0.45">
      <c r="A335" t="s">
        <v>564</v>
      </c>
      <c r="B335" t="s">
        <v>105</v>
      </c>
      <c r="C335" t="s">
        <v>19</v>
      </c>
      <c r="D335" t="s">
        <v>47</v>
      </c>
      <c r="E335" t="s">
        <v>29</v>
      </c>
      <c r="F335">
        <v>9.61</v>
      </c>
      <c r="G335">
        <v>17.3</v>
      </c>
      <c r="H335">
        <v>12.59</v>
      </c>
      <c r="I335" s="4" t="str">
        <f t="shared" si="20"/>
        <v>Admis</v>
      </c>
      <c r="J335" s="4" t="str">
        <f t="shared" si="21"/>
        <v>Non eligible</v>
      </c>
      <c r="K335">
        <v>13.33</v>
      </c>
      <c r="L335" s="6" t="str">
        <f t="shared" si="22"/>
        <v>A surveiller</v>
      </c>
      <c r="M335" s="6" t="str">
        <f t="shared" si="23"/>
        <v>Hors Data</v>
      </c>
      <c r="N335" s="8" t="str" cm="1">
        <f t="array" ref="N335">_xlfn.IFS(H335&gt;=16,"Excellent",H335&gt;=14,"Très bien",H335&gt;=12,"Bien",H335&gt;=10,"Passable",TRUE,"Insuffisant")</f>
        <v>Bien</v>
      </c>
      <c r="O335">
        <v>0.95950000000000002</v>
      </c>
      <c r="P335">
        <v>85000</v>
      </c>
      <c r="Q335" s="2">
        <v>45715</v>
      </c>
    </row>
    <row r="336" spans="1:17" x14ac:dyDescent="0.45">
      <c r="A336" t="s">
        <v>565</v>
      </c>
      <c r="B336" t="s">
        <v>314</v>
      </c>
      <c r="C336" t="s">
        <v>14</v>
      </c>
      <c r="D336" t="s">
        <v>47</v>
      </c>
      <c r="E336" t="s">
        <v>21</v>
      </c>
      <c r="F336">
        <v>5.92</v>
      </c>
      <c r="G336">
        <v>9.7899999999999991</v>
      </c>
      <c r="H336">
        <v>8.35</v>
      </c>
      <c r="I336" s="4" t="str">
        <f t="shared" si="20"/>
        <v>Non admis</v>
      </c>
      <c r="J336" s="4" t="str">
        <f t="shared" si="21"/>
        <v>Non eligible</v>
      </c>
      <c r="K336">
        <v>7.79</v>
      </c>
      <c r="L336" s="6" t="str">
        <f t="shared" si="22"/>
        <v>A surveiller</v>
      </c>
      <c r="M336" s="6" t="str">
        <f t="shared" si="23"/>
        <v>Hors Data</v>
      </c>
      <c r="N336" s="8" t="str" cm="1">
        <f t="array" ref="N336">_xlfn.IFS(H336&gt;=16,"Excellent",H336&gt;=14,"Très bien",H336&gt;=12,"Bien",H336&gt;=10,"Passable",TRUE,"Insuffisant")</f>
        <v>Insuffisant</v>
      </c>
      <c r="O336">
        <v>0.93059999999999998</v>
      </c>
      <c r="P336">
        <v>85000</v>
      </c>
      <c r="Q336" s="2">
        <v>46004</v>
      </c>
    </row>
    <row r="337" spans="1:17" x14ac:dyDescent="0.45">
      <c r="A337" t="s">
        <v>566</v>
      </c>
      <c r="B337" t="s">
        <v>471</v>
      </c>
      <c r="C337" t="s">
        <v>19</v>
      </c>
      <c r="D337" t="s">
        <v>28</v>
      </c>
      <c r="E337" t="s">
        <v>16</v>
      </c>
      <c r="F337">
        <v>17.38</v>
      </c>
      <c r="G337">
        <v>12.86</v>
      </c>
      <c r="H337">
        <v>17.46</v>
      </c>
      <c r="I337" s="4" t="str">
        <f t="shared" si="20"/>
        <v>Admis</v>
      </c>
      <c r="J337" s="4" t="str">
        <f t="shared" si="21"/>
        <v>Eligible</v>
      </c>
      <c r="K337">
        <v>14.45</v>
      </c>
      <c r="L337" s="6" t="str">
        <f t="shared" si="22"/>
        <v>RAS</v>
      </c>
      <c r="M337" s="6" t="str">
        <f t="shared" si="23"/>
        <v>Data</v>
      </c>
      <c r="N337" s="8" t="str" cm="1">
        <f t="array" ref="N337">_xlfn.IFS(H337&gt;=16,"Excellent",H337&gt;=14,"Très bien",H337&gt;=12,"Bien",H337&gt;=10,"Passable",TRUE,"Insuffisant")</f>
        <v>Excellent</v>
      </c>
      <c r="O337">
        <v>0.84789999999999999</v>
      </c>
      <c r="P337">
        <v>70000</v>
      </c>
      <c r="Q337" s="2">
        <v>46214</v>
      </c>
    </row>
    <row r="338" spans="1:17" x14ac:dyDescent="0.45">
      <c r="A338" t="s">
        <v>567</v>
      </c>
      <c r="B338" t="s">
        <v>479</v>
      </c>
      <c r="C338" t="s">
        <v>19</v>
      </c>
      <c r="D338" t="s">
        <v>28</v>
      </c>
      <c r="E338" t="s">
        <v>16</v>
      </c>
      <c r="F338">
        <v>11.79</v>
      </c>
      <c r="G338">
        <v>17.079999999999998</v>
      </c>
      <c r="H338">
        <v>13.26</v>
      </c>
      <c r="I338" s="4" t="str">
        <f t="shared" si="20"/>
        <v>Admis</v>
      </c>
      <c r="J338" s="4" t="str">
        <f t="shared" si="21"/>
        <v>Non eligible</v>
      </c>
      <c r="K338">
        <v>19.190000000000001</v>
      </c>
      <c r="L338" s="6" t="str">
        <f t="shared" si="22"/>
        <v>RAS</v>
      </c>
      <c r="M338" s="6" t="str">
        <f t="shared" si="23"/>
        <v>Data</v>
      </c>
      <c r="N338" s="8" t="str" cm="1">
        <f t="array" ref="N338">_xlfn.IFS(H338&gt;=16,"Excellent",H338&gt;=14,"Très bien",H338&gt;=12,"Bien",H338&gt;=10,"Passable",TRUE,"Insuffisant")</f>
        <v>Bien</v>
      </c>
      <c r="O338">
        <v>0.8589</v>
      </c>
      <c r="P338">
        <v>70000</v>
      </c>
      <c r="Q338" s="2">
        <v>45541</v>
      </c>
    </row>
    <row r="339" spans="1:17" x14ac:dyDescent="0.45">
      <c r="A339" t="s">
        <v>568</v>
      </c>
      <c r="B339" t="s">
        <v>569</v>
      </c>
      <c r="C339" t="s">
        <v>14</v>
      </c>
      <c r="D339" t="s">
        <v>35</v>
      </c>
      <c r="E339" t="s">
        <v>42</v>
      </c>
      <c r="F339">
        <v>15.26</v>
      </c>
      <c r="G339">
        <v>10.47</v>
      </c>
      <c r="H339">
        <v>13.02</v>
      </c>
      <c r="I339" s="4" t="str">
        <f t="shared" si="20"/>
        <v>Admis</v>
      </c>
      <c r="J339" s="4" t="str">
        <f t="shared" si="21"/>
        <v>Non eligible</v>
      </c>
      <c r="K339">
        <v>11.11</v>
      </c>
      <c r="L339" s="6" t="str">
        <f t="shared" si="22"/>
        <v>RAS</v>
      </c>
      <c r="M339" s="6" t="str">
        <f t="shared" si="23"/>
        <v>Hors Data</v>
      </c>
      <c r="N339" s="8" t="str" cm="1">
        <f t="array" ref="N339">_xlfn.IFS(H339&gt;=16,"Excellent",H339&gt;=14,"Très bien",H339&gt;=12,"Bien",H339&gt;=10,"Passable",TRUE,"Insuffisant")</f>
        <v>Bien</v>
      </c>
      <c r="O339">
        <v>0.73309999999999997</v>
      </c>
      <c r="P339">
        <v>120000</v>
      </c>
      <c r="Q339" s="2">
        <v>46085</v>
      </c>
    </row>
    <row r="340" spans="1:17" x14ac:dyDescent="0.45">
      <c r="A340" t="s">
        <v>570</v>
      </c>
      <c r="B340" t="s">
        <v>164</v>
      </c>
      <c r="C340" t="s">
        <v>14</v>
      </c>
      <c r="D340" t="s">
        <v>20</v>
      </c>
      <c r="E340" t="s">
        <v>16</v>
      </c>
      <c r="F340">
        <v>9.8800000000000008</v>
      </c>
      <c r="G340">
        <v>3.68</v>
      </c>
      <c r="H340">
        <v>4.3</v>
      </c>
      <c r="I340" s="4" t="str">
        <f t="shared" si="20"/>
        <v>Non admis</v>
      </c>
      <c r="J340" s="4" t="str">
        <f t="shared" si="21"/>
        <v>Non eligible</v>
      </c>
      <c r="K340">
        <v>9.52</v>
      </c>
      <c r="L340" s="6" t="str">
        <f t="shared" si="22"/>
        <v>A surveiller</v>
      </c>
      <c r="M340" s="6" t="str">
        <f t="shared" si="23"/>
        <v>Data</v>
      </c>
      <c r="N340" s="8" t="str" cm="1">
        <f t="array" ref="N340">_xlfn.IFS(H340&gt;=16,"Excellent",H340&gt;=14,"Très bien",H340&gt;=12,"Bien",H340&gt;=10,"Passable",TRUE,"Insuffisant")</f>
        <v>Insuffisant</v>
      </c>
      <c r="O340">
        <v>0.80679999999999996</v>
      </c>
      <c r="P340">
        <v>110000</v>
      </c>
      <c r="Q340" s="2">
        <v>45883</v>
      </c>
    </row>
    <row r="341" spans="1:17" x14ac:dyDescent="0.45">
      <c r="A341" t="s">
        <v>571</v>
      </c>
      <c r="B341" t="s">
        <v>572</v>
      </c>
      <c r="C341" t="s">
        <v>19</v>
      </c>
      <c r="D341" t="s">
        <v>32</v>
      </c>
      <c r="E341" t="s">
        <v>16</v>
      </c>
      <c r="F341">
        <v>9.9</v>
      </c>
      <c r="G341">
        <v>11.64</v>
      </c>
      <c r="H341">
        <v>8.75</v>
      </c>
      <c r="I341" s="4" t="str">
        <f t="shared" si="20"/>
        <v>Non admis</v>
      </c>
      <c r="J341" s="4" t="str">
        <f t="shared" si="21"/>
        <v>Non eligible</v>
      </c>
      <c r="K341">
        <v>8.32</v>
      </c>
      <c r="L341" s="6" t="str">
        <f t="shared" si="22"/>
        <v>A surveiller</v>
      </c>
      <c r="M341" s="6" t="str">
        <f t="shared" si="23"/>
        <v>Data</v>
      </c>
      <c r="N341" s="8" t="str" cm="1">
        <f t="array" ref="N341">_xlfn.IFS(H341&gt;=16,"Excellent",H341&gt;=14,"Très bien",H341&gt;=12,"Bien",H341&gt;=10,"Passable",TRUE,"Insuffisant")</f>
        <v>Insuffisant</v>
      </c>
      <c r="O341">
        <v>0.95840000000000003</v>
      </c>
      <c r="P341">
        <v>70000</v>
      </c>
      <c r="Q341" s="2">
        <v>46213</v>
      </c>
    </row>
    <row r="342" spans="1:17" x14ac:dyDescent="0.45">
      <c r="A342" t="s">
        <v>573</v>
      </c>
      <c r="B342" t="s">
        <v>23</v>
      </c>
      <c r="C342" t="s">
        <v>19</v>
      </c>
      <c r="D342" t="s">
        <v>20</v>
      </c>
      <c r="E342" t="s">
        <v>21</v>
      </c>
      <c r="F342">
        <v>17.59</v>
      </c>
      <c r="G342">
        <v>18.5</v>
      </c>
      <c r="H342">
        <v>15.91</v>
      </c>
      <c r="I342" s="4" t="str">
        <f t="shared" si="20"/>
        <v>Admis</v>
      </c>
      <c r="J342" s="4" t="str">
        <f t="shared" si="21"/>
        <v>Eligible</v>
      </c>
      <c r="K342">
        <v>17.010000000000002</v>
      </c>
      <c r="L342" s="6" t="str">
        <f t="shared" si="22"/>
        <v>RAS</v>
      </c>
      <c r="M342" s="6" t="str">
        <f t="shared" si="23"/>
        <v>Hors Data</v>
      </c>
      <c r="N342" s="8" t="str" cm="1">
        <f t="array" ref="N342">_xlfn.IFS(H342&gt;=16,"Excellent",H342&gt;=14,"Très bien",H342&gt;=12,"Bien",H342&gt;=10,"Passable",TRUE,"Insuffisant")</f>
        <v>Très bien</v>
      </c>
      <c r="O342">
        <v>0.93799999999999994</v>
      </c>
      <c r="P342">
        <v>100000</v>
      </c>
      <c r="Q342" s="2">
        <v>45940</v>
      </c>
    </row>
    <row r="343" spans="1:17" x14ac:dyDescent="0.45">
      <c r="A343" t="s">
        <v>574</v>
      </c>
      <c r="B343" t="s">
        <v>575</v>
      </c>
      <c r="C343" t="s">
        <v>14</v>
      </c>
      <c r="D343" t="s">
        <v>15</v>
      </c>
      <c r="E343" t="s">
        <v>29</v>
      </c>
      <c r="F343">
        <v>8.18</v>
      </c>
      <c r="G343">
        <v>8.11</v>
      </c>
      <c r="H343">
        <v>6.97</v>
      </c>
      <c r="I343" s="4" t="str">
        <f t="shared" si="20"/>
        <v>Non admis</v>
      </c>
      <c r="J343" s="4" t="str">
        <f t="shared" si="21"/>
        <v>Non eligible</v>
      </c>
      <c r="K343">
        <v>8.2200000000000006</v>
      </c>
      <c r="L343" s="6" t="str">
        <f t="shared" si="22"/>
        <v>A surveiller</v>
      </c>
      <c r="M343" s="6" t="str">
        <f t="shared" si="23"/>
        <v>Hors Data</v>
      </c>
      <c r="N343" s="8" t="str" cm="1">
        <f t="array" ref="N343">_xlfn.IFS(H343&gt;=16,"Excellent",H343&gt;=14,"Très bien",H343&gt;=12,"Bien",H343&gt;=10,"Passable",TRUE,"Insuffisant")</f>
        <v>Insuffisant</v>
      </c>
      <c r="O343">
        <v>0.81640000000000001</v>
      </c>
      <c r="P343">
        <v>60000</v>
      </c>
      <c r="Q343" s="2">
        <v>46122</v>
      </c>
    </row>
    <row r="344" spans="1:17" x14ac:dyDescent="0.45">
      <c r="A344" t="s">
        <v>576</v>
      </c>
      <c r="B344" t="s">
        <v>237</v>
      </c>
      <c r="C344" t="s">
        <v>19</v>
      </c>
      <c r="D344" t="s">
        <v>20</v>
      </c>
      <c r="E344" t="s">
        <v>42</v>
      </c>
      <c r="F344">
        <v>11.5</v>
      </c>
      <c r="G344">
        <v>14.02</v>
      </c>
      <c r="H344">
        <v>12.02</v>
      </c>
      <c r="I344" s="4" t="str">
        <f t="shared" si="20"/>
        <v>Admis</v>
      </c>
      <c r="J344" s="4" t="str">
        <f t="shared" si="21"/>
        <v>Non eligible</v>
      </c>
      <c r="K344">
        <v>14.92</v>
      </c>
      <c r="L344" s="6" t="str">
        <f t="shared" si="22"/>
        <v>RAS</v>
      </c>
      <c r="M344" s="6" t="str">
        <f t="shared" si="23"/>
        <v>Hors Data</v>
      </c>
      <c r="N344" s="8" t="str" cm="1">
        <f t="array" ref="N344">_xlfn.IFS(H344&gt;=16,"Excellent",H344&gt;=14,"Très bien",H344&gt;=12,"Bien",H344&gt;=10,"Passable",TRUE,"Insuffisant")</f>
        <v>Bien</v>
      </c>
      <c r="O344">
        <v>0.67269999999999996</v>
      </c>
      <c r="P344">
        <v>80000</v>
      </c>
      <c r="Q344" s="2">
        <v>45652</v>
      </c>
    </row>
    <row r="345" spans="1:17" x14ac:dyDescent="0.45">
      <c r="A345" t="s">
        <v>577</v>
      </c>
      <c r="B345" t="s">
        <v>533</v>
      </c>
      <c r="C345" t="s">
        <v>19</v>
      </c>
      <c r="D345" t="s">
        <v>32</v>
      </c>
      <c r="E345" t="s">
        <v>29</v>
      </c>
      <c r="F345">
        <v>12.11</v>
      </c>
      <c r="G345">
        <v>11.77</v>
      </c>
      <c r="H345">
        <v>8.9700000000000006</v>
      </c>
      <c r="I345" s="4" t="str">
        <f t="shared" si="20"/>
        <v>Non admis</v>
      </c>
      <c r="J345" s="4" t="str">
        <f t="shared" si="21"/>
        <v>Non eligible</v>
      </c>
      <c r="K345">
        <v>9.17</v>
      </c>
      <c r="L345" s="6" t="str">
        <f t="shared" si="22"/>
        <v>A surveiller</v>
      </c>
      <c r="M345" s="6" t="str">
        <f t="shared" si="23"/>
        <v>Hors Data</v>
      </c>
      <c r="N345" s="8" t="str" cm="1">
        <f t="array" ref="N345">_xlfn.IFS(H345&gt;=16,"Excellent",H345&gt;=14,"Très bien",H345&gt;=12,"Bien",H345&gt;=10,"Passable",TRUE,"Insuffisant")</f>
        <v>Insuffisant</v>
      </c>
      <c r="O345">
        <v>0.82779999999999998</v>
      </c>
      <c r="P345">
        <v>50000</v>
      </c>
      <c r="Q345" s="2">
        <v>45635</v>
      </c>
    </row>
    <row r="346" spans="1:17" x14ac:dyDescent="0.45">
      <c r="A346" t="s">
        <v>578</v>
      </c>
      <c r="B346" t="s">
        <v>579</v>
      </c>
      <c r="C346" t="s">
        <v>19</v>
      </c>
      <c r="D346" t="s">
        <v>47</v>
      </c>
      <c r="E346" t="s">
        <v>16</v>
      </c>
      <c r="F346">
        <v>14.28</v>
      </c>
      <c r="G346">
        <v>13.99</v>
      </c>
      <c r="H346">
        <v>16.07</v>
      </c>
      <c r="I346" s="4" t="str">
        <f t="shared" si="20"/>
        <v>Admis</v>
      </c>
      <c r="J346" s="4" t="str">
        <f t="shared" si="21"/>
        <v>Non eligible</v>
      </c>
      <c r="K346">
        <v>16.87</v>
      </c>
      <c r="L346" s="6" t="str">
        <f t="shared" si="22"/>
        <v>RAS</v>
      </c>
      <c r="M346" s="6" t="str">
        <f t="shared" si="23"/>
        <v>Data</v>
      </c>
      <c r="N346" s="8" t="str" cm="1">
        <f t="array" ref="N346">_xlfn.IFS(H346&gt;=16,"Excellent",H346&gt;=14,"Très bien",H346&gt;=12,"Bien",H346&gt;=10,"Passable",TRUE,"Insuffisant")</f>
        <v>Excellent</v>
      </c>
      <c r="O346">
        <v>0.79369999999999996</v>
      </c>
      <c r="P346">
        <v>100000</v>
      </c>
      <c r="Q346" s="2">
        <v>46184</v>
      </c>
    </row>
    <row r="347" spans="1:17" x14ac:dyDescent="0.45">
      <c r="A347" t="s">
        <v>580</v>
      </c>
      <c r="B347" t="s">
        <v>372</v>
      </c>
      <c r="C347" t="s">
        <v>14</v>
      </c>
      <c r="D347" t="s">
        <v>47</v>
      </c>
      <c r="E347" t="s">
        <v>16</v>
      </c>
      <c r="F347">
        <v>10.56</v>
      </c>
      <c r="G347">
        <v>11.78</v>
      </c>
      <c r="H347">
        <v>9.2899999999999991</v>
      </c>
      <c r="I347" s="4" t="str">
        <f t="shared" si="20"/>
        <v>Non admis</v>
      </c>
      <c r="J347" s="4" t="str">
        <f t="shared" si="21"/>
        <v>Non eligible</v>
      </c>
      <c r="K347">
        <v>12.44</v>
      </c>
      <c r="L347" s="6" t="str">
        <f t="shared" si="22"/>
        <v>A surveiller</v>
      </c>
      <c r="M347" s="6" t="str">
        <f t="shared" si="23"/>
        <v>Data</v>
      </c>
      <c r="N347" s="8" t="str" cm="1">
        <f t="array" ref="N347">_xlfn.IFS(H347&gt;=16,"Excellent",H347&gt;=14,"Très bien",H347&gt;=12,"Bien",H347&gt;=10,"Passable",TRUE,"Insuffisant")</f>
        <v>Insuffisant</v>
      </c>
      <c r="O347">
        <v>0.85799999999999998</v>
      </c>
      <c r="P347">
        <v>70000</v>
      </c>
      <c r="Q347" s="2">
        <v>45904</v>
      </c>
    </row>
    <row r="348" spans="1:17" x14ac:dyDescent="0.45">
      <c r="A348" t="s">
        <v>581</v>
      </c>
      <c r="B348" t="s">
        <v>304</v>
      </c>
      <c r="C348" t="s">
        <v>19</v>
      </c>
      <c r="D348" t="s">
        <v>35</v>
      </c>
      <c r="E348" t="s">
        <v>21</v>
      </c>
      <c r="F348">
        <v>12.87</v>
      </c>
      <c r="G348">
        <v>11.72</v>
      </c>
      <c r="H348">
        <v>15.77</v>
      </c>
      <c r="I348" s="4" t="str">
        <f t="shared" si="20"/>
        <v>Admis</v>
      </c>
      <c r="J348" s="4" t="str">
        <f t="shared" si="21"/>
        <v>Eligible</v>
      </c>
      <c r="K348">
        <v>13.34</v>
      </c>
      <c r="L348" s="6" t="str">
        <f t="shared" si="22"/>
        <v>RAS</v>
      </c>
      <c r="M348" s="6" t="str">
        <f t="shared" si="23"/>
        <v>Hors Data</v>
      </c>
      <c r="N348" s="8" t="str" cm="1">
        <f t="array" ref="N348">_xlfn.IFS(H348&gt;=16,"Excellent",H348&gt;=14,"Très bien",H348&gt;=12,"Bien",H348&gt;=10,"Passable",TRUE,"Insuffisant")</f>
        <v>Très bien</v>
      </c>
      <c r="O348">
        <v>0.86880000000000002</v>
      </c>
      <c r="P348">
        <v>70000</v>
      </c>
      <c r="Q348" s="2">
        <v>45926</v>
      </c>
    </row>
    <row r="349" spans="1:17" x14ac:dyDescent="0.45">
      <c r="A349" t="s">
        <v>582</v>
      </c>
      <c r="B349" t="s">
        <v>583</v>
      </c>
      <c r="C349" t="s">
        <v>19</v>
      </c>
      <c r="D349" t="s">
        <v>47</v>
      </c>
      <c r="E349" t="s">
        <v>16</v>
      </c>
      <c r="F349">
        <v>15.84</v>
      </c>
      <c r="G349">
        <v>11.08</v>
      </c>
      <c r="H349">
        <v>17.77</v>
      </c>
      <c r="I349" s="4" t="str">
        <f t="shared" si="20"/>
        <v>Admis</v>
      </c>
      <c r="J349" s="4" t="str">
        <f t="shared" si="21"/>
        <v>Eligible</v>
      </c>
      <c r="K349">
        <v>16.34</v>
      </c>
      <c r="L349" s="6" t="str">
        <f t="shared" si="22"/>
        <v>RAS</v>
      </c>
      <c r="M349" s="6" t="str">
        <f t="shared" si="23"/>
        <v>Data</v>
      </c>
      <c r="N349" s="8" t="str" cm="1">
        <f t="array" ref="N349">_xlfn.IFS(H349&gt;=16,"Excellent",H349&gt;=14,"Très bien",H349&gt;=12,"Bien",H349&gt;=10,"Passable",TRUE,"Insuffisant")</f>
        <v>Excellent</v>
      </c>
      <c r="O349">
        <v>0.80469999999999997</v>
      </c>
      <c r="P349">
        <v>70000</v>
      </c>
      <c r="Q349" s="2">
        <v>45654</v>
      </c>
    </row>
    <row r="350" spans="1:17" x14ac:dyDescent="0.45">
      <c r="A350" t="s">
        <v>584</v>
      </c>
      <c r="B350" t="s">
        <v>39</v>
      </c>
      <c r="C350" t="s">
        <v>14</v>
      </c>
      <c r="D350" t="s">
        <v>35</v>
      </c>
      <c r="E350" t="s">
        <v>42</v>
      </c>
      <c r="F350">
        <v>20</v>
      </c>
      <c r="G350">
        <v>20</v>
      </c>
      <c r="H350">
        <v>18.670000000000002</v>
      </c>
      <c r="I350" s="4" t="str">
        <f t="shared" si="20"/>
        <v>Admis</v>
      </c>
      <c r="J350" s="4" t="str">
        <f t="shared" si="21"/>
        <v>Eligible</v>
      </c>
      <c r="K350">
        <v>20</v>
      </c>
      <c r="L350" s="6" t="str">
        <f t="shared" si="22"/>
        <v>RAS</v>
      </c>
      <c r="M350" s="6" t="str">
        <f t="shared" si="23"/>
        <v>Hors Data</v>
      </c>
      <c r="N350" s="8" t="str" cm="1">
        <f t="array" ref="N350">_xlfn.IFS(H350&gt;=16,"Excellent",H350&gt;=14,"Très bien",H350&gt;=12,"Bien",H350&gt;=10,"Passable",TRUE,"Insuffisant")</f>
        <v>Excellent</v>
      </c>
      <c r="O350">
        <v>0.9738</v>
      </c>
      <c r="P350">
        <v>70000</v>
      </c>
      <c r="Q350" s="2">
        <v>45694</v>
      </c>
    </row>
    <row r="351" spans="1:17" x14ac:dyDescent="0.45">
      <c r="A351" t="s">
        <v>585</v>
      </c>
      <c r="B351" t="s">
        <v>196</v>
      </c>
      <c r="C351" t="s">
        <v>14</v>
      </c>
      <c r="D351" t="s">
        <v>20</v>
      </c>
      <c r="E351" t="s">
        <v>29</v>
      </c>
      <c r="F351">
        <v>12.53</v>
      </c>
      <c r="G351">
        <v>11.67</v>
      </c>
      <c r="H351">
        <v>12.69</v>
      </c>
      <c r="I351" s="4" t="str">
        <f t="shared" si="20"/>
        <v>Admis</v>
      </c>
      <c r="J351" s="4" t="str">
        <f t="shared" si="21"/>
        <v>Non eligible</v>
      </c>
      <c r="K351">
        <v>13.87</v>
      </c>
      <c r="L351" s="6" t="str">
        <f t="shared" si="22"/>
        <v>RAS</v>
      </c>
      <c r="M351" s="6" t="str">
        <f t="shared" si="23"/>
        <v>Hors Data</v>
      </c>
      <c r="N351" s="8" t="str" cm="1">
        <f t="array" ref="N351">_xlfn.IFS(H351&gt;=16,"Excellent",H351&gt;=14,"Très bien",H351&gt;=12,"Bien",H351&gt;=10,"Passable",TRUE,"Insuffisant")</f>
        <v>Bien</v>
      </c>
      <c r="O351">
        <v>0.58009999999999995</v>
      </c>
      <c r="P351">
        <v>50000</v>
      </c>
      <c r="Q351" s="2">
        <v>46108</v>
      </c>
    </row>
    <row r="352" spans="1:17" x14ac:dyDescent="0.45">
      <c r="A352" t="s">
        <v>586</v>
      </c>
      <c r="B352" t="s">
        <v>473</v>
      </c>
      <c r="C352" t="s">
        <v>19</v>
      </c>
      <c r="D352" t="s">
        <v>47</v>
      </c>
      <c r="E352" t="s">
        <v>29</v>
      </c>
      <c r="F352">
        <v>11.76</v>
      </c>
      <c r="G352">
        <v>16.87</v>
      </c>
      <c r="H352">
        <v>15.57</v>
      </c>
      <c r="I352" s="4" t="str">
        <f t="shared" si="20"/>
        <v>Admis</v>
      </c>
      <c r="J352" s="4" t="str">
        <f t="shared" si="21"/>
        <v>Non eligible</v>
      </c>
      <c r="K352">
        <v>15.7</v>
      </c>
      <c r="L352" s="6" t="str">
        <f t="shared" si="22"/>
        <v>RAS</v>
      </c>
      <c r="M352" s="6" t="str">
        <f t="shared" si="23"/>
        <v>Hors Data</v>
      </c>
      <c r="N352" s="8" t="str" cm="1">
        <f t="array" ref="N352">_xlfn.IFS(H352&gt;=16,"Excellent",H352&gt;=14,"Très bien",H352&gt;=12,"Bien",H352&gt;=10,"Passable",TRUE,"Insuffisant")</f>
        <v>Très bien</v>
      </c>
      <c r="O352">
        <v>0.83930000000000005</v>
      </c>
      <c r="P352">
        <v>90000</v>
      </c>
      <c r="Q352" s="2">
        <v>45748</v>
      </c>
    </row>
    <row r="353" spans="1:17" x14ac:dyDescent="0.45">
      <c r="A353" t="s">
        <v>587</v>
      </c>
      <c r="B353" t="s">
        <v>588</v>
      </c>
      <c r="C353" t="s">
        <v>14</v>
      </c>
      <c r="D353" t="s">
        <v>35</v>
      </c>
      <c r="E353" t="s">
        <v>21</v>
      </c>
      <c r="F353">
        <v>6.96</v>
      </c>
      <c r="G353">
        <v>12.18</v>
      </c>
      <c r="H353">
        <v>5.08</v>
      </c>
      <c r="I353" s="4" t="str">
        <f t="shared" si="20"/>
        <v>Non admis</v>
      </c>
      <c r="J353" s="4" t="str">
        <f t="shared" si="21"/>
        <v>Non eligible</v>
      </c>
      <c r="K353">
        <v>10.72</v>
      </c>
      <c r="L353" s="6" t="str">
        <f t="shared" si="22"/>
        <v>A surveiller</v>
      </c>
      <c r="M353" s="6" t="str">
        <f t="shared" si="23"/>
        <v>Hors Data</v>
      </c>
      <c r="N353" s="8" t="str" cm="1">
        <f t="array" ref="N353">_xlfn.IFS(H353&gt;=16,"Excellent",H353&gt;=14,"Très bien",H353&gt;=12,"Bien",H353&gt;=10,"Passable",TRUE,"Insuffisant")</f>
        <v>Insuffisant</v>
      </c>
      <c r="O353">
        <v>0.85319999999999996</v>
      </c>
      <c r="P353">
        <v>120000</v>
      </c>
      <c r="Q353" s="2">
        <v>45944</v>
      </c>
    </row>
    <row r="354" spans="1:17" x14ac:dyDescent="0.45">
      <c r="A354" t="s">
        <v>589</v>
      </c>
      <c r="B354" t="s">
        <v>59</v>
      </c>
      <c r="C354" t="s">
        <v>14</v>
      </c>
      <c r="D354" t="s">
        <v>47</v>
      </c>
      <c r="E354" t="s">
        <v>42</v>
      </c>
      <c r="F354">
        <v>17.7</v>
      </c>
      <c r="G354">
        <v>15.87</v>
      </c>
      <c r="H354">
        <v>18.21</v>
      </c>
      <c r="I354" s="4" t="str">
        <f t="shared" si="20"/>
        <v>Admis</v>
      </c>
      <c r="J354" s="4" t="str">
        <f t="shared" si="21"/>
        <v>Eligible</v>
      </c>
      <c r="K354">
        <v>13.52</v>
      </c>
      <c r="L354" s="6" t="str">
        <f t="shared" si="22"/>
        <v>RAS</v>
      </c>
      <c r="M354" s="6" t="str">
        <f t="shared" si="23"/>
        <v>Hors Data</v>
      </c>
      <c r="N354" s="8" t="str" cm="1">
        <f t="array" ref="N354">_xlfn.IFS(H354&gt;=16,"Excellent",H354&gt;=14,"Très bien",H354&gt;=12,"Bien",H354&gt;=10,"Passable",TRUE,"Insuffisant")</f>
        <v>Excellent</v>
      </c>
      <c r="O354">
        <v>0.84409999999999996</v>
      </c>
      <c r="P354">
        <v>75000</v>
      </c>
      <c r="Q354" s="2">
        <v>45757</v>
      </c>
    </row>
    <row r="355" spans="1:17" x14ac:dyDescent="0.45">
      <c r="A355" t="s">
        <v>590</v>
      </c>
      <c r="B355" t="s">
        <v>372</v>
      </c>
      <c r="C355" t="s">
        <v>14</v>
      </c>
      <c r="D355" t="s">
        <v>47</v>
      </c>
      <c r="E355" t="s">
        <v>42</v>
      </c>
      <c r="F355">
        <v>15.43</v>
      </c>
      <c r="G355">
        <v>13.07</v>
      </c>
      <c r="H355">
        <v>18.39</v>
      </c>
      <c r="I355" s="4" t="str">
        <f t="shared" si="20"/>
        <v>Admis</v>
      </c>
      <c r="J355" s="4" t="str">
        <f t="shared" si="21"/>
        <v>Eligible</v>
      </c>
      <c r="K355">
        <v>12.28</v>
      </c>
      <c r="L355" s="6" t="str">
        <f t="shared" si="22"/>
        <v>RAS</v>
      </c>
      <c r="M355" s="6" t="str">
        <f t="shared" si="23"/>
        <v>Hors Data</v>
      </c>
      <c r="N355" s="8" t="str" cm="1">
        <f t="array" ref="N355">_xlfn.IFS(H355&gt;=16,"Excellent",H355&gt;=14,"Très bien",H355&gt;=12,"Bien",H355&gt;=10,"Passable",TRUE,"Insuffisant")</f>
        <v>Excellent</v>
      </c>
      <c r="O355">
        <v>0.83609999999999995</v>
      </c>
      <c r="P355">
        <v>110000</v>
      </c>
      <c r="Q355" s="2">
        <v>45720</v>
      </c>
    </row>
    <row r="356" spans="1:17" x14ac:dyDescent="0.45">
      <c r="A356" t="s">
        <v>591</v>
      </c>
      <c r="B356" t="s">
        <v>250</v>
      </c>
      <c r="C356" t="s">
        <v>19</v>
      </c>
      <c r="D356" t="s">
        <v>28</v>
      </c>
      <c r="E356" t="s">
        <v>29</v>
      </c>
      <c r="F356">
        <v>12.8</v>
      </c>
      <c r="G356">
        <v>10.88</v>
      </c>
      <c r="H356">
        <v>11.86</v>
      </c>
      <c r="I356" s="4" t="str">
        <f t="shared" si="20"/>
        <v>Admis</v>
      </c>
      <c r="J356" s="4" t="str">
        <f t="shared" si="21"/>
        <v>Non eligible</v>
      </c>
      <c r="K356">
        <v>9.59</v>
      </c>
      <c r="L356" s="6" t="str">
        <f t="shared" si="22"/>
        <v>RAS</v>
      </c>
      <c r="M356" s="6" t="str">
        <f t="shared" si="23"/>
        <v>Hors Data</v>
      </c>
      <c r="N356" s="8" t="str" cm="1">
        <f t="array" ref="N356">_xlfn.IFS(H356&gt;=16,"Excellent",H356&gt;=14,"Très bien",H356&gt;=12,"Bien",H356&gt;=10,"Passable",TRUE,"Insuffisant")</f>
        <v>Passable</v>
      </c>
      <c r="O356">
        <v>0.82279999999999998</v>
      </c>
      <c r="P356">
        <v>85000</v>
      </c>
      <c r="Q356" s="2">
        <v>45652</v>
      </c>
    </row>
    <row r="357" spans="1:17" x14ac:dyDescent="0.45">
      <c r="A357" t="s">
        <v>592</v>
      </c>
      <c r="B357" t="s">
        <v>107</v>
      </c>
      <c r="C357" t="s">
        <v>19</v>
      </c>
      <c r="D357" t="s">
        <v>32</v>
      </c>
      <c r="E357" t="s">
        <v>29</v>
      </c>
      <c r="F357">
        <v>12.59</v>
      </c>
      <c r="G357">
        <v>9.7799999999999994</v>
      </c>
      <c r="H357">
        <v>13.38</v>
      </c>
      <c r="I357" s="4" t="str">
        <f t="shared" si="20"/>
        <v>Admis</v>
      </c>
      <c r="J357" s="4" t="str">
        <f t="shared" si="21"/>
        <v>Eligible</v>
      </c>
      <c r="K357">
        <v>12.04</v>
      </c>
      <c r="L357" s="6" t="str">
        <f t="shared" si="22"/>
        <v>RAS</v>
      </c>
      <c r="M357" s="6" t="str">
        <f t="shared" si="23"/>
        <v>Hors Data</v>
      </c>
      <c r="N357" s="8" t="str" cm="1">
        <f t="array" ref="N357">_xlfn.IFS(H357&gt;=16,"Excellent",H357&gt;=14,"Très bien",H357&gt;=12,"Bien",H357&gt;=10,"Passable",TRUE,"Insuffisant")</f>
        <v>Bien</v>
      </c>
      <c r="O357">
        <v>0.90110000000000001</v>
      </c>
      <c r="P357">
        <v>70000</v>
      </c>
      <c r="Q357" s="2">
        <v>46186</v>
      </c>
    </row>
    <row r="358" spans="1:17" x14ac:dyDescent="0.45">
      <c r="A358" t="s">
        <v>593</v>
      </c>
      <c r="B358" t="s">
        <v>594</v>
      </c>
      <c r="C358" t="s">
        <v>14</v>
      </c>
      <c r="D358" t="s">
        <v>32</v>
      </c>
      <c r="E358" t="s">
        <v>42</v>
      </c>
      <c r="F358">
        <v>10.81</v>
      </c>
      <c r="G358">
        <v>9.8000000000000007</v>
      </c>
      <c r="H358">
        <v>10.96</v>
      </c>
      <c r="I358" s="4" t="str">
        <f t="shared" si="20"/>
        <v>Admis</v>
      </c>
      <c r="J358" s="4" t="str">
        <f t="shared" si="21"/>
        <v>Non eligible</v>
      </c>
      <c r="K358">
        <v>13.78</v>
      </c>
      <c r="L358" s="6" t="str">
        <f t="shared" si="22"/>
        <v>RAS</v>
      </c>
      <c r="M358" s="6" t="str">
        <f t="shared" si="23"/>
        <v>Hors Data</v>
      </c>
      <c r="N358" s="8" t="str" cm="1">
        <f t="array" ref="N358">_xlfn.IFS(H358&gt;=16,"Excellent",H358&gt;=14,"Très bien",H358&gt;=12,"Bien",H358&gt;=10,"Passable",TRUE,"Insuffisant")</f>
        <v>Passable</v>
      </c>
      <c r="O358">
        <v>0.84319999999999995</v>
      </c>
      <c r="P358">
        <v>50000</v>
      </c>
      <c r="Q358" s="2">
        <v>46194</v>
      </c>
    </row>
    <row r="359" spans="1:17" x14ac:dyDescent="0.45">
      <c r="A359" t="s">
        <v>595</v>
      </c>
      <c r="B359" t="s">
        <v>113</v>
      </c>
      <c r="C359" t="s">
        <v>19</v>
      </c>
      <c r="D359" t="s">
        <v>32</v>
      </c>
      <c r="E359" t="s">
        <v>16</v>
      </c>
      <c r="F359">
        <v>13.61</v>
      </c>
      <c r="G359">
        <v>13.5</v>
      </c>
      <c r="H359">
        <v>17.96</v>
      </c>
      <c r="I359" s="4" t="str">
        <f t="shared" si="20"/>
        <v>Admis</v>
      </c>
      <c r="J359" s="4" t="str">
        <f t="shared" si="21"/>
        <v>Eligible</v>
      </c>
      <c r="K359">
        <v>13.48</v>
      </c>
      <c r="L359" s="6" t="str">
        <f t="shared" si="22"/>
        <v>RAS</v>
      </c>
      <c r="M359" s="6" t="str">
        <f t="shared" si="23"/>
        <v>Data</v>
      </c>
      <c r="N359" s="8" t="str" cm="1">
        <f t="array" ref="N359">_xlfn.IFS(H359&gt;=16,"Excellent",H359&gt;=14,"Très bien",H359&gt;=12,"Bien",H359&gt;=10,"Passable",TRUE,"Insuffisant")</f>
        <v>Excellent</v>
      </c>
      <c r="O359">
        <v>0.94010000000000005</v>
      </c>
      <c r="P359">
        <v>110000</v>
      </c>
      <c r="Q359" s="2">
        <v>45616</v>
      </c>
    </row>
    <row r="360" spans="1:17" x14ac:dyDescent="0.45">
      <c r="A360" t="s">
        <v>596</v>
      </c>
      <c r="B360" t="s">
        <v>334</v>
      </c>
      <c r="C360" t="s">
        <v>14</v>
      </c>
      <c r="D360" t="s">
        <v>28</v>
      </c>
      <c r="E360" t="s">
        <v>16</v>
      </c>
      <c r="F360">
        <v>15.38</v>
      </c>
      <c r="G360">
        <v>15.64</v>
      </c>
      <c r="H360">
        <v>18.55</v>
      </c>
      <c r="I360" s="4" t="str">
        <f t="shared" si="20"/>
        <v>Admis</v>
      </c>
      <c r="J360" s="4" t="str">
        <f t="shared" si="21"/>
        <v>Eligible</v>
      </c>
      <c r="K360">
        <v>14.48</v>
      </c>
      <c r="L360" s="6" t="str">
        <f t="shared" si="22"/>
        <v>RAS</v>
      </c>
      <c r="M360" s="6" t="str">
        <f t="shared" si="23"/>
        <v>Data</v>
      </c>
      <c r="N360" s="8" t="str" cm="1">
        <f t="array" ref="N360">_xlfn.IFS(H360&gt;=16,"Excellent",H360&gt;=14,"Très bien",H360&gt;=12,"Bien",H360&gt;=10,"Passable",TRUE,"Insuffisant")</f>
        <v>Excellent</v>
      </c>
      <c r="O360">
        <v>0.87829999999999997</v>
      </c>
      <c r="P360">
        <v>50000</v>
      </c>
      <c r="Q360" s="2">
        <v>45783</v>
      </c>
    </row>
    <row r="361" spans="1:17" x14ac:dyDescent="0.45">
      <c r="A361" t="s">
        <v>597</v>
      </c>
      <c r="B361" t="s">
        <v>140</v>
      </c>
      <c r="C361" t="s">
        <v>19</v>
      </c>
      <c r="D361" t="s">
        <v>47</v>
      </c>
      <c r="E361" t="s">
        <v>42</v>
      </c>
      <c r="F361">
        <v>12.21</v>
      </c>
      <c r="G361">
        <v>19.07</v>
      </c>
      <c r="H361">
        <v>9.7799999999999994</v>
      </c>
      <c r="I361" s="4" t="str">
        <f t="shared" si="20"/>
        <v>Non admis</v>
      </c>
      <c r="J361" s="4" t="str">
        <f t="shared" si="21"/>
        <v>Non eligible</v>
      </c>
      <c r="K361">
        <v>16.760000000000002</v>
      </c>
      <c r="L361" s="6" t="str">
        <f t="shared" si="22"/>
        <v>A surveiller</v>
      </c>
      <c r="M361" s="6" t="str">
        <f t="shared" si="23"/>
        <v>Hors Data</v>
      </c>
      <c r="N361" s="8" t="str" cm="1">
        <f t="array" ref="N361">_xlfn.IFS(H361&gt;=16,"Excellent",H361&gt;=14,"Très bien",H361&gt;=12,"Bien",H361&gt;=10,"Passable",TRUE,"Insuffisant")</f>
        <v>Insuffisant</v>
      </c>
      <c r="O361">
        <v>0.9587</v>
      </c>
      <c r="P361">
        <v>80000</v>
      </c>
      <c r="Q361" s="2">
        <v>45930</v>
      </c>
    </row>
    <row r="362" spans="1:17" x14ac:dyDescent="0.45">
      <c r="A362" t="s">
        <v>598</v>
      </c>
      <c r="B362" t="s">
        <v>227</v>
      </c>
      <c r="C362" t="s">
        <v>19</v>
      </c>
      <c r="D362" t="s">
        <v>32</v>
      </c>
      <c r="E362" t="s">
        <v>42</v>
      </c>
      <c r="F362">
        <v>12.15</v>
      </c>
      <c r="G362">
        <v>6.09</v>
      </c>
      <c r="H362">
        <v>10.49</v>
      </c>
      <c r="I362" s="4" t="str">
        <f t="shared" si="20"/>
        <v>Admis</v>
      </c>
      <c r="J362" s="4" t="str">
        <f t="shared" si="21"/>
        <v>Non eligible</v>
      </c>
      <c r="K362">
        <v>6.87</v>
      </c>
      <c r="L362" s="6" t="str">
        <f t="shared" si="22"/>
        <v>RAS</v>
      </c>
      <c r="M362" s="6" t="str">
        <f t="shared" si="23"/>
        <v>Hors Data</v>
      </c>
      <c r="N362" s="8" t="str" cm="1">
        <f t="array" ref="N362">_xlfn.IFS(H362&gt;=16,"Excellent",H362&gt;=14,"Très bien",H362&gt;=12,"Bien",H362&gt;=10,"Passable",TRUE,"Insuffisant")</f>
        <v>Passable</v>
      </c>
      <c r="O362">
        <v>0.76790000000000003</v>
      </c>
      <c r="P362">
        <v>50000</v>
      </c>
      <c r="Q362" s="2">
        <v>45804</v>
      </c>
    </row>
    <row r="363" spans="1:17" x14ac:dyDescent="0.45">
      <c r="A363" t="s">
        <v>599</v>
      </c>
      <c r="B363" t="s">
        <v>75</v>
      </c>
      <c r="C363" t="s">
        <v>19</v>
      </c>
      <c r="D363" t="s">
        <v>28</v>
      </c>
      <c r="E363" t="s">
        <v>16</v>
      </c>
      <c r="F363">
        <v>7.57</v>
      </c>
      <c r="G363">
        <v>14.4</v>
      </c>
      <c r="H363">
        <v>19.010000000000002</v>
      </c>
      <c r="I363" s="4" t="str">
        <f t="shared" si="20"/>
        <v>Admis</v>
      </c>
      <c r="J363" s="4" t="str">
        <f t="shared" si="21"/>
        <v>Non eligible</v>
      </c>
      <c r="K363">
        <v>12.07</v>
      </c>
      <c r="L363" s="6" t="str">
        <f t="shared" si="22"/>
        <v>A surveiller</v>
      </c>
      <c r="M363" s="6" t="str">
        <f t="shared" si="23"/>
        <v>Data</v>
      </c>
      <c r="N363" s="8" t="str" cm="1">
        <f t="array" ref="N363">_xlfn.IFS(H363&gt;=16,"Excellent",H363&gt;=14,"Très bien",H363&gt;=12,"Bien",H363&gt;=10,"Passable",TRUE,"Insuffisant")</f>
        <v>Excellent</v>
      </c>
      <c r="O363">
        <v>0.80830000000000002</v>
      </c>
      <c r="P363">
        <v>110000</v>
      </c>
      <c r="Q363" s="2">
        <v>46040</v>
      </c>
    </row>
    <row r="364" spans="1:17" x14ac:dyDescent="0.45">
      <c r="A364" t="s">
        <v>600</v>
      </c>
      <c r="B364" t="s">
        <v>601</v>
      </c>
      <c r="C364" t="s">
        <v>14</v>
      </c>
      <c r="D364" t="s">
        <v>15</v>
      </c>
      <c r="E364" t="s">
        <v>21</v>
      </c>
      <c r="F364">
        <v>17.329999999999998</v>
      </c>
      <c r="G364">
        <v>13.79</v>
      </c>
      <c r="H364">
        <v>17.149999999999999</v>
      </c>
      <c r="I364" s="4" t="str">
        <f t="shared" si="20"/>
        <v>Admis</v>
      </c>
      <c r="J364" s="4" t="str">
        <f t="shared" si="21"/>
        <v>Eligible</v>
      </c>
      <c r="K364">
        <v>18.23</v>
      </c>
      <c r="L364" s="6" t="str">
        <f t="shared" si="22"/>
        <v>RAS</v>
      </c>
      <c r="M364" s="6" t="str">
        <f t="shared" si="23"/>
        <v>Hors Data</v>
      </c>
      <c r="N364" s="8" t="str" cm="1">
        <f t="array" ref="N364">_xlfn.IFS(H364&gt;=16,"Excellent",H364&gt;=14,"Très bien",H364&gt;=12,"Bien",H364&gt;=10,"Passable",TRUE,"Insuffisant")</f>
        <v>Excellent</v>
      </c>
      <c r="O364">
        <v>0.87450000000000006</v>
      </c>
      <c r="P364">
        <v>130000</v>
      </c>
      <c r="Q364" s="2">
        <v>45718</v>
      </c>
    </row>
    <row r="365" spans="1:17" x14ac:dyDescent="0.45">
      <c r="A365" t="s">
        <v>602</v>
      </c>
      <c r="B365" t="s">
        <v>458</v>
      </c>
      <c r="C365" t="s">
        <v>19</v>
      </c>
      <c r="D365" t="s">
        <v>20</v>
      </c>
      <c r="E365" t="s">
        <v>42</v>
      </c>
      <c r="F365">
        <v>7.22</v>
      </c>
      <c r="G365">
        <v>10.64</v>
      </c>
      <c r="H365">
        <v>5.9</v>
      </c>
      <c r="I365" s="4" t="str">
        <f t="shared" si="20"/>
        <v>Non admis</v>
      </c>
      <c r="J365" s="4" t="str">
        <f t="shared" si="21"/>
        <v>Non eligible</v>
      </c>
      <c r="K365">
        <v>8.24</v>
      </c>
      <c r="L365" s="6" t="str">
        <f t="shared" si="22"/>
        <v>A surveiller</v>
      </c>
      <c r="M365" s="6" t="str">
        <f t="shared" si="23"/>
        <v>Hors Data</v>
      </c>
      <c r="N365" s="8" t="str" cm="1">
        <f t="array" ref="N365">_xlfn.IFS(H365&gt;=16,"Excellent",H365&gt;=14,"Très bien",H365&gt;=12,"Bien",H365&gt;=10,"Passable",TRUE,"Insuffisant")</f>
        <v>Insuffisant</v>
      </c>
      <c r="O365">
        <v>0.79049999999999998</v>
      </c>
      <c r="P365">
        <v>75000</v>
      </c>
      <c r="Q365" s="2">
        <v>45577</v>
      </c>
    </row>
    <row r="366" spans="1:17" x14ac:dyDescent="0.45">
      <c r="A366" t="s">
        <v>603</v>
      </c>
      <c r="B366" t="s">
        <v>351</v>
      </c>
      <c r="C366" t="s">
        <v>14</v>
      </c>
      <c r="D366" t="s">
        <v>32</v>
      </c>
      <c r="E366" t="s">
        <v>16</v>
      </c>
      <c r="F366">
        <v>9.59</v>
      </c>
      <c r="G366">
        <v>11.55</v>
      </c>
      <c r="H366">
        <v>11.31</v>
      </c>
      <c r="I366" s="4" t="str">
        <f t="shared" si="20"/>
        <v>Admis</v>
      </c>
      <c r="J366" s="4" t="str">
        <f t="shared" si="21"/>
        <v>Non eligible</v>
      </c>
      <c r="K366">
        <v>6.96</v>
      </c>
      <c r="L366" s="6" t="str">
        <f t="shared" si="22"/>
        <v>A surveiller</v>
      </c>
      <c r="M366" s="6" t="str">
        <f t="shared" si="23"/>
        <v>Data</v>
      </c>
      <c r="N366" s="8" t="str" cm="1">
        <f t="array" ref="N366">_xlfn.IFS(H366&gt;=16,"Excellent",H366&gt;=14,"Très bien",H366&gt;=12,"Bien",H366&gt;=10,"Passable",TRUE,"Insuffisant")</f>
        <v>Passable</v>
      </c>
      <c r="O366">
        <v>0.75980000000000003</v>
      </c>
      <c r="P366">
        <v>75000</v>
      </c>
      <c r="Q366" s="2">
        <v>45771</v>
      </c>
    </row>
    <row r="367" spans="1:17" x14ac:dyDescent="0.45">
      <c r="A367" t="s">
        <v>604</v>
      </c>
      <c r="B367" t="s">
        <v>605</v>
      </c>
      <c r="C367" t="s">
        <v>19</v>
      </c>
      <c r="D367" t="s">
        <v>28</v>
      </c>
      <c r="E367" t="s">
        <v>21</v>
      </c>
      <c r="F367">
        <v>19.68</v>
      </c>
      <c r="G367">
        <v>17.190000000000001</v>
      </c>
      <c r="H367">
        <v>13.34</v>
      </c>
      <c r="I367" s="4" t="str">
        <f t="shared" si="20"/>
        <v>Admis</v>
      </c>
      <c r="J367" s="4" t="str">
        <f t="shared" si="21"/>
        <v>Eligible</v>
      </c>
      <c r="K367">
        <v>17.05</v>
      </c>
      <c r="L367" s="6" t="str">
        <f t="shared" si="22"/>
        <v>RAS</v>
      </c>
      <c r="M367" s="6" t="str">
        <f t="shared" si="23"/>
        <v>Hors Data</v>
      </c>
      <c r="N367" s="8" t="str" cm="1">
        <f t="array" ref="N367">_xlfn.IFS(H367&gt;=16,"Excellent",H367&gt;=14,"Très bien",H367&gt;=12,"Bien",H367&gt;=10,"Passable",TRUE,"Insuffisant")</f>
        <v>Bien</v>
      </c>
      <c r="O367">
        <v>0.80969999999999998</v>
      </c>
      <c r="P367">
        <v>90000</v>
      </c>
      <c r="Q367" s="2">
        <v>45954</v>
      </c>
    </row>
    <row r="368" spans="1:17" x14ac:dyDescent="0.45">
      <c r="A368" t="s">
        <v>606</v>
      </c>
      <c r="B368" t="s">
        <v>594</v>
      </c>
      <c r="C368" t="s">
        <v>14</v>
      </c>
      <c r="D368" t="s">
        <v>20</v>
      </c>
      <c r="E368" t="s">
        <v>21</v>
      </c>
      <c r="F368">
        <v>12.69</v>
      </c>
      <c r="G368">
        <v>12.58</v>
      </c>
      <c r="H368">
        <v>17.170000000000002</v>
      </c>
      <c r="I368" s="4" t="str">
        <f t="shared" si="20"/>
        <v>Admis</v>
      </c>
      <c r="J368" s="4" t="str">
        <f t="shared" si="21"/>
        <v>Eligible</v>
      </c>
      <c r="K368">
        <v>13.28</v>
      </c>
      <c r="L368" s="6" t="str">
        <f t="shared" si="22"/>
        <v>RAS</v>
      </c>
      <c r="M368" s="6" t="str">
        <f t="shared" si="23"/>
        <v>Hors Data</v>
      </c>
      <c r="N368" s="8" t="str" cm="1">
        <f t="array" ref="N368">_xlfn.IFS(H368&gt;=16,"Excellent",H368&gt;=14,"Très bien",H368&gt;=12,"Bien",H368&gt;=10,"Passable",TRUE,"Insuffisant")</f>
        <v>Excellent</v>
      </c>
      <c r="O368">
        <v>0.8569</v>
      </c>
      <c r="P368">
        <v>85000</v>
      </c>
      <c r="Q368" s="2">
        <v>45662</v>
      </c>
    </row>
    <row r="369" spans="1:17" x14ac:dyDescent="0.45">
      <c r="A369" t="s">
        <v>607</v>
      </c>
      <c r="B369" t="s">
        <v>59</v>
      </c>
      <c r="C369" t="s">
        <v>14</v>
      </c>
      <c r="D369" t="s">
        <v>15</v>
      </c>
      <c r="E369" t="s">
        <v>29</v>
      </c>
      <c r="F369">
        <v>13.16</v>
      </c>
      <c r="G369">
        <v>13.37</v>
      </c>
      <c r="H369">
        <v>12.75</v>
      </c>
      <c r="I369" s="4" t="str">
        <f t="shared" si="20"/>
        <v>Admis</v>
      </c>
      <c r="J369" s="4" t="str">
        <f t="shared" si="21"/>
        <v>Eligible</v>
      </c>
      <c r="K369">
        <v>17.940000000000001</v>
      </c>
      <c r="L369" s="6" t="str">
        <f t="shared" si="22"/>
        <v>RAS</v>
      </c>
      <c r="M369" s="6" t="str">
        <f t="shared" si="23"/>
        <v>Hors Data</v>
      </c>
      <c r="N369" s="8" t="str" cm="1">
        <f t="array" ref="N369">_xlfn.IFS(H369&gt;=16,"Excellent",H369&gt;=14,"Très bien",H369&gt;=12,"Bien",H369&gt;=10,"Passable",TRUE,"Insuffisant")</f>
        <v>Bien</v>
      </c>
      <c r="O369">
        <v>0.93240000000000001</v>
      </c>
      <c r="P369">
        <v>80000</v>
      </c>
      <c r="Q369" s="2">
        <v>46107</v>
      </c>
    </row>
    <row r="370" spans="1:17" x14ac:dyDescent="0.45">
      <c r="A370" t="s">
        <v>608</v>
      </c>
      <c r="B370" t="s">
        <v>182</v>
      </c>
      <c r="C370" t="s">
        <v>14</v>
      </c>
      <c r="D370" t="s">
        <v>32</v>
      </c>
      <c r="E370" t="s">
        <v>29</v>
      </c>
      <c r="F370">
        <v>18.420000000000002</v>
      </c>
      <c r="G370">
        <v>20</v>
      </c>
      <c r="H370">
        <v>19.07</v>
      </c>
      <c r="I370" s="4" t="str">
        <f t="shared" si="20"/>
        <v>Admis</v>
      </c>
      <c r="J370" s="4" t="str">
        <f t="shared" si="21"/>
        <v>Non eligible</v>
      </c>
      <c r="K370">
        <v>17.27</v>
      </c>
      <c r="L370" s="6" t="str">
        <f t="shared" si="22"/>
        <v>RAS</v>
      </c>
      <c r="M370" s="6" t="str">
        <f t="shared" si="23"/>
        <v>Hors Data</v>
      </c>
      <c r="N370" s="8" t="str" cm="1">
        <f t="array" ref="N370">_xlfn.IFS(H370&gt;=16,"Excellent",H370&gt;=14,"Très bien",H370&gt;=12,"Bien",H370&gt;=10,"Passable",TRUE,"Insuffisant")</f>
        <v>Excellent</v>
      </c>
      <c r="O370">
        <v>0.72989999999999999</v>
      </c>
      <c r="P370">
        <v>80000</v>
      </c>
      <c r="Q370" s="2">
        <v>45544</v>
      </c>
    </row>
    <row r="371" spans="1:17" x14ac:dyDescent="0.45">
      <c r="A371" t="s">
        <v>609</v>
      </c>
      <c r="B371" t="s">
        <v>266</v>
      </c>
      <c r="C371" t="s">
        <v>19</v>
      </c>
      <c r="D371" t="s">
        <v>28</v>
      </c>
      <c r="E371" t="s">
        <v>29</v>
      </c>
      <c r="F371">
        <v>15.72</v>
      </c>
      <c r="G371">
        <v>19.11</v>
      </c>
      <c r="H371">
        <v>13.12</v>
      </c>
      <c r="I371" s="4" t="str">
        <f t="shared" si="20"/>
        <v>Admis</v>
      </c>
      <c r="J371" s="4" t="str">
        <f t="shared" si="21"/>
        <v>Eligible</v>
      </c>
      <c r="K371">
        <v>17.02</v>
      </c>
      <c r="L371" s="6" t="str">
        <f t="shared" si="22"/>
        <v>RAS</v>
      </c>
      <c r="M371" s="6" t="str">
        <f t="shared" si="23"/>
        <v>Hors Data</v>
      </c>
      <c r="N371" s="8" t="str" cm="1">
        <f t="array" ref="N371">_xlfn.IFS(H371&gt;=16,"Excellent",H371&gt;=14,"Très bien",H371&gt;=12,"Bien",H371&gt;=10,"Passable",TRUE,"Insuffisant")</f>
        <v>Bien</v>
      </c>
      <c r="O371">
        <v>0.98099999999999998</v>
      </c>
      <c r="P371">
        <v>70000</v>
      </c>
      <c r="Q371" s="2">
        <v>45583</v>
      </c>
    </row>
    <row r="372" spans="1:17" x14ac:dyDescent="0.45">
      <c r="A372" t="s">
        <v>610</v>
      </c>
      <c r="B372" t="s">
        <v>188</v>
      </c>
      <c r="C372" t="s">
        <v>14</v>
      </c>
      <c r="D372" t="s">
        <v>28</v>
      </c>
      <c r="E372" t="s">
        <v>42</v>
      </c>
      <c r="F372">
        <v>14.37</v>
      </c>
      <c r="G372">
        <v>16.8</v>
      </c>
      <c r="H372">
        <v>14.34</v>
      </c>
      <c r="I372" s="4" t="str">
        <f t="shared" si="20"/>
        <v>Admis</v>
      </c>
      <c r="J372" s="4" t="str">
        <f t="shared" si="21"/>
        <v>Non eligible</v>
      </c>
      <c r="K372">
        <v>19.149999999999999</v>
      </c>
      <c r="L372" s="6" t="str">
        <f t="shared" si="22"/>
        <v>RAS</v>
      </c>
      <c r="M372" s="6" t="str">
        <f t="shared" si="23"/>
        <v>Hors Data</v>
      </c>
      <c r="N372" s="8" t="str" cm="1">
        <f t="array" ref="N372">_xlfn.IFS(H372&gt;=16,"Excellent",H372&gt;=14,"Très bien",H372&gt;=12,"Bien",H372&gt;=10,"Passable",TRUE,"Insuffisant")</f>
        <v>Très bien</v>
      </c>
      <c r="O372">
        <v>0.66879999999999995</v>
      </c>
      <c r="P372">
        <v>70000</v>
      </c>
      <c r="Q372" s="2">
        <v>45892</v>
      </c>
    </row>
    <row r="373" spans="1:17" x14ac:dyDescent="0.45">
      <c r="A373" t="s">
        <v>611</v>
      </c>
      <c r="B373" t="s">
        <v>612</v>
      </c>
      <c r="C373" t="s">
        <v>19</v>
      </c>
      <c r="D373" t="s">
        <v>47</v>
      </c>
      <c r="E373" t="s">
        <v>16</v>
      </c>
      <c r="F373">
        <v>17.63</v>
      </c>
      <c r="G373">
        <v>19.52</v>
      </c>
      <c r="H373">
        <v>20</v>
      </c>
      <c r="I373" s="4" t="str">
        <f t="shared" si="20"/>
        <v>Admis</v>
      </c>
      <c r="J373" s="4" t="str">
        <f t="shared" si="21"/>
        <v>Eligible</v>
      </c>
      <c r="K373">
        <v>19.12</v>
      </c>
      <c r="L373" s="6" t="str">
        <f t="shared" si="22"/>
        <v>RAS</v>
      </c>
      <c r="M373" s="6" t="str">
        <f t="shared" si="23"/>
        <v>Data</v>
      </c>
      <c r="N373" s="8" t="str" cm="1">
        <f t="array" ref="N373">_xlfn.IFS(H373&gt;=16,"Excellent",H373&gt;=14,"Très bien",H373&gt;=12,"Bien",H373&gt;=10,"Passable",TRUE,"Insuffisant")</f>
        <v>Excellent</v>
      </c>
      <c r="O373">
        <v>0.88249999999999995</v>
      </c>
      <c r="P373">
        <v>90000</v>
      </c>
      <c r="Q373" s="2">
        <v>45894</v>
      </c>
    </row>
    <row r="374" spans="1:17" x14ac:dyDescent="0.45">
      <c r="A374" t="s">
        <v>613</v>
      </c>
      <c r="B374" t="s">
        <v>614</v>
      </c>
      <c r="C374" t="s">
        <v>14</v>
      </c>
      <c r="D374" t="s">
        <v>28</v>
      </c>
      <c r="E374" t="s">
        <v>29</v>
      </c>
      <c r="F374">
        <v>11</v>
      </c>
      <c r="G374">
        <v>14.05</v>
      </c>
      <c r="H374">
        <v>13.33</v>
      </c>
      <c r="I374" s="4" t="str">
        <f t="shared" si="20"/>
        <v>Admis</v>
      </c>
      <c r="J374" s="4" t="str">
        <f t="shared" si="21"/>
        <v>Non eligible</v>
      </c>
      <c r="K374">
        <v>12.38</v>
      </c>
      <c r="L374" s="6" t="str">
        <f t="shared" si="22"/>
        <v>RAS</v>
      </c>
      <c r="M374" s="6" t="str">
        <f t="shared" si="23"/>
        <v>Hors Data</v>
      </c>
      <c r="N374" s="8" t="str" cm="1">
        <f t="array" ref="N374">_xlfn.IFS(H374&gt;=16,"Excellent",H374&gt;=14,"Très bien",H374&gt;=12,"Bien",H374&gt;=10,"Passable",TRUE,"Insuffisant")</f>
        <v>Bien</v>
      </c>
      <c r="O374">
        <v>0.69179999999999997</v>
      </c>
      <c r="P374">
        <v>110000</v>
      </c>
      <c r="Q374" s="2">
        <v>45742</v>
      </c>
    </row>
    <row r="375" spans="1:17" x14ac:dyDescent="0.45">
      <c r="A375" t="s">
        <v>615</v>
      </c>
      <c r="B375" t="s">
        <v>438</v>
      </c>
      <c r="C375" t="s">
        <v>14</v>
      </c>
      <c r="D375" t="s">
        <v>47</v>
      </c>
      <c r="E375" t="s">
        <v>16</v>
      </c>
      <c r="F375">
        <v>14.08</v>
      </c>
      <c r="G375">
        <v>17.010000000000002</v>
      </c>
      <c r="H375">
        <v>10.24</v>
      </c>
      <c r="I375" s="4" t="str">
        <f t="shared" si="20"/>
        <v>Admis</v>
      </c>
      <c r="J375" s="4" t="str">
        <f t="shared" si="21"/>
        <v>Non eligible</v>
      </c>
      <c r="K375">
        <v>12.02</v>
      </c>
      <c r="L375" s="6" t="str">
        <f t="shared" si="22"/>
        <v>RAS</v>
      </c>
      <c r="M375" s="6" t="str">
        <f t="shared" si="23"/>
        <v>Data</v>
      </c>
      <c r="N375" s="8" t="str" cm="1">
        <f t="array" ref="N375">_xlfn.IFS(H375&gt;=16,"Excellent",H375&gt;=14,"Très bien",H375&gt;=12,"Bien",H375&gt;=10,"Passable",TRUE,"Insuffisant")</f>
        <v>Passable</v>
      </c>
      <c r="O375">
        <v>0.89070000000000005</v>
      </c>
      <c r="P375">
        <v>110000</v>
      </c>
      <c r="Q375" s="2">
        <v>45716</v>
      </c>
    </row>
    <row r="376" spans="1:17" x14ac:dyDescent="0.45">
      <c r="A376" t="s">
        <v>616</v>
      </c>
      <c r="B376" t="s">
        <v>617</v>
      </c>
      <c r="C376" t="s">
        <v>19</v>
      </c>
      <c r="D376" t="s">
        <v>28</v>
      </c>
      <c r="E376" t="s">
        <v>16</v>
      </c>
      <c r="F376">
        <v>14.86</v>
      </c>
      <c r="G376">
        <v>15.32</v>
      </c>
      <c r="H376">
        <v>12.38</v>
      </c>
      <c r="I376" s="4" t="str">
        <f t="shared" si="20"/>
        <v>Admis</v>
      </c>
      <c r="J376" s="4" t="str">
        <f t="shared" si="21"/>
        <v>Non eligible</v>
      </c>
      <c r="K376">
        <v>12.71</v>
      </c>
      <c r="L376" s="6" t="str">
        <f t="shared" si="22"/>
        <v>RAS</v>
      </c>
      <c r="M376" s="6" t="str">
        <f t="shared" si="23"/>
        <v>Data</v>
      </c>
      <c r="N376" s="8" t="str" cm="1">
        <f t="array" ref="N376">_xlfn.IFS(H376&gt;=16,"Excellent",H376&gt;=14,"Très bien",H376&gt;=12,"Bien",H376&gt;=10,"Passable",TRUE,"Insuffisant")</f>
        <v>Bien</v>
      </c>
      <c r="O376">
        <v>0.64280000000000004</v>
      </c>
      <c r="P376">
        <v>85000</v>
      </c>
      <c r="Q376" s="2">
        <v>45584</v>
      </c>
    </row>
    <row r="377" spans="1:17" x14ac:dyDescent="0.45">
      <c r="A377" t="s">
        <v>618</v>
      </c>
      <c r="B377" t="s">
        <v>619</v>
      </c>
      <c r="C377" t="s">
        <v>14</v>
      </c>
      <c r="D377" t="s">
        <v>35</v>
      </c>
      <c r="E377" t="s">
        <v>29</v>
      </c>
      <c r="F377">
        <v>15.72</v>
      </c>
      <c r="G377">
        <v>18.350000000000001</v>
      </c>
      <c r="H377">
        <v>10.81</v>
      </c>
      <c r="I377" s="4" t="str">
        <f t="shared" si="20"/>
        <v>Admis</v>
      </c>
      <c r="J377" s="4" t="str">
        <f t="shared" si="21"/>
        <v>Non eligible</v>
      </c>
      <c r="K377">
        <v>15.22</v>
      </c>
      <c r="L377" s="6" t="str">
        <f t="shared" si="22"/>
        <v>RAS</v>
      </c>
      <c r="M377" s="6" t="str">
        <f t="shared" si="23"/>
        <v>Hors Data</v>
      </c>
      <c r="N377" s="8" t="str" cm="1">
        <f t="array" ref="N377">_xlfn.IFS(H377&gt;=16,"Excellent",H377&gt;=14,"Très bien",H377&gt;=12,"Bien",H377&gt;=10,"Passable",TRUE,"Insuffisant")</f>
        <v>Passable</v>
      </c>
      <c r="O377">
        <v>0.95150000000000001</v>
      </c>
      <c r="P377">
        <v>110000</v>
      </c>
      <c r="Q377" s="2">
        <v>46000</v>
      </c>
    </row>
    <row r="378" spans="1:17" x14ac:dyDescent="0.45">
      <c r="A378" t="s">
        <v>620</v>
      </c>
      <c r="B378" t="s">
        <v>621</v>
      </c>
      <c r="C378" t="s">
        <v>19</v>
      </c>
      <c r="D378" t="s">
        <v>28</v>
      </c>
      <c r="E378" t="s">
        <v>42</v>
      </c>
      <c r="F378">
        <v>11.45</v>
      </c>
      <c r="G378">
        <v>10.8</v>
      </c>
      <c r="H378">
        <v>9.4700000000000006</v>
      </c>
      <c r="I378" s="4" t="str">
        <f t="shared" si="20"/>
        <v>Non admis</v>
      </c>
      <c r="J378" s="4" t="str">
        <f t="shared" si="21"/>
        <v>Non eligible</v>
      </c>
      <c r="K378">
        <v>11.43</v>
      </c>
      <c r="L378" s="6" t="str">
        <f t="shared" si="22"/>
        <v>A surveiller</v>
      </c>
      <c r="M378" s="6" t="str">
        <f t="shared" si="23"/>
        <v>Hors Data</v>
      </c>
      <c r="N378" s="8" t="str" cm="1">
        <f t="array" ref="N378">_xlfn.IFS(H378&gt;=16,"Excellent",H378&gt;=14,"Très bien",H378&gt;=12,"Bien",H378&gt;=10,"Passable",TRUE,"Insuffisant")</f>
        <v>Insuffisant</v>
      </c>
      <c r="O378">
        <v>0.90229999999999999</v>
      </c>
      <c r="P378">
        <v>90000</v>
      </c>
      <c r="Q378" s="2">
        <v>45801</v>
      </c>
    </row>
    <row r="379" spans="1:17" x14ac:dyDescent="0.45">
      <c r="A379" t="s">
        <v>622</v>
      </c>
      <c r="B379" t="s">
        <v>583</v>
      </c>
      <c r="C379" t="s">
        <v>19</v>
      </c>
      <c r="D379" t="s">
        <v>20</v>
      </c>
      <c r="E379" t="s">
        <v>21</v>
      </c>
      <c r="F379">
        <v>9.16</v>
      </c>
      <c r="G379">
        <v>10.92</v>
      </c>
      <c r="H379">
        <v>11.06</v>
      </c>
      <c r="I379" s="4" t="str">
        <f t="shared" si="20"/>
        <v>Admis</v>
      </c>
      <c r="J379" s="4" t="str">
        <f t="shared" si="21"/>
        <v>Non eligible</v>
      </c>
      <c r="K379">
        <v>9.9700000000000006</v>
      </c>
      <c r="L379" s="6" t="str">
        <f t="shared" si="22"/>
        <v>A surveiller</v>
      </c>
      <c r="M379" s="6" t="str">
        <f t="shared" si="23"/>
        <v>Hors Data</v>
      </c>
      <c r="N379" s="8" t="str" cm="1">
        <f t="array" ref="N379">_xlfn.IFS(H379&gt;=16,"Excellent",H379&gt;=14,"Très bien",H379&gt;=12,"Bien",H379&gt;=10,"Passable",TRUE,"Insuffisant")</f>
        <v>Passable</v>
      </c>
      <c r="O379">
        <v>0.84560000000000002</v>
      </c>
      <c r="P379">
        <v>75000</v>
      </c>
      <c r="Q379" s="2">
        <v>45619</v>
      </c>
    </row>
    <row r="380" spans="1:17" x14ac:dyDescent="0.45">
      <c r="A380" t="s">
        <v>623</v>
      </c>
      <c r="B380" t="s">
        <v>624</v>
      </c>
      <c r="C380" t="s">
        <v>14</v>
      </c>
      <c r="D380" t="s">
        <v>32</v>
      </c>
      <c r="E380" t="s">
        <v>16</v>
      </c>
      <c r="F380">
        <v>20</v>
      </c>
      <c r="G380">
        <v>20</v>
      </c>
      <c r="H380">
        <v>20</v>
      </c>
      <c r="I380" s="4" t="str">
        <f t="shared" si="20"/>
        <v>Admis</v>
      </c>
      <c r="J380" s="4" t="str">
        <f t="shared" si="21"/>
        <v>Eligible</v>
      </c>
      <c r="K380">
        <v>19.98</v>
      </c>
      <c r="L380" s="6" t="str">
        <f t="shared" si="22"/>
        <v>RAS</v>
      </c>
      <c r="M380" s="6" t="str">
        <f t="shared" si="23"/>
        <v>Data</v>
      </c>
      <c r="N380" s="8" t="str" cm="1">
        <f t="array" ref="N380">_xlfn.IFS(H380&gt;=16,"Excellent",H380&gt;=14,"Très bien",H380&gt;=12,"Bien",H380&gt;=10,"Passable",TRUE,"Insuffisant")</f>
        <v>Excellent</v>
      </c>
      <c r="O380">
        <v>0.96209999999999996</v>
      </c>
      <c r="P380">
        <v>75000</v>
      </c>
      <c r="Q380" s="2">
        <v>45815</v>
      </c>
    </row>
    <row r="381" spans="1:17" x14ac:dyDescent="0.45">
      <c r="A381" t="s">
        <v>625</v>
      </c>
      <c r="B381" t="s">
        <v>626</v>
      </c>
      <c r="C381" t="s">
        <v>14</v>
      </c>
      <c r="D381" t="s">
        <v>35</v>
      </c>
      <c r="E381" t="s">
        <v>16</v>
      </c>
      <c r="F381">
        <v>14</v>
      </c>
      <c r="G381">
        <v>15.69</v>
      </c>
      <c r="H381">
        <v>13.38</v>
      </c>
      <c r="I381" s="4" t="str">
        <f t="shared" si="20"/>
        <v>Admis</v>
      </c>
      <c r="J381" s="4" t="str">
        <f t="shared" si="21"/>
        <v>Non eligible</v>
      </c>
      <c r="K381">
        <v>14.47</v>
      </c>
      <c r="L381" s="6" t="str">
        <f t="shared" si="22"/>
        <v>RAS</v>
      </c>
      <c r="M381" s="6" t="str">
        <f t="shared" si="23"/>
        <v>Data</v>
      </c>
      <c r="N381" s="8" t="str" cm="1">
        <f t="array" ref="N381">_xlfn.IFS(H381&gt;=16,"Excellent",H381&gt;=14,"Très bien",H381&gt;=12,"Bien",H381&gt;=10,"Passable",TRUE,"Insuffisant")</f>
        <v>Bien</v>
      </c>
      <c r="O381">
        <v>0.67779999999999996</v>
      </c>
      <c r="P381">
        <v>85000</v>
      </c>
      <c r="Q381" s="2">
        <v>46191</v>
      </c>
    </row>
    <row r="382" spans="1:17" x14ac:dyDescent="0.45">
      <c r="A382" t="s">
        <v>627</v>
      </c>
      <c r="B382" t="s">
        <v>129</v>
      </c>
      <c r="C382" t="s">
        <v>14</v>
      </c>
      <c r="D382" t="s">
        <v>20</v>
      </c>
      <c r="E382" t="s">
        <v>29</v>
      </c>
      <c r="F382">
        <v>10.47</v>
      </c>
      <c r="G382">
        <v>10.16</v>
      </c>
      <c r="H382">
        <v>15.1</v>
      </c>
      <c r="I382" s="4" t="str">
        <f t="shared" si="20"/>
        <v>Admis</v>
      </c>
      <c r="J382" s="4" t="str">
        <f t="shared" si="21"/>
        <v>Non eligible</v>
      </c>
      <c r="K382">
        <v>11.71</v>
      </c>
      <c r="L382" s="6" t="str">
        <f t="shared" si="22"/>
        <v>RAS</v>
      </c>
      <c r="M382" s="6" t="str">
        <f t="shared" si="23"/>
        <v>Hors Data</v>
      </c>
      <c r="N382" s="8" t="str" cm="1">
        <f t="array" ref="N382">_xlfn.IFS(H382&gt;=16,"Excellent",H382&gt;=14,"Très bien",H382&gt;=12,"Bien",H382&gt;=10,"Passable",TRUE,"Insuffisant")</f>
        <v>Très bien</v>
      </c>
      <c r="O382">
        <v>0.9073</v>
      </c>
      <c r="P382">
        <v>75000</v>
      </c>
      <c r="Q382" s="2">
        <v>45718</v>
      </c>
    </row>
    <row r="383" spans="1:17" x14ac:dyDescent="0.45">
      <c r="A383" t="s">
        <v>628</v>
      </c>
      <c r="B383" t="s">
        <v>503</v>
      </c>
      <c r="C383" t="s">
        <v>19</v>
      </c>
      <c r="D383" t="s">
        <v>35</v>
      </c>
      <c r="E383" t="s">
        <v>42</v>
      </c>
      <c r="F383">
        <v>18.48</v>
      </c>
      <c r="G383">
        <v>14.68</v>
      </c>
      <c r="H383">
        <v>14.69</v>
      </c>
      <c r="I383" s="4" t="str">
        <f t="shared" si="20"/>
        <v>Admis</v>
      </c>
      <c r="J383" s="4" t="str">
        <f t="shared" si="21"/>
        <v>Non eligible</v>
      </c>
      <c r="K383">
        <v>14.65</v>
      </c>
      <c r="L383" s="6" t="str">
        <f t="shared" si="22"/>
        <v>RAS</v>
      </c>
      <c r="M383" s="6" t="str">
        <f t="shared" si="23"/>
        <v>Hors Data</v>
      </c>
      <c r="N383" s="8" t="str" cm="1">
        <f t="array" ref="N383">_xlfn.IFS(H383&gt;=16,"Excellent",H383&gt;=14,"Très bien",H383&gt;=12,"Bien",H383&gt;=10,"Passable",TRUE,"Insuffisant")</f>
        <v>Très bien</v>
      </c>
      <c r="O383">
        <v>0.65949999999999998</v>
      </c>
      <c r="P383">
        <v>110000</v>
      </c>
      <c r="Q383" s="2">
        <v>46162</v>
      </c>
    </row>
    <row r="384" spans="1:17" x14ac:dyDescent="0.45">
      <c r="A384" t="s">
        <v>629</v>
      </c>
      <c r="B384" t="s">
        <v>630</v>
      </c>
      <c r="C384" t="s">
        <v>19</v>
      </c>
      <c r="D384" t="s">
        <v>20</v>
      </c>
      <c r="E384" t="s">
        <v>21</v>
      </c>
      <c r="F384">
        <v>11.61</v>
      </c>
      <c r="G384">
        <v>15.77</v>
      </c>
      <c r="H384">
        <v>12.87</v>
      </c>
      <c r="I384" s="4" t="str">
        <f t="shared" si="20"/>
        <v>Admis</v>
      </c>
      <c r="J384" s="4" t="str">
        <f t="shared" si="21"/>
        <v>Non eligible</v>
      </c>
      <c r="K384">
        <v>11.87</v>
      </c>
      <c r="L384" s="6" t="str">
        <f t="shared" si="22"/>
        <v>RAS</v>
      </c>
      <c r="M384" s="6" t="str">
        <f t="shared" si="23"/>
        <v>Hors Data</v>
      </c>
      <c r="N384" s="8" t="str" cm="1">
        <f t="array" ref="N384">_xlfn.IFS(H384&gt;=16,"Excellent",H384&gt;=14,"Très bien",H384&gt;=12,"Bien",H384&gt;=10,"Passable",TRUE,"Insuffisant")</f>
        <v>Bien</v>
      </c>
      <c r="O384">
        <v>0.80689999999999995</v>
      </c>
      <c r="P384">
        <v>70000</v>
      </c>
      <c r="Q384" s="2">
        <v>45717</v>
      </c>
    </row>
    <row r="385" spans="1:17" x14ac:dyDescent="0.45">
      <c r="A385" t="s">
        <v>631</v>
      </c>
      <c r="B385" t="s">
        <v>69</v>
      </c>
      <c r="C385" t="s">
        <v>14</v>
      </c>
      <c r="D385" t="s">
        <v>28</v>
      </c>
      <c r="E385" t="s">
        <v>42</v>
      </c>
      <c r="F385">
        <v>11.48</v>
      </c>
      <c r="G385">
        <v>15.81</v>
      </c>
      <c r="H385">
        <v>10.62</v>
      </c>
      <c r="I385" s="4" t="str">
        <f t="shared" si="20"/>
        <v>Admis</v>
      </c>
      <c r="J385" s="4" t="str">
        <f t="shared" si="21"/>
        <v>Non eligible</v>
      </c>
      <c r="K385">
        <v>12.43</v>
      </c>
      <c r="L385" s="6" t="str">
        <f t="shared" si="22"/>
        <v>RAS</v>
      </c>
      <c r="M385" s="6" t="str">
        <f t="shared" si="23"/>
        <v>Hors Data</v>
      </c>
      <c r="N385" s="8" t="str" cm="1">
        <f t="array" ref="N385">_xlfn.IFS(H385&gt;=16,"Excellent",H385&gt;=14,"Très bien",H385&gt;=12,"Bien",H385&gt;=10,"Passable",TRUE,"Insuffisant")</f>
        <v>Passable</v>
      </c>
      <c r="O385">
        <v>0.87890000000000001</v>
      </c>
      <c r="P385">
        <v>50000</v>
      </c>
      <c r="Q385" s="2">
        <v>45666</v>
      </c>
    </row>
    <row r="386" spans="1:17" x14ac:dyDescent="0.45">
      <c r="A386" t="s">
        <v>632</v>
      </c>
      <c r="B386" t="s">
        <v>151</v>
      </c>
      <c r="C386" t="s">
        <v>14</v>
      </c>
      <c r="D386" t="s">
        <v>28</v>
      </c>
      <c r="E386" t="s">
        <v>42</v>
      </c>
      <c r="F386">
        <v>15.1</v>
      </c>
      <c r="G386">
        <v>18.8</v>
      </c>
      <c r="H386">
        <v>17.45</v>
      </c>
      <c r="I386" s="4" t="str">
        <f t="shared" si="20"/>
        <v>Admis</v>
      </c>
      <c r="J386" s="4" t="str">
        <f t="shared" si="21"/>
        <v>Non eligible</v>
      </c>
      <c r="K386">
        <v>14.88</v>
      </c>
      <c r="L386" s="6" t="str">
        <f t="shared" si="22"/>
        <v>RAS</v>
      </c>
      <c r="M386" s="6" t="str">
        <f t="shared" si="23"/>
        <v>Hors Data</v>
      </c>
      <c r="N386" s="8" t="str" cm="1">
        <f t="array" ref="N386">_xlfn.IFS(H386&gt;=16,"Excellent",H386&gt;=14,"Très bien",H386&gt;=12,"Bien",H386&gt;=10,"Passable",TRUE,"Insuffisant")</f>
        <v>Excellent</v>
      </c>
      <c r="O386">
        <v>0.73029999999999995</v>
      </c>
      <c r="P386">
        <v>85000</v>
      </c>
      <c r="Q386" s="2">
        <v>45718</v>
      </c>
    </row>
    <row r="387" spans="1:17" x14ac:dyDescent="0.45">
      <c r="A387" t="s">
        <v>633</v>
      </c>
      <c r="B387" t="s">
        <v>634</v>
      </c>
      <c r="C387" t="s">
        <v>14</v>
      </c>
      <c r="D387" t="s">
        <v>35</v>
      </c>
      <c r="E387" t="s">
        <v>16</v>
      </c>
      <c r="F387">
        <v>9.8800000000000008</v>
      </c>
      <c r="G387">
        <v>14.25</v>
      </c>
      <c r="H387">
        <v>14.7</v>
      </c>
      <c r="I387" s="4" t="str">
        <f t="shared" ref="I387:I450" si="24">IF(H387&gt;=10,"Admis","Non admis")</f>
        <v>Admis</v>
      </c>
      <c r="J387" s="4" t="str">
        <f t="shared" ref="J387:J450" si="25">IF(AND(F387&gt;=12,H387&gt;=12,O387&gt;=0.8),"Eligible","Non eligible")</f>
        <v>Non eligible</v>
      </c>
      <c r="K387">
        <v>8.82</v>
      </c>
      <c r="L387" s="6" t="str">
        <f t="shared" ref="L387:L450" si="26">IF(OR(F387&lt;10,H387&lt;10),"A surveiller","RAS")</f>
        <v>A surveiller</v>
      </c>
      <c r="M387" s="6" t="str">
        <f t="shared" ref="M387:M450" si="27">IF(NOT(E387="Data"),"Hors Data","Data")</f>
        <v>Data</v>
      </c>
      <c r="N387" s="8" t="str" cm="1">
        <f t="array" ref="N387">_xlfn.IFS(H387&gt;=16,"Excellent",H387&gt;=14,"Très bien",H387&gt;=12,"Bien",H387&gt;=10,"Passable",TRUE,"Insuffisant")</f>
        <v>Très bien</v>
      </c>
      <c r="O387">
        <v>0.9486</v>
      </c>
      <c r="P387">
        <v>50000</v>
      </c>
      <c r="Q387" s="2">
        <v>45762</v>
      </c>
    </row>
    <row r="388" spans="1:17" x14ac:dyDescent="0.45">
      <c r="A388" t="s">
        <v>635</v>
      </c>
      <c r="B388" t="s">
        <v>242</v>
      </c>
      <c r="C388" t="s">
        <v>14</v>
      </c>
      <c r="D388" t="s">
        <v>35</v>
      </c>
      <c r="E388" t="s">
        <v>16</v>
      </c>
      <c r="F388">
        <v>15.06</v>
      </c>
      <c r="G388">
        <v>15.18</v>
      </c>
      <c r="H388">
        <v>10.81</v>
      </c>
      <c r="I388" s="4" t="str">
        <f t="shared" si="24"/>
        <v>Admis</v>
      </c>
      <c r="J388" s="4" t="str">
        <f t="shared" si="25"/>
        <v>Non eligible</v>
      </c>
      <c r="K388">
        <v>15.1</v>
      </c>
      <c r="L388" s="6" t="str">
        <f t="shared" si="26"/>
        <v>RAS</v>
      </c>
      <c r="M388" s="6" t="str">
        <f t="shared" si="27"/>
        <v>Data</v>
      </c>
      <c r="N388" s="8" t="str" cm="1">
        <f t="array" ref="N388">_xlfn.IFS(H388&gt;=16,"Excellent",H388&gt;=14,"Très bien",H388&gt;=12,"Bien",H388&gt;=10,"Passable",TRUE,"Insuffisant")</f>
        <v>Passable</v>
      </c>
      <c r="O388">
        <v>0.60780000000000001</v>
      </c>
      <c r="P388">
        <v>70000</v>
      </c>
      <c r="Q388" s="2">
        <v>45620</v>
      </c>
    </row>
    <row r="389" spans="1:17" x14ac:dyDescent="0.45">
      <c r="A389" t="s">
        <v>636</v>
      </c>
      <c r="B389" t="s">
        <v>546</v>
      </c>
      <c r="C389" t="s">
        <v>19</v>
      </c>
      <c r="D389" t="s">
        <v>15</v>
      </c>
      <c r="E389" t="s">
        <v>16</v>
      </c>
      <c r="F389">
        <v>20</v>
      </c>
      <c r="G389">
        <v>18.57</v>
      </c>
      <c r="H389">
        <v>18.29</v>
      </c>
      <c r="I389" s="4" t="str">
        <f t="shared" si="24"/>
        <v>Admis</v>
      </c>
      <c r="J389" s="4" t="str">
        <f t="shared" si="25"/>
        <v>Eligible</v>
      </c>
      <c r="K389">
        <v>14.76</v>
      </c>
      <c r="L389" s="6" t="str">
        <f t="shared" si="26"/>
        <v>RAS</v>
      </c>
      <c r="M389" s="6" t="str">
        <f t="shared" si="27"/>
        <v>Data</v>
      </c>
      <c r="N389" s="8" t="str" cm="1">
        <f t="array" ref="N389">_xlfn.IFS(H389&gt;=16,"Excellent",H389&gt;=14,"Très bien",H389&gt;=12,"Bien",H389&gt;=10,"Passable",TRUE,"Insuffisant")</f>
        <v>Excellent</v>
      </c>
      <c r="O389">
        <v>0.86929999999999996</v>
      </c>
      <c r="P389">
        <v>80000</v>
      </c>
      <c r="Q389" s="2">
        <v>45947</v>
      </c>
    </row>
    <row r="390" spans="1:17" x14ac:dyDescent="0.45">
      <c r="A390" t="s">
        <v>637</v>
      </c>
      <c r="B390" t="s">
        <v>256</v>
      </c>
      <c r="C390" t="s">
        <v>19</v>
      </c>
      <c r="D390" t="s">
        <v>47</v>
      </c>
      <c r="E390" t="s">
        <v>42</v>
      </c>
      <c r="F390">
        <v>15.55</v>
      </c>
      <c r="G390">
        <v>18.18</v>
      </c>
      <c r="H390">
        <v>17.79</v>
      </c>
      <c r="I390" s="4" t="str">
        <f t="shared" si="24"/>
        <v>Admis</v>
      </c>
      <c r="J390" s="4" t="str">
        <f t="shared" si="25"/>
        <v>Eligible</v>
      </c>
      <c r="K390">
        <v>13.1</v>
      </c>
      <c r="L390" s="6" t="str">
        <f t="shared" si="26"/>
        <v>RAS</v>
      </c>
      <c r="M390" s="6" t="str">
        <f t="shared" si="27"/>
        <v>Hors Data</v>
      </c>
      <c r="N390" s="8" t="str" cm="1">
        <f t="array" ref="N390">_xlfn.IFS(H390&gt;=16,"Excellent",H390&gt;=14,"Très bien",H390&gt;=12,"Bien",H390&gt;=10,"Passable",TRUE,"Insuffisant")</f>
        <v>Excellent</v>
      </c>
      <c r="O390">
        <v>0.9224</v>
      </c>
      <c r="P390">
        <v>50000</v>
      </c>
      <c r="Q390" s="2">
        <v>45769</v>
      </c>
    </row>
    <row r="391" spans="1:17" x14ac:dyDescent="0.45">
      <c r="A391" t="s">
        <v>638</v>
      </c>
      <c r="B391" t="s">
        <v>364</v>
      </c>
      <c r="C391" t="s">
        <v>14</v>
      </c>
      <c r="D391" t="s">
        <v>47</v>
      </c>
      <c r="E391" t="s">
        <v>29</v>
      </c>
      <c r="F391">
        <v>7.21</v>
      </c>
      <c r="G391">
        <v>14.42</v>
      </c>
      <c r="H391">
        <v>9.4600000000000009</v>
      </c>
      <c r="I391" s="4" t="str">
        <f t="shared" si="24"/>
        <v>Non admis</v>
      </c>
      <c r="J391" s="4" t="str">
        <f t="shared" si="25"/>
        <v>Non eligible</v>
      </c>
      <c r="K391">
        <v>11.73</v>
      </c>
      <c r="L391" s="6" t="str">
        <f t="shared" si="26"/>
        <v>A surveiller</v>
      </c>
      <c r="M391" s="6" t="str">
        <f t="shared" si="27"/>
        <v>Hors Data</v>
      </c>
      <c r="N391" s="8" t="str" cm="1">
        <f t="array" ref="N391">_xlfn.IFS(H391&gt;=16,"Excellent",H391&gt;=14,"Très bien",H391&gt;=12,"Bien",H391&gt;=10,"Passable",TRUE,"Insuffisant")</f>
        <v>Insuffisant</v>
      </c>
      <c r="O391">
        <v>0.78449999999999998</v>
      </c>
      <c r="P391">
        <v>70000</v>
      </c>
      <c r="Q391" s="2">
        <v>46038</v>
      </c>
    </row>
    <row r="392" spans="1:17" x14ac:dyDescent="0.45">
      <c r="A392" t="s">
        <v>639</v>
      </c>
      <c r="B392" t="s">
        <v>640</v>
      </c>
      <c r="C392" t="s">
        <v>19</v>
      </c>
      <c r="D392" t="s">
        <v>32</v>
      </c>
      <c r="E392" t="s">
        <v>16</v>
      </c>
      <c r="F392">
        <v>12.8</v>
      </c>
      <c r="G392">
        <v>10.32</v>
      </c>
      <c r="H392">
        <v>13.53</v>
      </c>
      <c r="I392" s="4" t="str">
        <f t="shared" si="24"/>
        <v>Admis</v>
      </c>
      <c r="J392" s="4" t="str">
        <f t="shared" si="25"/>
        <v>Eligible</v>
      </c>
      <c r="K392">
        <v>10.1</v>
      </c>
      <c r="L392" s="6" t="str">
        <f t="shared" si="26"/>
        <v>RAS</v>
      </c>
      <c r="M392" s="6" t="str">
        <f t="shared" si="27"/>
        <v>Data</v>
      </c>
      <c r="N392" s="8" t="str" cm="1">
        <f t="array" ref="N392">_xlfn.IFS(H392&gt;=16,"Excellent",H392&gt;=14,"Très bien",H392&gt;=12,"Bien",H392&gt;=10,"Passable",TRUE,"Insuffisant")</f>
        <v>Bien</v>
      </c>
      <c r="O392">
        <v>0.92059999999999997</v>
      </c>
      <c r="P392">
        <v>85000</v>
      </c>
      <c r="Q392" s="2">
        <v>45879</v>
      </c>
    </row>
    <row r="393" spans="1:17" x14ac:dyDescent="0.45">
      <c r="A393" t="s">
        <v>641</v>
      </c>
      <c r="B393" t="s">
        <v>196</v>
      </c>
      <c r="C393" t="s">
        <v>14</v>
      </c>
      <c r="D393" t="s">
        <v>47</v>
      </c>
      <c r="E393" t="s">
        <v>42</v>
      </c>
      <c r="F393">
        <v>12.43</v>
      </c>
      <c r="G393">
        <v>10.48</v>
      </c>
      <c r="H393">
        <v>15.24</v>
      </c>
      <c r="I393" s="4" t="str">
        <f t="shared" si="24"/>
        <v>Admis</v>
      </c>
      <c r="J393" s="4" t="str">
        <f t="shared" si="25"/>
        <v>Eligible</v>
      </c>
      <c r="K393">
        <v>15.84</v>
      </c>
      <c r="L393" s="6" t="str">
        <f t="shared" si="26"/>
        <v>RAS</v>
      </c>
      <c r="M393" s="6" t="str">
        <f t="shared" si="27"/>
        <v>Hors Data</v>
      </c>
      <c r="N393" s="8" t="str" cm="1">
        <f t="array" ref="N393">_xlfn.IFS(H393&gt;=16,"Excellent",H393&gt;=14,"Très bien",H393&gt;=12,"Bien",H393&gt;=10,"Passable",TRUE,"Insuffisant")</f>
        <v>Très bien</v>
      </c>
      <c r="O393">
        <v>0.82630000000000003</v>
      </c>
      <c r="P393">
        <v>80000</v>
      </c>
      <c r="Q393" s="2">
        <v>45845</v>
      </c>
    </row>
    <row r="394" spans="1:17" x14ac:dyDescent="0.45">
      <c r="A394" t="s">
        <v>642</v>
      </c>
      <c r="B394" t="s">
        <v>643</v>
      </c>
      <c r="C394" t="s">
        <v>14</v>
      </c>
      <c r="D394" t="s">
        <v>32</v>
      </c>
      <c r="E394" t="s">
        <v>21</v>
      </c>
      <c r="F394">
        <v>12.88</v>
      </c>
      <c r="G394">
        <v>14.27</v>
      </c>
      <c r="H394">
        <v>13.16</v>
      </c>
      <c r="I394" s="4" t="str">
        <f t="shared" si="24"/>
        <v>Admis</v>
      </c>
      <c r="J394" s="4" t="str">
        <f t="shared" si="25"/>
        <v>Eligible</v>
      </c>
      <c r="K394">
        <v>12.73</v>
      </c>
      <c r="L394" s="6" t="str">
        <f t="shared" si="26"/>
        <v>RAS</v>
      </c>
      <c r="M394" s="6" t="str">
        <f t="shared" si="27"/>
        <v>Hors Data</v>
      </c>
      <c r="N394" s="8" t="str" cm="1">
        <f t="array" ref="N394">_xlfn.IFS(H394&gt;=16,"Excellent",H394&gt;=14,"Très bien",H394&gt;=12,"Bien",H394&gt;=10,"Passable",TRUE,"Insuffisant")</f>
        <v>Bien</v>
      </c>
      <c r="O394">
        <v>0.94930000000000003</v>
      </c>
      <c r="P394">
        <v>120000</v>
      </c>
      <c r="Q394" s="2">
        <v>45865</v>
      </c>
    </row>
    <row r="395" spans="1:17" x14ac:dyDescent="0.45">
      <c r="A395" t="s">
        <v>644</v>
      </c>
      <c r="B395" t="s">
        <v>645</v>
      </c>
      <c r="C395" t="s">
        <v>19</v>
      </c>
      <c r="D395" t="s">
        <v>47</v>
      </c>
      <c r="E395" t="s">
        <v>29</v>
      </c>
      <c r="F395">
        <v>12.98</v>
      </c>
      <c r="G395">
        <v>12.45</v>
      </c>
      <c r="H395">
        <v>13.85</v>
      </c>
      <c r="I395" s="4" t="str">
        <f t="shared" si="24"/>
        <v>Admis</v>
      </c>
      <c r="J395" s="4" t="str">
        <f t="shared" si="25"/>
        <v>Non eligible</v>
      </c>
      <c r="K395">
        <v>12.73</v>
      </c>
      <c r="L395" s="6" t="str">
        <f t="shared" si="26"/>
        <v>RAS</v>
      </c>
      <c r="M395" s="6" t="str">
        <f t="shared" si="27"/>
        <v>Hors Data</v>
      </c>
      <c r="N395" s="8" t="str" cm="1">
        <f t="array" ref="N395">_xlfn.IFS(H395&gt;=16,"Excellent",H395&gt;=14,"Très bien",H395&gt;=12,"Bien",H395&gt;=10,"Passable",TRUE,"Insuffisant")</f>
        <v>Bien</v>
      </c>
      <c r="O395">
        <v>0.55000000000000004</v>
      </c>
      <c r="P395">
        <v>60000</v>
      </c>
      <c r="Q395" s="2">
        <v>45645</v>
      </c>
    </row>
    <row r="396" spans="1:17" x14ac:dyDescent="0.45">
      <c r="A396" t="s">
        <v>646</v>
      </c>
      <c r="B396" t="s">
        <v>647</v>
      </c>
      <c r="C396" t="s">
        <v>19</v>
      </c>
      <c r="D396" t="s">
        <v>35</v>
      </c>
      <c r="E396" t="s">
        <v>21</v>
      </c>
      <c r="F396">
        <v>16</v>
      </c>
      <c r="G396">
        <v>16.41</v>
      </c>
      <c r="H396">
        <v>20</v>
      </c>
      <c r="I396" s="4" t="str">
        <f t="shared" si="24"/>
        <v>Admis</v>
      </c>
      <c r="J396" s="4" t="str">
        <f t="shared" si="25"/>
        <v>Eligible</v>
      </c>
      <c r="K396">
        <v>14.9</v>
      </c>
      <c r="L396" s="6" t="str">
        <f t="shared" si="26"/>
        <v>RAS</v>
      </c>
      <c r="M396" s="6" t="str">
        <f t="shared" si="27"/>
        <v>Hors Data</v>
      </c>
      <c r="N396" s="8" t="str" cm="1">
        <f t="array" ref="N396">_xlfn.IFS(H396&gt;=16,"Excellent",H396&gt;=14,"Très bien",H396&gt;=12,"Bien",H396&gt;=10,"Passable",TRUE,"Insuffisant")</f>
        <v>Excellent</v>
      </c>
      <c r="O396">
        <v>0.89339999999999997</v>
      </c>
      <c r="P396">
        <v>100000</v>
      </c>
      <c r="Q396" s="2">
        <v>46035</v>
      </c>
    </row>
    <row r="397" spans="1:17" x14ac:dyDescent="0.45">
      <c r="A397" t="s">
        <v>648</v>
      </c>
      <c r="B397" t="s">
        <v>649</v>
      </c>
      <c r="C397" t="s">
        <v>19</v>
      </c>
      <c r="D397" t="s">
        <v>47</v>
      </c>
      <c r="E397" t="s">
        <v>42</v>
      </c>
      <c r="F397">
        <v>8.5299999999999994</v>
      </c>
      <c r="G397">
        <v>11.41</v>
      </c>
      <c r="H397">
        <v>13.13</v>
      </c>
      <c r="I397" s="4" t="str">
        <f t="shared" si="24"/>
        <v>Admis</v>
      </c>
      <c r="J397" s="4" t="str">
        <f t="shared" si="25"/>
        <v>Non eligible</v>
      </c>
      <c r="K397">
        <v>8.51</v>
      </c>
      <c r="L397" s="6" t="str">
        <f t="shared" si="26"/>
        <v>A surveiller</v>
      </c>
      <c r="M397" s="6" t="str">
        <f t="shared" si="27"/>
        <v>Hors Data</v>
      </c>
      <c r="N397" s="8" t="str" cm="1">
        <f t="array" ref="N397">_xlfn.IFS(H397&gt;=16,"Excellent",H397&gt;=14,"Très bien",H397&gt;=12,"Bien",H397&gt;=10,"Passable",TRUE,"Insuffisant")</f>
        <v>Bien</v>
      </c>
      <c r="O397">
        <v>0.95520000000000005</v>
      </c>
      <c r="P397">
        <v>90000</v>
      </c>
      <c r="Q397" s="2">
        <v>45608</v>
      </c>
    </row>
    <row r="398" spans="1:17" x14ac:dyDescent="0.45">
      <c r="A398" t="s">
        <v>650</v>
      </c>
      <c r="B398" t="s">
        <v>651</v>
      </c>
      <c r="C398" t="s">
        <v>14</v>
      </c>
      <c r="D398" t="s">
        <v>28</v>
      </c>
      <c r="E398" t="s">
        <v>42</v>
      </c>
      <c r="F398">
        <v>17.260000000000002</v>
      </c>
      <c r="G398">
        <v>17.98</v>
      </c>
      <c r="H398">
        <v>15.98</v>
      </c>
      <c r="I398" s="4" t="str">
        <f t="shared" si="24"/>
        <v>Admis</v>
      </c>
      <c r="J398" s="4" t="str">
        <f t="shared" si="25"/>
        <v>Eligible</v>
      </c>
      <c r="K398">
        <v>13.14</v>
      </c>
      <c r="L398" s="6" t="str">
        <f t="shared" si="26"/>
        <v>RAS</v>
      </c>
      <c r="M398" s="6" t="str">
        <f t="shared" si="27"/>
        <v>Hors Data</v>
      </c>
      <c r="N398" s="8" t="str" cm="1">
        <f t="array" ref="N398">_xlfn.IFS(H398&gt;=16,"Excellent",H398&gt;=14,"Très bien",H398&gt;=12,"Bien",H398&gt;=10,"Passable",TRUE,"Insuffisant")</f>
        <v>Très bien</v>
      </c>
      <c r="O398">
        <v>0.81210000000000004</v>
      </c>
      <c r="P398">
        <v>100000</v>
      </c>
      <c r="Q398" s="2">
        <v>46041</v>
      </c>
    </row>
    <row r="399" spans="1:17" x14ac:dyDescent="0.45">
      <c r="A399" t="s">
        <v>652</v>
      </c>
      <c r="B399" t="s">
        <v>653</v>
      </c>
      <c r="C399" t="s">
        <v>14</v>
      </c>
      <c r="D399" t="s">
        <v>15</v>
      </c>
      <c r="E399" t="s">
        <v>21</v>
      </c>
      <c r="F399">
        <v>11.24</v>
      </c>
      <c r="G399">
        <v>15.76</v>
      </c>
      <c r="H399">
        <v>11.47</v>
      </c>
      <c r="I399" s="4" t="str">
        <f t="shared" si="24"/>
        <v>Admis</v>
      </c>
      <c r="J399" s="4" t="str">
        <f t="shared" si="25"/>
        <v>Non eligible</v>
      </c>
      <c r="K399">
        <v>11.96</v>
      </c>
      <c r="L399" s="6" t="str">
        <f t="shared" si="26"/>
        <v>RAS</v>
      </c>
      <c r="M399" s="6" t="str">
        <f t="shared" si="27"/>
        <v>Hors Data</v>
      </c>
      <c r="N399" s="8" t="str" cm="1">
        <f t="array" ref="N399">_xlfn.IFS(H399&gt;=16,"Excellent",H399&gt;=14,"Très bien",H399&gt;=12,"Bien",H399&gt;=10,"Passable",TRUE,"Insuffisant")</f>
        <v>Passable</v>
      </c>
      <c r="O399">
        <v>0.86140000000000005</v>
      </c>
      <c r="P399">
        <v>100000</v>
      </c>
      <c r="Q399" s="2">
        <v>46235</v>
      </c>
    </row>
    <row r="400" spans="1:17" x14ac:dyDescent="0.45">
      <c r="A400" t="s">
        <v>654</v>
      </c>
      <c r="B400" t="s">
        <v>508</v>
      </c>
      <c r="C400" t="s">
        <v>14</v>
      </c>
      <c r="D400" t="s">
        <v>32</v>
      </c>
      <c r="E400" t="s">
        <v>16</v>
      </c>
      <c r="F400">
        <v>12.47</v>
      </c>
      <c r="G400">
        <v>10.71</v>
      </c>
      <c r="H400">
        <v>12.73</v>
      </c>
      <c r="I400" s="4" t="str">
        <f t="shared" si="24"/>
        <v>Admis</v>
      </c>
      <c r="J400" s="4" t="str">
        <f t="shared" si="25"/>
        <v>Non eligible</v>
      </c>
      <c r="K400">
        <v>12.39</v>
      </c>
      <c r="L400" s="6" t="str">
        <f t="shared" si="26"/>
        <v>RAS</v>
      </c>
      <c r="M400" s="6" t="str">
        <f t="shared" si="27"/>
        <v>Data</v>
      </c>
      <c r="N400" s="8" t="str" cm="1">
        <f t="array" ref="N400">_xlfn.IFS(H400&gt;=16,"Excellent",H400&gt;=14,"Très bien",H400&gt;=12,"Bien",H400&gt;=10,"Passable",TRUE,"Insuffisant")</f>
        <v>Bien</v>
      </c>
      <c r="O400">
        <v>0.76500000000000001</v>
      </c>
      <c r="P400">
        <v>50000</v>
      </c>
      <c r="Q400" s="2">
        <v>46070</v>
      </c>
    </row>
    <row r="401" spans="1:17" x14ac:dyDescent="0.45">
      <c r="A401" t="s">
        <v>655</v>
      </c>
      <c r="B401" t="s">
        <v>656</v>
      </c>
      <c r="C401" t="s">
        <v>14</v>
      </c>
      <c r="D401" t="s">
        <v>20</v>
      </c>
      <c r="E401" t="s">
        <v>21</v>
      </c>
      <c r="F401">
        <v>17</v>
      </c>
      <c r="G401">
        <v>11.3</v>
      </c>
      <c r="H401">
        <v>12.69</v>
      </c>
      <c r="I401" s="4" t="str">
        <f t="shared" si="24"/>
        <v>Admis</v>
      </c>
      <c r="J401" s="4" t="str">
        <f t="shared" si="25"/>
        <v>Eligible</v>
      </c>
      <c r="K401">
        <v>9.6300000000000008</v>
      </c>
      <c r="L401" s="6" t="str">
        <f t="shared" si="26"/>
        <v>RAS</v>
      </c>
      <c r="M401" s="6" t="str">
        <f t="shared" si="27"/>
        <v>Hors Data</v>
      </c>
      <c r="N401" s="8" t="str" cm="1">
        <f t="array" ref="N401">_xlfn.IFS(H401&gt;=16,"Excellent",H401&gt;=14,"Très bien",H401&gt;=12,"Bien",H401&gt;=10,"Passable",TRUE,"Insuffisant")</f>
        <v>Bien</v>
      </c>
      <c r="O401">
        <v>0.94640000000000002</v>
      </c>
      <c r="P401">
        <v>110000</v>
      </c>
      <c r="Q401" s="2">
        <v>45854</v>
      </c>
    </row>
    <row r="402" spans="1:17" x14ac:dyDescent="0.45">
      <c r="A402" t="s">
        <v>657</v>
      </c>
      <c r="B402" t="s">
        <v>73</v>
      </c>
      <c r="C402" t="s">
        <v>19</v>
      </c>
      <c r="D402" t="s">
        <v>35</v>
      </c>
      <c r="E402" t="s">
        <v>21</v>
      </c>
      <c r="F402">
        <v>15.65</v>
      </c>
      <c r="G402">
        <v>19.149999999999999</v>
      </c>
      <c r="H402">
        <v>14.4</v>
      </c>
      <c r="I402" s="4" t="str">
        <f t="shared" si="24"/>
        <v>Admis</v>
      </c>
      <c r="J402" s="4" t="str">
        <f t="shared" si="25"/>
        <v>Eligible</v>
      </c>
      <c r="K402">
        <v>11.49</v>
      </c>
      <c r="L402" s="6" t="str">
        <f t="shared" si="26"/>
        <v>RAS</v>
      </c>
      <c r="M402" s="6" t="str">
        <f t="shared" si="27"/>
        <v>Hors Data</v>
      </c>
      <c r="N402" s="8" t="str" cm="1">
        <f t="array" ref="N402">_xlfn.IFS(H402&gt;=16,"Excellent",H402&gt;=14,"Très bien",H402&gt;=12,"Bien",H402&gt;=10,"Passable",TRUE,"Insuffisant")</f>
        <v>Très bien</v>
      </c>
      <c r="O402">
        <v>0.96989999999999998</v>
      </c>
      <c r="P402">
        <v>75000</v>
      </c>
      <c r="Q402" s="2">
        <v>45756</v>
      </c>
    </row>
    <row r="403" spans="1:17" x14ac:dyDescent="0.45">
      <c r="A403" t="s">
        <v>658</v>
      </c>
      <c r="B403" t="s">
        <v>356</v>
      </c>
      <c r="C403" t="s">
        <v>19</v>
      </c>
      <c r="D403" t="s">
        <v>20</v>
      </c>
      <c r="E403" t="s">
        <v>21</v>
      </c>
      <c r="F403">
        <v>17.21</v>
      </c>
      <c r="G403">
        <v>14.03</v>
      </c>
      <c r="H403">
        <v>16.63</v>
      </c>
      <c r="I403" s="4" t="str">
        <f t="shared" si="24"/>
        <v>Admis</v>
      </c>
      <c r="J403" s="4" t="str">
        <f t="shared" si="25"/>
        <v>Eligible</v>
      </c>
      <c r="K403">
        <v>14.41</v>
      </c>
      <c r="L403" s="6" t="str">
        <f t="shared" si="26"/>
        <v>RAS</v>
      </c>
      <c r="M403" s="6" t="str">
        <f t="shared" si="27"/>
        <v>Hors Data</v>
      </c>
      <c r="N403" s="8" t="str" cm="1">
        <f t="array" ref="N403">_xlfn.IFS(H403&gt;=16,"Excellent",H403&gt;=14,"Très bien",H403&gt;=12,"Bien",H403&gt;=10,"Passable",TRUE,"Insuffisant")</f>
        <v>Excellent</v>
      </c>
      <c r="O403">
        <v>0.84499999999999997</v>
      </c>
      <c r="P403">
        <v>100000</v>
      </c>
      <c r="Q403" s="2">
        <v>46146</v>
      </c>
    </row>
    <row r="404" spans="1:17" x14ac:dyDescent="0.45">
      <c r="A404" t="s">
        <v>659</v>
      </c>
      <c r="B404" t="s">
        <v>252</v>
      </c>
      <c r="C404" t="s">
        <v>14</v>
      </c>
      <c r="D404" t="s">
        <v>35</v>
      </c>
      <c r="E404" t="s">
        <v>42</v>
      </c>
      <c r="F404">
        <v>12.9</v>
      </c>
      <c r="G404">
        <v>15.15</v>
      </c>
      <c r="H404">
        <v>16.61</v>
      </c>
      <c r="I404" s="4" t="str">
        <f t="shared" si="24"/>
        <v>Admis</v>
      </c>
      <c r="J404" s="4" t="str">
        <f t="shared" si="25"/>
        <v>Eligible</v>
      </c>
      <c r="K404">
        <v>19.309999999999999</v>
      </c>
      <c r="L404" s="6" t="str">
        <f t="shared" si="26"/>
        <v>RAS</v>
      </c>
      <c r="M404" s="6" t="str">
        <f t="shared" si="27"/>
        <v>Hors Data</v>
      </c>
      <c r="N404" s="8" t="str" cm="1">
        <f t="array" ref="N404">_xlfn.IFS(H404&gt;=16,"Excellent",H404&gt;=14,"Très bien",H404&gt;=12,"Bien",H404&gt;=10,"Passable",TRUE,"Insuffisant")</f>
        <v>Excellent</v>
      </c>
      <c r="O404">
        <v>0.91410000000000002</v>
      </c>
      <c r="P404">
        <v>75000</v>
      </c>
      <c r="Q404" s="2">
        <v>45716</v>
      </c>
    </row>
    <row r="405" spans="1:17" x14ac:dyDescent="0.45">
      <c r="A405" t="s">
        <v>660</v>
      </c>
      <c r="B405" t="s">
        <v>661</v>
      </c>
      <c r="C405" t="s">
        <v>19</v>
      </c>
      <c r="D405" t="s">
        <v>28</v>
      </c>
      <c r="E405" t="s">
        <v>21</v>
      </c>
      <c r="F405">
        <v>9.51</v>
      </c>
      <c r="G405">
        <v>7.81</v>
      </c>
      <c r="H405">
        <v>8.35</v>
      </c>
      <c r="I405" s="4" t="str">
        <f t="shared" si="24"/>
        <v>Non admis</v>
      </c>
      <c r="J405" s="4" t="str">
        <f t="shared" si="25"/>
        <v>Non eligible</v>
      </c>
      <c r="K405">
        <v>10.99</v>
      </c>
      <c r="L405" s="6" t="str">
        <f t="shared" si="26"/>
        <v>A surveiller</v>
      </c>
      <c r="M405" s="6" t="str">
        <f t="shared" si="27"/>
        <v>Hors Data</v>
      </c>
      <c r="N405" s="8" t="str" cm="1">
        <f t="array" ref="N405">_xlfn.IFS(H405&gt;=16,"Excellent",H405&gt;=14,"Très bien",H405&gt;=12,"Bien",H405&gt;=10,"Passable",TRUE,"Insuffisant")</f>
        <v>Insuffisant</v>
      </c>
      <c r="O405">
        <v>0.66739999999999999</v>
      </c>
      <c r="P405">
        <v>80000</v>
      </c>
      <c r="Q405" s="2">
        <v>45873</v>
      </c>
    </row>
    <row r="406" spans="1:17" x14ac:dyDescent="0.45">
      <c r="A406" t="s">
        <v>662</v>
      </c>
      <c r="B406" t="s">
        <v>663</v>
      </c>
      <c r="C406" t="s">
        <v>14</v>
      </c>
      <c r="D406" t="s">
        <v>20</v>
      </c>
      <c r="E406" t="s">
        <v>21</v>
      </c>
      <c r="F406">
        <v>13.77</v>
      </c>
      <c r="G406">
        <v>16.27</v>
      </c>
      <c r="H406">
        <v>16.64</v>
      </c>
      <c r="I406" s="4" t="str">
        <f t="shared" si="24"/>
        <v>Admis</v>
      </c>
      <c r="J406" s="4" t="str">
        <f t="shared" si="25"/>
        <v>Eligible</v>
      </c>
      <c r="K406">
        <v>18.62</v>
      </c>
      <c r="L406" s="6" t="str">
        <f t="shared" si="26"/>
        <v>RAS</v>
      </c>
      <c r="M406" s="6" t="str">
        <f t="shared" si="27"/>
        <v>Hors Data</v>
      </c>
      <c r="N406" s="8" t="str" cm="1">
        <f t="array" ref="N406">_xlfn.IFS(H406&gt;=16,"Excellent",H406&gt;=14,"Très bien",H406&gt;=12,"Bien",H406&gt;=10,"Passable",TRUE,"Insuffisant")</f>
        <v>Excellent</v>
      </c>
      <c r="O406">
        <v>0.80230000000000001</v>
      </c>
      <c r="P406">
        <v>100000</v>
      </c>
      <c r="Q406" s="2">
        <v>46075</v>
      </c>
    </row>
    <row r="407" spans="1:17" x14ac:dyDescent="0.45">
      <c r="A407" t="s">
        <v>664</v>
      </c>
      <c r="B407" t="s">
        <v>665</v>
      </c>
      <c r="C407" t="s">
        <v>19</v>
      </c>
      <c r="D407" t="s">
        <v>47</v>
      </c>
      <c r="E407" t="s">
        <v>21</v>
      </c>
      <c r="F407">
        <v>13.66</v>
      </c>
      <c r="G407">
        <v>18.61</v>
      </c>
      <c r="H407">
        <v>20</v>
      </c>
      <c r="I407" s="4" t="str">
        <f t="shared" si="24"/>
        <v>Admis</v>
      </c>
      <c r="J407" s="4" t="str">
        <f t="shared" si="25"/>
        <v>Eligible</v>
      </c>
      <c r="K407">
        <v>17.59</v>
      </c>
      <c r="L407" s="6" t="str">
        <f t="shared" si="26"/>
        <v>RAS</v>
      </c>
      <c r="M407" s="6" t="str">
        <f t="shared" si="27"/>
        <v>Hors Data</v>
      </c>
      <c r="N407" s="8" t="str" cm="1">
        <f t="array" ref="N407">_xlfn.IFS(H407&gt;=16,"Excellent",H407&gt;=14,"Très bien",H407&gt;=12,"Bien",H407&gt;=10,"Passable",TRUE,"Insuffisant")</f>
        <v>Excellent</v>
      </c>
      <c r="O407">
        <v>0.92069999999999996</v>
      </c>
      <c r="P407">
        <v>130000</v>
      </c>
      <c r="Q407" s="2">
        <v>46181</v>
      </c>
    </row>
    <row r="408" spans="1:17" x14ac:dyDescent="0.45">
      <c r="A408" t="s">
        <v>666</v>
      </c>
      <c r="B408" t="s">
        <v>331</v>
      </c>
      <c r="C408" t="s">
        <v>14</v>
      </c>
      <c r="D408" t="s">
        <v>35</v>
      </c>
      <c r="E408" t="s">
        <v>21</v>
      </c>
      <c r="F408">
        <v>11.3</v>
      </c>
      <c r="G408">
        <v>13.85</v>
      </c>
      <c r="H408">
        <v>8.94</v>
      </c>
      <c r="I408" s="4" t="str">
        <f t="shared" si="24"/>
        <v>Non admis</v>
      </c>
      <c r="J408" s="4" t="str">
        <f t="shared" si="25"/>
        <v>Non eligible</v>
      </c>
      <c r="K408">
        <v>10.39</v>
      </c>
      <c r="L408" s="6" t="str">
        <f t="shared" si="26"/>
        <v>A surveiller</v>
      </c>
      <c r="M408" s="6" t="str">
        <f t="shared" si="27"/>
        <v>Hors Data</v>
      </c>
      <c r="N408" s="8" t="str" cm="1">
        <f t="array" ref="N408">_xlfn.IFS(H408&gt;=16,"Excellent",H408&gt;=14,"Très bien",H408&gt;=12,"Bien",H408&gt;=10,"Passable",TRUE,"Insuffisant")</f>
        <v>Insuffisant</v>
      </c>
      <c r="O408">
        <v>0.87849999999999995</v>
      </c>
      <c r="P408">
        <v>120000</v>
      </c>
      <c r="Q408" s="2">
        <v>46180</v>
      </c>
    </row>
    <row r="409" spans="1:17" x14ac:dyDescent="0.45">
      <c r="A409" t="s">
        <v>667</v>
      </c>
      <c r="B409" t="s">
        <v>285</v>
      </c>
      <c r="C409" t="s">
        <v>14</v>
      </c>
      <c r="D409" t="s">
        <v>20</v>
      </c>
      <c r="E409" t="s">
        <v>21</v>
      </c>
      <c r="F409">
        <v>14.47</v>
      </c>
      <c r="G409">
        <v>12.04</v>
      </c>
      <c r="H409">
        <v>12.67</v>
      </c>
      <c r="I409" s="4" t="str">
        <f t="shared" si="24"/>
        <v>Admis</v>
      </c>
      <c r="J409" s="4" t="str">
        <f t="shared" si="25"/>
        <v>Non eligible</v>
      </c>
      <c r="K409">
        <v>12.34</v>
      </c>
      <c r="L409" s="6" t="str">
        <f t="shared" si="26"/>
        <v>RAS</v>
      </c>
      <c r="M409" s="6" t="str">
        <f t="shared" si="27"/>
        <v>Hors Data</v>
      </c>
      <c r="N409" s="8" t="str" cm="1">
        <f t="array" ref="N409">_xlfn.IFS(H409&gt;=16,"Excellent",H409&gt;=14,"Très bien",H409&gt;=12,"Bien",H409&gt;=10,"Passable",TRUE,"Insuffisant")</f>
        <v>Bien</v>
      </c>
      <c r="O409">
        <v>0.66169999999999995</v>
      </c>
      <c r="P409">
        <v>100000</v>
      </c>
      <c r="Q409" s="2">
        <v>45597</v>
      </c>
    </row>
    <row r="410" spans="1:17" x14ac:dyDescent="0.45">
      <c r="A410" t="s">
        <v>668</v>
      </c>
      <c r="B410" t="s">
        <v>669</v>
      </c>
      <c r="C410" t="s">
        <v>19</v>
      </c>
      <c r="D410" t="s">
        <v>32</v>
      </c>
      <c r="E410" t="s">
        <v>29</v>
      </c>
      <c r="F410">
        <v>15.77</v>
      </c>
      <c r="G410">
        <v>16.079999999999998</v>
      </c>
      <c r="H410">
        <v>16.95</v>
      </c>
      <c r="I410" s="4" t="str">
        <f t="shared" si="24"/>
        <v>Admis</v>
      </c>
      <c r="J410" s="4" t="str">
        <f t="shared" si="25"/>
        <v>Eligible</v>
      </c>
      <c r="K410">
        <v>12.14</v>
      </c>
      <c r="L410" s="6" t="str">
        <f t="shared" si="26"/>
        <v>RAS</v>
      </c>
      <c r="M410" s="6" t="str">
        <f t="shared" si="27"/>
        <v>Hors Data</v>
      </c>
      <c r="N410" s="8" t="str" cm="1">
        <f t="array" ref="N410">_xlfn.IFS(H410&gt;=16,"Excellent",H410&gt;=14,"Très bien",H410&gt;=12,"Bien",H410&gt;=10,"Passable",TRUE,"Insuffisant")</f>
        <v>Excellent</v>
      </c>
      <c r="O410">
        <v>0.86729999999999996</v>
      </c>
      <c r="P410">
        <v>85000</v>
      </c>
      <c r="Q410" s="2">
        <v>46164</v>
      </c>
    </row>
    <row r="411" spans="1:17" x14ac:dyDescent="0.45">
      <c r="A411" t="s">
        <v>670</v>
      </c>
      <c r="B411" t="s">
        <v>411</v>
      </c>
      <c r="C411" t="s">
        <v>14</v>
      </c>
      <c r="D411" t="s">
        <v>15</v>
      </c>
      <c r="E411" t="s">
        <v>42</v>
      </c>
      <c r="F411">
        <v>11.16</v>
      </c>
      <c r="G411">
        <v>16.690000000000001</v>
      </c>
      <c r="H411">
        <v>15.78</v>
      </c>
      <c r="I411" s="4" t="str">
        <f t="shared" si="24"/>
        <v>Admis</v>
      </c>
      <c r="J411" s="4" t="str">
        <f t="shared" si="25"/>
        <v>Non eligible</v>
      </c>
      <c r="K411">
        <v>17.48</v>
      </c>
      <c r="L411" s="6" t="str">
        <f t="shared" si="26"/>
        <v>RAS</v>
      </c>
      <c r="M411" s="6" t="str">
        <f t="shared" si="27"/>
        <v>Hors Data</v>
      </c>
      <c r="N411" s="8" t="str" cm="1">
        <f t="array" ref="N411">_xlfn.IFS(H411&gt;=16,"Excellent",H411&gt;=14,"Très bien",H411&gt;=12,"Bien",H411&gt;=10,"Passable",TRUE,"Insuffisant")</f>
        <v>Très bien</v>
      </c>
      <c r="O411">
        <v>0.80100000000000005</v>
      </c>
      <c r="P411">
        <v>85000</v>
      </c>
      <c r="Q411" s="2">
        <v>45615</v>
      </c>
    </row>
    <row r="412" spans="1:17" x14ac:dyDescent="0.45">
      <c r="A412" t="s">
        <v>671</v>
      </c>
      <c r="B412" t="s">
        <v>558</v>
      </c>
      <c r="C412" t="s">
        <v>14</v>
      </c>
      <c r="D412" t="s">
        <v>28</v>
      </c>
      <c r="E412" t="s">
        <v>29</v>
      </c>
      <c r="F412">
        <v>18.04</v>
      </c>
      <c r="G412">
        <v>15.25</v>
      </c>
      <c r="H412">
        <v>17.36</v>
      </c>
      <c r="I412" s="4" t="str">
        <f t="shared" si="24"/>
        <v>Admis</v>
      </c>
      <c r="J412" s="4" t="str">
        <f t="shared" si="25"/>
        <v>Non eligible</v>
      </c>
      <c r="K412">
        <v>14.04</v>
      </c>
      <c r="L412" s="6" t="str">
        <f t="shared" si="26"/>
        <v>RAS</v>
      </c>
      <c r="M412" s="6" t="str">
        <f t="shared" si="27"/>
        <v>Hors Data</v>
      </c>
      <c r="N412" s="8" t="str" cm="1">
        <f t="array" ref="N412">_xlfn.IFS(H412&gt;=16,"Excellent",H412&gt;=14,"Très bien",H412&gt;=12,"Bien",H412&gt;=10,"Passable",TRUE,"Insuffisant")</f>
        <v>Excellent</v>
      </c>
      <c r="O412">
        <v>0.77969999999999995</v>
      </c>
      <c r="P412">
        <v>130000</v>
      </c>
      <c r="Q412" s="2">
        <v>45945</v>
      </c>
    </row>
    <row r="413" spans="1:17" x14ac:dyDescent="0.45">
      <c r="A413" t="s">
        <v>672</v>
      </c>
      <c r="B413" t="s">
        <v>673</v>
      </c>
      <c r="C413" t="s">
        <v>14</v>
      </c>
      <c r="D413" t="s">
        <v>47</v>
      </c>
      <c r="E413" t="s">
        <v>21</v>
      </c>
      <c r="F413">
        <v>11.69</v>
      </c>
      <c r="G413">
        <v>15.59</v>
      </c>
      <c r="H413">
        <v>14.88</v>
      </c>
      <c r="I413" s="4" t="str">
        <f t="shared" si="24"/>
        <v>Admis</v>
      </c>
      <c r="J413" s="4" t="str">
        <f t="shared" si="25"/>
        <v>Non eligible</v>
      </c>
      <c r="K413">
        <v>19.7</v>
      </c>
      <c r="L413" s="6" t="str">
        <f t="shared" si="26"/>
        <v>RAS</v>
      </c>
      <c r="M413" s="6" t="str">
        <f t="shared" si="27"/>
        <v>Hors Data</v>
      </c>
      <c r="N413" s="8" t="str" cm="1">
        <f t="array" ref="N413">_xlfn.IFS(H413&gt;=16,"Excellent",H413&gt;=14,"Très bien",H413&gt;=12,"Bien",H413&gt;=10,"Passable",TRUE,"Insuffisant")</f>
        <v>Très bien</v>
      </c>
      <c r="O413">
        <v>0.6956</v>
      </c>
      <c r="P413">
        <v>70000</v>
      </c>
      <c r="Q413" s="2">
        <v>46186</v>
      </c>
    </row>
    <row r="414" spans="1:17" x14ac:dyDescent="0.45">
      <c r="A414" t="s">
        <v>674</v>
      </c>
      <c r="B414" t="s">
        <v>549</v>
      </c>
      <c r="C414" t="s">
        <v>14</v>
      </c>
      <c r="D414" t="s">
        <v>20</v>
      </c>
      <c r="E414" t="s">
        <v>21</v>
      </c>
      <c r="F414">
        <v>20</v>
      </c>
      <c r="G414">
        <v>18.690000000000001</v>
      </c>
      <c r="H414">
        <v>17.28</v>
      </c>
      <c r="I414" s="4" t="str">
        <f t="shared" si="24"/>
        <v>Admis</v>
      </c>
      <c r="J414" s="4" t="str">
        <f t="shared" si="25"/>
        <v>Eligible</v>
      </c>
      <c r="K414">
        <v>16.72</v>
      </c>
      <c r="L414" s="6" t="str">
        <f t="shared" si="26"/>
        <v>RAS</v>
      </c>
      <c r="M414" s="6" t="str">
        <f t="shared" si="27"/>
        <v>Hors Data</v>
      </c>
      <c r="N414" s="8" t="str" cm="1">
        <f t="array" ref="N414">_xlfn.IFS(H414&gt;=16,"Excellent",H414&gt;=14,"Très bien",H414&gt;=12,"Bien",H414&gt;=10,"Passable",TRUE,"Insuffisant")</f>
        <v>Excellent</v>
      </c>
      <c r="O414">
        <v>0.95930000000000004</v>
      </c>
      <c r="P414">
        <v>130000</v>
      </c>
      <c r="Q414" s="2">
        <v>45994</v>
      </c>
    </row>
    <row r="415" spans="1:17" x14ac:dyDescent="0.45">
      <c r="A415" t="s">
        <v>675</v>
      </c>
      <c r="B415" t="s">
        <v>111</v>
      </c>
      <c r="C415" t="s">
        <v>14</v>
      </c>
      <c r="D415" t="s">
        <v>32</v>
      </c>
      <c r="E415" t="s">
        <v>21</v>
      </c>
      <c r="F415">
        <v>19.18</v>
      </c>
      <c r="G415">
        <v>20</v>
      </c>
      <c r="H415">
        <v>13.21</v>
      </c>
      <c r="I415" s="4" t="str">
        <f t="shared" si="24"/>
        <v>Admis</v>
      </c>
      <c r="J415" s="4" t="str">
        <f t="shared" si="25"/>
        <v>Non eligible</v>
      </c>
      <c r="K415">
        <v>20</v>
      </c>
      <c r="L415" s="6" t="str">
        <f t="shared" si="26"/>
        <v>RAS</v>
      </c>
      <c r="M415" s="6" t="str">
        <f t="shared" si="27"/>
        <v>Hors Data</v>
      </c>
      <c r="N415" s="8" t="str" cm="1">
        <f t="array" ref="N415">_xlfn.IFS(H415&gt;=16,"Excellent",H415&gt;=14,"Très bien",H415&gt;=12,"Bien",H415&gt;=10,"Passable",TRUE,"Insuffisant")</f>
        <v>Bien</v>
      </c>
      <c r="O415">
        <v>0.72550000000000003</v>
      </c>
      <c r="P415">
        <v>100000</v>
      </c>
      <c r="Q415" s="2">
        <v>46199</v>
      </c>
    </row>
    <row r="416" spans="1:17" x14ac:dyDescent="0.45">
      <c r="A416" t="s">
        <v>676</v>
      </c>
      <c r="B416" t="s">
        <v>677</v>
      </c>
      <c r="C416" t="s">
        <v>14</v>
      </c>
      <c r="D416" t="s">
        <v>47</v>
      </c>
      <c r="E416" t="s">
        <v>42</v>
      </c>
      <c r="F416">
        <v>6.74</v>
      </c>
      <c r="G416">
        <v>8.3000000000000007</v>
      </c>
      <c r="H416">
        <v>2.11</v>
      </c>
      <c r="I416" s="4" t="str">
        <f t="shared" si="24"/>
        <v>Non admis</v>
      </c>
      <c r="J416" s="4" t="str">
        <f t="shared" si="25"/>
        <v>Non eligible</v>
      </c>
      <c r="K416">
        <v>5.03</v>
      </c>
      <c r="L416" s="6" t="str">
        <f t="shared" si="26"/>
        <v>A surveiller</v>
      </c>
      <c r="M416" s="6" t="str">
        <f t="shared" si="27"/>
        <v>Hors Data</v>
      </c>
      <c r="N416" s="8" t="str" cm="1">
        <f t="array" ref="N416">_xlfn.IFS(H416&gt;=16,"Excellent",H416&gt;=14,"Très bien",H416&gt;=12,"Bien",H416&gt;=10,"Passable",TRUE,"Insuffisant")</f>
        <v>Insuffisant</v>
      </c>
      <c r="O416">
        <v>0.77539999999999998</v>
      </c>
      <c r="P416">
        <v>90000</v>
      </c>
      <c r="Q416" s="2">
        <v>45777</v>
      </c>
    </row>
    <row r="417" spans="1:17" x14ac:dyDescent="0.45">
      <c r="A417" t="s">
        <v>678</v>
      </c>
      <c r="B417" t="s">
        <v>142</v>
      </c>
      <c r="C417" t="s">
        <v>19</v>
      </c>
      <c r="D417" t="s">
        <v>32</v>
      </c>
      <c r="E417" t="s">
        <v>29</v>
      </c>
      <c r="F417">
        <v>10.73</v>
      </c>
      <c r="G417">
        <v>10.68</v>
      </c>
      <c r="H417">
        <v>8.77</v>
      </c>
      <c r="I417" s="4" t="str">
        <f t="shared" si="24"/>
        <v>Non admis</v>
      </c>
      <c r="J417" s="4" t="str">
        <f t="shared" si="25"/>
        <v>Non eligible</v>
      </c>
      <c r="K417">
        <v>15.45</v>
      </c>
      <c r="L417" s="6" t="str">
        <f t="shared" si="26"/>
        <v>A surveiller</v>
      </c>
      <c r="M417" s="6" t="str">
        <f t="shared" si="27"/>
        <v>Hors Data</v>
      </c>
      <c r="N417" s="8" t="str" cm="1">
        <f t="array" ref="N417">_xlfn.IFS(H417&gt;=16,"Excellent",H417&gt;=14,"Très bien",H417&gt;=12,"Bien",H417&gt;=10,"Passable",TRUE,"Insuffisant")</f>
        <v>Insuffisant</v>
      </c>
      <c r="O417">
        <v>0.80400000000000005</v>
      </c>
      <c r="P417">
        <v>90000</v>
      </c>
      <c r="Q417" s="2">
        <v>45756</v>
      </c>
    </row>
    <row r="418" spans="1:17" x14ac:dyDescent="0.45">
      <c r="A418" t="s">
        <v>679</v>
      </c>
      <c r="B418" t="s">
        <v>340</v>
      </c>
      <c r="C418" t="s">
        <v>19</v>
      </c>
      <c r="D418" t="s">
        <v>35</v>
      </c>
      <c r="E418" t="s">
        <v>16</v>
      </c>
      <c r="F418">
        <v>13.37</v>
      </c>
      <c r="G418">
        <v>15.19</v>
      </c>
      <c r="H418">
        <v>14.07</v>
      </c>
      <c r="I418" s="4" t="str">
        <f t="shared" si="24"/>
        <v>Admis</v>
      </c>
      <c r="J418" s="4" t="str">
        <f t="shared" si="25"/>
        <v>Eligible</v>
      </c>
      <c r="K418">
        <v>16.670000000000002</v>
      </c>
      <c r="L418" s="6" t="str">
        <f t="shared" si="26"/>
        <v>RAS</v>
      </c>
      <c r="M418" s="6" t="str">
        <f t="shared" si="27"/>
        <v>Data</v>
      </c>
      <c r="N418" s="8" t="str" cm="1">
        <f t="array" ref="N418">_xlfn.IFS(H418&gt;=16,"Excellent",H418&gt;=14,"Très bien",H418&gt;=12,"Bien",H418&gt;=10,"Passable",TRUE,"Insuffisant")</f>
        <v>Très bien</v>
      </c>
      <c r="O418">
        <v>0.88229999999999997</v>
      </c>
      <c r="P418">
        <v>110000</v>
      </c>
      <c r="Q418" s="2">
        <v>45764</v>
      </c>
    </row>
    <row r="419" spans="1:17" x14ac:dyDescent="0.45">
      <c r="A419" t="s">
        <v>680</v>
      </c>
      <c r="B419" t="s">
        <v>245</v>
      </c>
      <c r="C419" t="s">
        <v>14</v>
      </c>
      <c r="D419" t="s">
        <v>32</v>
      </c>
      <c r="E419" t="s">
        <v>42</v>
      </c>
      <c r="F419">
        <v>7.56</v>
      </c>
      <c r="G419">
        <v>10.96</v>
      </c>
      <c r="H419">
        <v>5.8</v>
      </c>
      <c r="I419" s="4" t="str">
        <f t="shared" si="24"/>
        <v>Non admis</v>
      </c>
      <c r="J419" s="4" t="str">
        <f t="shared" si="25"/>
        <v>Non eligible</v>
      </c>
      <c r="K419">
        <v>6.24</v>
      </c>
      <c r="L419" s="6" t="str">
        <f t="shared" si="26"/>
        <v>A surveiller</v>
      </c>
      <c r="M419" s="6" t="str">
        <f t="shared" si="27"/>
        <v>Hors Data</v>
      </c>
      <c r="N419" s="8" t="str" cm="1">
        <f t="array" ref="N419">_xlfn.IFS(H419&gt;=16,"Excellent",H419&gt;=14,"Très bien",H419&gt;=12,"Bien",H419&gt;=10,"Passable",TRUE,"Insuffisant")</f>
        <v>Insuffisant</v>
      </c>
      <c r="O419">
        <v>0.61419999999999997</v>
      </c>
      <c r="P419">
        <v>100000</v>
      </c>
      <c r="Q419" s="2">
        <v>45784</v>
      </c>
    </row>
    <row r="420" spans="1:17" x14ac:dyDescent="0.45">
      <c r="A420" t="s">
        <v>681</v>
      </c>
      <c r="B420" t="s">
        <v>366</v>
      </c>
      <c r="C420" t="s">
        <v>14</v>
      </c>
      <c r="D420" t="s">
        <v>28</v>
      </c>
      <c r="E420" t="s">
        <v>42</v>
      </c>
      <c r="F420">
        <v>13.83</v>
      </c>
      <c r="G420">
        <v>14.86</v>
      </c>
      <c r="H420">
        <v>16.73</v>
      </c>
      <c r="I420" s="4" t="str">
        <f t="shared" si="24"/>
        <v>Admis</v>
      </c>
      <c r="J420" s="4" t="str">
        <f t="shared" si="25"/>
        <v>Non eligible</v>
      </c>
      <c r="K420">
        <v>12.6</v>
      </c>
      <c r="L420" s="6" t="str">
        <f t="shared" si="26"/>
        <v>RAS</v>
      </c>
      <c r="M420" s="6" t="str">
        <f t="shared" si="27"/>
        <v>Hors Data</v>
      </c>
      <c r="N420" s="8" t="str" cm="1">
        <f t="array" ref="N420">_xlfn.IFS(H420&gt;=16,"Excellent",H420&gt;=14,"Très bien",H420&gt;=12,"Bien",H420&gt;=10,"Passable",TRUE,"Insuffisant")</f>
        <v>Excellent</v>
      </c>
      <c r="O420">
        <v>0.75819999999999999</v>
      </c>
      <c r="P420">
        <v>60000</v>
      </c>
      <c r="Q420" s="2">
        <v>46013</v>
      </c>
    </row>
    <row r="421" spans="1:17" x14ac:dyDescent="0.45">
      <c r="A421" t="s">
        <v>682</v>
      </c>
      <c r="B421" t="s">
        <v>264</v>
      </c>
      <c r="C421" t="s">
        <v>19</v>
      </c>
      <c r="D421" t="s">
        <v>20</v>
      </c>
      <c r="E421" t="s">
        <v>42</v>
      </c>
      <c r="F421">
        <v>16.45</v>
      </c>
      <c r="G421">
        <v>19.89</v>
      </c>
      <c r="H421">
        <v>17.260000000000002</v>
      </c>
      <c r="I421" s="4" t="str">
        <f t="shared" si="24"/>
        <v>Admis</v>
      </c>
      <c r="J421" s="4" t="str">
        <f t="shared" si="25"/>
        <v>Eligible</v>
      </c>
      <c r="K421">
        <v>14.62</v>
      </c>
      <c r="L421" s="6" t="str">
        <f t="shared" si="26"/>
        <v>RAS</v>
      </c>
      <c r="M421" s="6" t="str">
        <f t="shared" si="27"/>
        <v>Hors Data</v>
      </c>
      <c r="N421" s="8" t="str" cm="1">
        <f t="array" ref="N421">_xlfn.IFS(H421&gt;=16,"Excellent",H421&gt;=14,"Très bien",H421&gt;=12,"Bien",H421&gt;=10,"Passable",TRUE,"Insuffisant")</f>
        <v>Excellent</v>
      </c>
      <c r="O421">
        <v>0.89410000000000001</v>
      </c>
      <c r="P421">
        <v>110000</v>
      </c>
      <c r="Q421" s="2">
        <v>45852</v>
      </c>
    </row>
    <row r="422" spans="1:17" x14ac:dyDescent="0.45">
      <c r="A422" t="s">
        <v>683</v>
      </c>
      <c r="B422" t="s">
        <v>684</v>
      </c>
      <c r="C422" t="s">
        <v>19</v>
      </c>
      <c r="D422" t="s">
        <v>47</v>
      </c>
      <c r="E422" t="s">
        <v>42</v>
      </c>
      <c r="F422">
        <v>5.97</v>
      </c>
      <c r="G422">
        <v>11.27</v>
      </c>
      <c r="H422">
        <v>10.119999999999999</v>
      </c>
      <c r="I422" s="4" t="str">
        <f t="shared" si="24"/>
        <v>Admis</v>
      </c>
      <c r="J422" s="4" t="str">
        <f t="shared" si="25"/>
        <v>Non eligible</v>
      </c>
      <c r="K422">
        <v>7.65</v>
      </c>
      <c r="L422" s="6" t="str">
        <f t="shared" si="26"/>
        <v>A surveiller</v>
      </c>
      <c r="M422" s="6" t="str">
        <f t="shared" si="27"/>
        <v>Hors Data</v>
      </c>
      <c r="N422" s="8" t="str" cm="1">
        <f t="array" ref="N422">_xlfn.IFS(H422&gt;=16,"Excellent",H422&gt;=14,"Très bien",H422&gt;=12,"Bien",H422&gt;=10,"Passable",TRUE,"Insuffisant")</f>
        <v>Passable</v>
      </c>
      <c r="O422">
        <v>0.6915</v>
      </c>
      <c r="P422">
        <v>110000</v>
      </c>
      <c r="Q422" s="2">
        <v>46052</v>
      </c>
    </row>
    <row r="423" spans="1:17" x14ac:dyDescent="0.45">
      <c r="A423" t="s">
        <v>685</v>
      </c>
      <c r="B423" t="s">
        <v>471</v>
      </c>
      <c r="C423" t="s">
        <v>19</v>
      </c>
      <c r="D423" t="s">
        <v>20</v>
      </c>
      <c r="E423" t="s">
        <v>21</v>
      </c>
      <c r="F423">
        <v>16.91</v>
      </c>
      <c r="G423">
        <v>15.28</v>
      </c>
      <c r="H423">
        <v>12.79</v>
      </c>
      <c r="I423" s="4" t="str">
        <f t="shared" si="24"/>
        <v>Admis</v>
      </c>
      <c r="J423" s="4" t="str">
        <f t="shared" si="25"/>
        <v>Eligible</v>
      </c>
      <c r="K423">
        <v>15.81</v>
      </c>
      <c r="L423" s="6" t="str">
        <f t="shared" si="26"/>
        <v>RAS</v>
      </c>
      <c r="M423" s="6" t="str">
        <f t="shared" si="27"/>
        <v>Hors Data</v>
      </c>
      <c r="N423" s="8" t="str" cm="1">
        <f t="array" ref="N423">_xlfn.IFS(H423&gt;=16,"Excellent",H423&gt;=14,"Très bien",H423&gt;=12,"Bien",H423&gt;=10,"Passable",TRUE,"Insuffisant")</f>
        <v>Bien</v>
      </c>
      <c r="O423">
        <v>0.8911</v>
      </c>
      <c r="P423">
        <v>130000</v>
      </c>
      <c r="Q423" s="2">
        <v>45827</v>
      </c>
    </row>
    <row r="424" spans="1:17" x14ac:dyDescent="0.45">
      <c r="A424" t="s">
        <v>686</v>
      </c>
      <c r="B424" t="s">
        <v>649</v>
      </c>
      <c r="C424" t="s">
        <v>19</v>
      </c>
      <c r="D424" t="s">
        <v>32</v>
      </c>
      <c r="E424" t="s">
        <v>16</v>
      </c>
      <c r="F424">
        <v>10.76</v>
      </c>
      <c r="G424">
        <v>11.6</v>
      </c>
      <c r="H424">
        <v>12.5</v>
      </c>
      <c r="I424" s="4" t="str">
        <f t="shared" si="24"/>
        <v>Admis</v>
      </c>
      <c r="J424" s="4" t="str">
        <f t="shared" si="25"/>
        <v>Non eligible</v>
      </c>
      <c r="K424">
        <v>10.4</v>
      </c>
      <c r="L424" s="6" t="str">
        <f t="shared" si="26"/>
        <v>RAS</v>
      </c>
      <c r="M424" s="6" t="str">
        <f t="shared" si="27"/>
        <v>Data</v>
      </c>
      <c r="N424" s="8" t="str" cm="1">
        <f t="array" ref="N424">_xlfn.IFS(H424&gt;=16,"Excellent",H424&gt;=14,"Très bien",H424&gt;=12,"Bien",H424&gt;=10,"Passable",TRUE,"Insuffisant")</f>
        <v>Bien</v>
      </c>
      <c r="O424">
        <v>0.83109999999999995</v>
      </c>
      <c r="P424">
        <v>130000</v>
      </c>
      <c r="Q424" s="2">
        <v>45751</v>
      </c>
    </row>
    <row r="425" spans="1:17" x14ac:dyDescent="0.45">
      <c r="A425" t="s">
        <v>687</v>
      </c>
      <c r="B425" t="s">
        <v>449</v>
      </c>
      <c r="C425" t="s">
        <v>19</v>
      </c>
      <c r="D425" t="s">
        <v>20</v>
      </c>
      <c r="E425" t="s">
        <v>29</v>
      </c>
      <c r="F425">
        <v>10.55</v>
      </c>
      <c r="G425">
        <v>7.58</v>
      </c>
      <c r="H425">
        <v>10.050000000000001</v>
      </c>
      <c r="I425" s="4" t="str">
        <f t="shared" si="24"/>
        <v>Admis</v>
      </c>
      <c r="J425" s="4" t="str">
        <f t="shared" si="25"/>
        <v>Non eligible</v>
      </c>
      <c r="K425">
        <v>11.63</v>
      </c>
      <c r="L425" s="6" t="str">
        <f t="shared" si="26"/>
        <v>RAS</v>
      </c>
      <c r="M425" s="6" t="str">
        <f t="shared" si="27"/>
        <v>Hors Data</v>
      </c>
      <c r="N425" s="8" t="str" cm="1">
        <f t="array" ref="N425">_xlfn.IFS(H425&gt;=16,"Excellent",H425&gt;=14,"Très bien",H425&gt;=12,"Bien",H425&gt;=10,"Passable",TRUE,"Insuffisant")</f>
        <v>Passable</v>
      </c>
      <c r="O425">
        <v>0.75629999999999997</v>
      </c>
      <c r="P425">
        <v>130000</v>
      </c>
      <c r="Q425" s="2">
        <v>45669</v>
      </c>
    </row>
    <row r="426" spans="1:17" x14ac:dyDescent="0.45">
      <c r="A426" t="s">
        <v>688</v>
      </c>
      <c r="B426" t="s">
        <v>549</v>
      </c>
      <c r="C426" t="s">
        <v>14</v>
      </c>
      <c r="D426" t="s">
        <v>32</v>
      </c>
      <c r="E426" t="s">
        <v>42</v>
      </c>
      <c r="F426">
        <v>16.399999999999999</v>
      </c>
      <c r="G426">
        <v>17.86</v>
      </c>
      <c r="H426">
        <v>15.67</v>
      </c>
      <c r="I426" s="4" t="str">
        <f t="shared" si="24"/>
        <v>Admis</v>
      </c>
      <c r="J426" s="4" t="str">
        <f t="shared" si="25"/>
        <v>Non eligible</v>
      </c>
      <c r="K426">
        <v>18.760000000000002</v>
      </c>
      <c r="L426" s="6" t="str">
        <f t="shared" si="26"/>
        <v>RAS</v>
      </c>
      <c r="M426" s="6" t="str">
        <f t="shared" si="27"/>
        <v>Hors Data</v>
      </c>
      <c r="N426" s="8" t="str" cm="1">
        <f t="array" ref="N426">_xlfn.IFS(H426&gt;=16,"Excellent",H426&gt;=14,"Très bien",H426&gt;=12,"Bien",H426&gt;=10,"Passable",TRUE,"Insuffisant")</f>
        <v>Très bien</v>
      </c>
      <c r="O426">
        <v>0.61680000000000001</v>
      </c>
      <c r="P426">
        <v>50000</v>
      </c>
      <c r="Q426" s="2">
        <v>45921</v>
      </c>
    </row>
    <row r="427" spans="1:17" x14ac:dyDescent="0.45">
      <c r="A427" t="s">
        <v>689</v>
      </c>
      <c r="B427" t="s">
        <v>258</v>
      </c>
      <c r="C427" t="s">
        <v>14</v>
      </c>
      <c r="D427" t="s">
        <v>47</v>
      </c>
      <c r="E427" t="s">
        <v>21</v>
      </c>
      <c r="F427">
        <v>12.77</v>
      </c>
      <c r="G427">
        <v>10.91</v>
      </c>
      <c r="H427">
        <v>14.8</v>
      </c>
      <c r="I427" s="4" t="str">
        <f t="shared" si="24"/>
        <v>Admis</v>
      </c>
      <c r="J427" s="4" t="str">
        <f t="shared" si="25"/>
        <v>Eligible</v>
      </c>
      <c r="K427">
        <v>7.79</v>
      </c>
      <c r="L427" s="6" t="str">
        <f t="shared" si="26"/>
        <v>RAS</v>
      </c>
      <c r="M427" s="6" t="str">
        <f t="shared" si="27"/>
        <v>Hors Data</v>
      </c>
      <c r="N427" s="8" t="str" cm="1">
        <f t="array" ref="N427">_xlfn.IFS(H427&gt;=16,"Excellent",H427&gt;=14,"Très bien",H427&gt;=12,"Bien",H427&gt;=10,"Passable",TRUE,"Insuffisant")</f>
        <v>Très bien</v>
      </c>
      <c r="O427">
        <v>0.90069999999999995</v>
      </c>
      <c r="P427">
        <v>90000</v>
      </c>
      <c r="Q427" s="2">
        <v>46164</v>
      </c>
    </row>
    <row r="428" spans="1:17" x14ac:dyDescent="0.45">
      <c r="A428" t="s">
        <v>690</v>
      </c>
      <c r="B428" t="s">
        <v>691</v>
      </c>
      <c r="C428" t="s">
        <v>19</v>
      </c>
      <c r="D428" t="s">
        <v>20</v>
      </c>
      <c r="E428" t="s">
        <v>21</v>
      </c>
      <c r="F428">
        <v>12.83</v>
      </c>
      <c r="G428">
        <v>12.58</v>
      </c>
      <c r="H428">
        <v>15.77</v>
      </c>
      <c r="I428" s="4" t="str">
        <f t="shared" si="24"/>
        <v>Admis</v>
      </c>
      <c r="J428" s="4" t="str">
        <f t="shared" si="25"/>
        <v>Eligible</v>
      </c>
      <c r="K428">
        <v>17.53</v>
      </c>
      <c r="L428" s="6" t="str">
        <f t="shared" si="26"/>
        <v>RAS</v>
      </c>
      <c r="M428" s="6" t="str">
        <f t="shared" si="27"/>
        <v>Hors Data</v>
      </c>
      <c r="N428" s="8" t="str" cm="1">
        <f t="array" ref="N428">_xlfn.IFS(H428&gt;=16,"Excellent",H428&gt;=14,"Très bien",H428&gt;=12,"Bien",H428&gt;=10,"Passable",TRUE,"Insuffisant")</f>
        <v>Très bien</v>
      </c>
      <c r="O428">
        <v>0.89200000000000002</v>
      </c>
      <c r="P428">
        <v>130000</v>
      </c>
      <c r="Q428" s="2">
        <v>46137</v>
      </c>
    </row>
    <row r="429" spans="1:17" x14ac:dyDescent="0.45">
      <c r="A429" t="s">
        <v>692</v>
      </c>
      <c r="B429" t="s">
        <v>693</v>
      </c>
      <c r="C429" t="s">
        <v>19</v>
      </c>
      <c r="D429" t="s">
        <v>20</v>
      </c>
      <c r="E429" t="s">
        <v>21</v>
      </c>
      <c r="F429">
        <v>3.3</v>
      </c>
      <c r="G429">
        <v>11.82</v>
      </c>
      <c r="H429">
        <v>7.94</v>
      </c>
      <c r="I429" s="4" t="str">
        <f t="shared" si="24"/>
        <v>Non admis</v>
      </c>
      <c r="J429" s="4" t="str">
        <f t="shared" si="25"/>
        <v>Non eligible</v>
      </c>
      <c r="K429">
        <v>7.39</v>
      </c>
      <c r="L429" s="6" t="str">
        <f t="shared" si="26"/>
        <v>A surveiller</v>
      </c>
      <c r="M429" s="6" t="str">
        <f t="shared" si="27"/>
        <v>Hors Data</v>
      </c>
      <c r="N429" s="8" t="str" cm="1">
        <f t="array" ref="N429">_xlfn.IFS(H429&gt;=16,"Excellent",H429&gt;=14,"Très bien",H429&gt;=12,"Bien",H429&gt;=10,"Passable",TRUE,"Insuffisant")</f>
        <v>Insuffisant</v>
      </c>
      <c r="O429">
        <v>0.89590000000000003</v>
      </c>
      <c r="P429">
        <v>130000</v>
      </c>
      <c r="Q429" s="2">
        <v>45713</v>
      </c>
    </row>
    <row r="430" spans="1:17" x14ac:dyDescent="0.45">
      <c r="A430" t="s">
        <v>694</v>
      </c>
      <c r="B430" t="s">
        <v>252</v>
      </c>
      <c r="C430" t="s">
        <v>14</v>
      </c>
      <c r="D430" t="s">
        <v>35</v>
      </c>
      <c r="E430" t="s">
        <v>21</v>
      </c>
      <c r="F430">
        <v>19.61</v>
      </c>
      <c r="G430">
        <v>20</v>
      </c>
      <c r="H430">
        <v>20</v>
      </c>
      <c r="I430" s="4" t="str">
        <f t="shared" si="24"/>
        <v>Admis</v>
      </c>
      <c r="J430" s="4" t="str">
        <f t="shared" si="25"/>
        <v>Non eligible</v>
      </c>
      <c r="K430">
        <v>19.79</v>
      </c>
      <c r="L430" s="6" t="str">
        <f t="shared" si="26"/>
        <v>RAS</v>
      </c>
      <c r="M430" s="6" t="str">
        <f t="shared" si="27"/>
        <v>Hors Data</v>
      </c>
      <c r="N430" s="8" t="str" cm="1">
        <f t="array" ref="N430">_xlfn.IFS(H430&gt;=16,"Excellent",H430&gt;=14,"Très bien",H430&gt;=12,"Bien",H430&gt;=10,"Passable",TRUE,"Insuffisant")</f>
        <v>Excellent</v>
      </c>
      <c r="O430">
        <v>0.74160000000000004</v>
      </c>
      <c r="P430">
        <v>90000</v>
      </c>
      <c r="Q430" s="2">
        <v>45870</v>
      </c>
    </row>
    <row r="431" spans="1:17" x14ac:dyDescent="0.45">
      <c r="A431" t="s">
        <v>695</v>
      </c>
      <c r="B431" t="s">
        <v>374</v>
      </c>
      <c r="C431" t="s">
        <v>19</v>
      </c>
      <c r="D431" t="s">
        <v>20</v>
      </c>
      <c r="E431" t="s">
        <v>21</v>
      </c>
      <c r="F431">
        <v>16.329999999999998</v>
      </c>
      <c r="G431">
        <v>15.52</v>
      </c>
      <c r="H431">
        <v>15.41</v>
      </c>
      <c r="I431" s="4" t="str">
        <f t="shared" si="24"/>
        <v>Admis</v>
      </c>
      <c r="J431" s="4" t="str">
        <f t="shared" si="25"/>
        <v>Non eligible</v>
      </c>
      <c r="K431">
        <v>16.45</v>
      </c>
      <c r="L431" s="6" t="str">
        <f t="shared" si="26"/>
        <v>RAS</v>
      </c>
      <c r="M431" s="6" t="str">
        <f t="shared" si="27"/>
        <v>Hors Data</v>
      </c>
      <c r="N431" s="8" t="str" cm="1">
        <f t="array" ref="N431">_xlfn.IFS(H431&gt;=16,"Excellent",H431&gt;=14,"Très bien",H431&gt;=12,"Bien",H431&gt;=10,"Passable",TRUE,"Insuffisant")</f>
        <v>Très bien</v>
      </c>
      <c r="O431">
        <v>0.626</v>
      </c>
      <c r="P431">
        <v>130000</v>
      </c>
      <c r="Q431" s="2">
        <v>46029</v>
      </c>
    </row>
    <row r="432" spans="1:17" x14ac:dyDescent="0.45">
      <c r="A432" t="s">
        <v>696</v>
      </c>
      <c r="B432" t="s">
        <v>461</v>
      </c>
      <c r="C432" t="s">
        <v>14</v>
      </c>
      <c r="D432" t="s">
        <v>15</v>
      </c>
      <c r="E432" t="s">
        <v>42</v>
      </c>
      <c r="F432">
        <v>12.55</v>
      </c>
      <c r="G432">
        <v>12.15</v>
      </c>
      <c r="H432">
        <v>14.03</v>
      </c>
      <c r="I432" s="4" t="str">
        <f t="shared" si="24"/>
        <v>Admis</v>
      </c>
      <c r="J432" s="4" t="str">
        <f t="shared" si="25"/>
        <v>Non eligible</v>
      </c>
      <c r="K432">
        <v>15.9</v>
      </c>
      <c r="L432" s="6" t="str">
        <f t="shared" si="26"/>
        <v>RAS</v>
      </c>
      <c r="M432" s="6" t="str">
        <f t="shared" si="27"/>
        <v>Hors Data</v>
      </c>
      <c r="N432" s="8" t="str" cm="1">
        <f t="array" ref="N432">_xlfn.IFS(H432&gt;=16,"Excellent",H432&gt;=14,"Très bien",H432&gt;=12,"Bien",H432&gt;=10,"Passable",TRUE,"Insuffisant")</f>
        <v>Très bien</v>
      </c>
      <c r="O432">
        <v>0.67689999999999995</v>
      </c>
      <c r="P432">
        <v>120000</v>
      </c>
      <c r="Q432" s="2">
        <v>45964</v>
      </c>
    </row>
    <row r="433" spans="1:17" x14ac:dyDescent="0.45">
      <c r="A433" t="s">
        <v>697</v>
      </c>
      <c r="B433" t="s">
        <v>406</v>
      </c>
      <c r="C433" t="s">
        <v>19</v>
      </c>
      <c r="D433" t="s">
        <v>32</v>
      </c>
      <c r="E433" t="s">
        <v>16</v>
      </c>
      <c r="F433">
        <v>12.59</v>
      </c>
      <c r="G433">
        <v>16.16</v>
      </c>
      <c r="H433">
        <v>13.51</v>
      </c>
      <c r="I433" s="4" t="str">
        <f t="shared" si="24"/>
        <v>Admis</v>
      </c>
      <c r="J433" s="4" t="str">
        <f t="shared" si="25"/>
        <v>Non eligible</v>
      </c>
      <c r="K433">
        <v>14.78</v>
      </c>
      <c r="L433" s="6" t="str">
        <f t="shared" si="26"/>
        <v>RAS</v>
      </c>
      <c r="M433" s="6" t="str">
        <f t="shared" si="27"/>
        <v>Data</v>
      </c>
      <c r="N433" s="8" t="str" cm="1">
        <f t="array" ref="N433">_xlfn.IFS(H433&gt;=16,"Excellent",H433&gt;=14,"Très bien",H433&gt;=12,"Bien",H433&gt;=10,"Passable",TRUE,"Insuffisant")</f>
        <v>Bien</v>
      </c>
      <c r="O433">
        <v>0.76980000000000004</v>
      </c>
      <c r="P433">
        <v>50000</v>
      </c>
      <c r="Q433" s="2">
        <v>45583</v>
      </c>
    </row>
    <row r="434" spans="1:17" x14ac:dyDescent="0.45">
      <c r="A434" t="s">
        <v>698</v>
      </c>
      <c r="B434" t="s">
        <v>406</v>
      </c>
      <c r="C434" t="s">
        <v>19</v>
      </c>
      <c r="D434" t="s">
        <v>32</v>
      </c>
      <c r="E434" t="s">
        <v>42</v>
      </c>
      <c r="F434">
        <v>9.75</v>
      </c>
      <c r="G434">
        <v>12.13</v>
      </c>
      <c r="H434">
        <v>14.31</v>
      </c>
      <c r="I434" s="4" t="str">
        <f t="shared" si="24"/>
        <v>Admis</v>
      </c>
      <c r="J434" s="4" t="str">
        <f t="shared" si="25"/>
        <v>Non eligible</v>
      </c>
      <c r="K434">
        <v>4.78</v>
      </c>
      <c r="L434" s="6" t="str">
        <f t="shared" si="26"/>
        <v>A surveiller</v>
      </c>
      <c r="M434" s="6" t="str">
        <f t="shared" si="27"/>
        <v>Hors Data</v>
      </c>
      <c r="N434" s="8" t="str" cm="1">
        <f t="array" ref="N434">_xlfn.IFS(H434&gt;=16,"Excellent",H434&gt;=14,"Très bien",H434&gt;=12,"Bien",H434&gt;=10,"Passable",TRUE,"Insuffisant")</f>
        <v>Très bien</v>
      </c>
      <c r="O434">
        <v>0.55000000000000004</v>
      </c>
      <c r="P434">
        <v>120000</v>
      </c>
      <c r="Q434" s="2">
        <v>45949</v>
      </c>
    </row>
    <row r="435" spans="1:17" x14ac:dyDescent="0.45">
      <c r="A435" t="s">
        <v>699</v>
      </c>
      <c r="B435" t="s">
        <v>677</v>
      </c>
      <c r="C435" t="s">
        <v>14</v>
      </c>
      <c r="D435" t="s">
        <v>28</v>
      </c>
      <c r="E435" t="s">
        <v>42</v>
      </c>
      <c r="F435">
        <v>13.59</v>
      </c>
      <c r="G435">
        <v>15.39</v>
      </c>
      <c r="H435">
        <v>15.74</v>
      </c>
      <c r="I435" s="4" t="str">
        <f t="shared" si="24"/>
        <v>Admis</v>
      </c>
      <c r="J435" s="4" t="str">
        <f t="shared" si="25"/>
        <v>Eligible</v>
      </c>
      <c r="K435">
        <v>16.84</v>
      </c>
      <c r="L435" s="6" t="str">
        <f t="shared" si="26"/>
        <v>RAS</v>
      </c>
      <c r="M435" s="6" t="str">
        <f t="shared" si="27"/>
        <v>Hors Data</v>
      </c>
      <c r="N435" s="8" t="str" cm="1">
        <f t="array" ref="N435">_xlfn.IFS(H435&gt;=16,"Excellent",H435&gt;=14,"Très bien",H435&gt;=12,"Bien",H435&gt;=10,"Passable",TRUE,"Insuffisant")</f>
        <v>Très bien</v>
      </c>
      <c r="O435">
        <v>0.877</v>
      </c>
      <c r="P435">
        <v>100000</v>
      </c>
      <c r="Q435" s="2">
        <v>45563</v>
      </c>
    </row>
    <row r="436" spans="1:17" x14ac:dyDescent="0.45">
      <c r="A436" t="s">
        <v>700</v>
      </c>
      <c r="B436" t="s">
        <v>151</v>
      </c>
      <c r="C436" t="s">
        <v>14</v>
      </c>
      <c r="D436" t="s">
        <v>15</v>
      </c>
      <c r="E436" t="s">
        <v>16</v>
      </c>
      <c r="F436">
        <v>10.33</v>
      </c>
      <c r="G436">
        <v>12.98</v>
      </c>
      <c r="H436">
        <v>16.22</v>
      </c>
      <c r="I436" s="4" t="str">
        <f t="shared" si="24"/>
        <v>Admis</v>
      </c>
      <c r="J436" s="4" t="str">
        <f t="shared" si="25"/>
        <v>Non eligible</v>
      </c>
      <c r="K436">
        <v>12.93</v>
      </c>
      <c r="L436" s="6" t="str">
        <f t="shared" si="26"/>
        <v>RAS</v>
      </c>
      <c r="M436" s="6" t="str">
        <f t="shared" si="27"/>
        <v>Data</v>
      </c>
      <c r="N436" s="8" t="str" cm="1">
        <f t="array" ref="N436">_xlfn.IFS(H436&gt;=16,"Excellent",H436&gt;=14,"Très bien",H436&gt;=12,"Bien",H436&gt;=10,"Passable",TRUE,"Insuffisant")</f>
        <v>Excellent</v>
      </c>
      <c r="O436">
        <v>0.77610000000000001</v>
      </c>
      <c r="P436">
        <v>90000</v>
      </c>
      <c r="Q436" s="2">
        <v>45617</v>
      </c>
    </row>
    <row r="437" spans="1:17" x14ac:dyDescent="0.45">
      <c r="A437" t="s">
        <v>701</v>
      </c>
      <c r="B437" t="s">
        <v>86</v>
      </c>
      <c r="C437" t="s">
        <v>14</v>
      </c>
      <c r="D437" t="s">
        <v>15</v>
      </c>
      <c r="E437" t="s">
        <v>21</v>
      </c>
      <c r="F437">
        <v>11.28</v>
      </c>
      <c r="G437">
        <v>15.24</v>
      </c>
      <c r="H437">
        <v>12.71</v>
      </c>
      <c r="I437" s="4" t="str">
        <f t="shared" si="24"/>
        <v>Admis</v>
      </c>
      <c r="J437" s="4" t="str">
        <f t="shared" si="25"/>
        <v>Non eligible</v>
      </c>
      <c r="K437">
        <v>10.55</v>
      </c>
      <c r="L437" s="6" t="str">
        <f t="shared" si="26"/>
        <v>RAS</v>
      </c>
      <c r="M437" s="6" t="str">
        <f t="shared" si="27"/>
        <v>Hors Data</v>
      </c>
      <c r="N437" s="8" t="str" cm="1">
        <f t="array" ref="N437">_xlfn.IFS(H437&gt;=16,"Excellent",H437&gt;=14,"Très bien",H437&gt;=12,"Bien",H437&gt;=10,"Passable",TRUE,"Insuffisant")</f>
        <v>Bien</v>
      </c>
      <c r="O437">
        <v>0.7661</v>
      </c>
      <c r="P437">
        <v>60000</v>
      </c>
      <c r="Q437" s="2">
        <v>45993</v>
      </c>
    </row>
    <row r="438" spans="1:17" x14ac:dyDescent="0.45">
      <c r="A438" t="s">
        <v>702</v>
      </c>
      <c r="B438" t="s">
        <v>402</v>
      </c>
      <c r="C438" t="s">
        <v>19</v>
      </c>
      <c r="D438" t="s">
        <v>32</v>
      </c>
      <c r="E438" t="s">
        <v>42</v>
      </c>
      <c r="F438">
        <v>13.98</v>
      </c>
      <c r="G438">
        <v>8.26</v>
      </c>
      <c r="H438">
        <v>14.1</v>
      </c>
      <c r="I438" s="4" t="str">
        <f t="shared" si="24"/>
        <v>Admis</v>
      </c>
      <c r="J438" s="4" t="str">
        <f t="shared" si="25"/>
        <v>Non eligible</v>
      </c>
      <c r="K438">
        <v>12.35</v>
      </c>
      <c r="L438" s="6" t="str">
        <f t="shared" si="26"/>
        <v>RAS</v>
      </c>
      <c r="M438" s="6" t="str">
        <f t="shared" si="27"/>
        <v>Hors Data</v>
      </c>
      <c r="N438" s="8" t="str" cm="1">
        <f t="array" ref="N438">_xlfn.IFS(H438&gt;=16,"Excellent",H438&gt;=14,"Très bien",H438&gt;=12,"Bien",H438&gt;=10,"Passable",TRUE,"Insuffisant")</f>
        <v>Très bien</v>
      </c>
      <c r="O438">
        <v>0.55000000000000004</v>
      </c>
      <c r="P438">
        <v>130000</v>
      </c>
      <c r="Q438" s="2">
        <v>45607</v>
      </c>
    </row>
    <row r="439" spans="1:17" x14ac:dyDescent="0.45">
      <c r="A439" t="s">
        <v>703</v>
      </c>
      <c r="B439" t="s">
        <v>704</v>
      </c>
      <c r="C439" t="s">
        <v>19</v>
      </c>
      <c r="D439" t="s">
        <v>15</v>
      </c>
      <c r="E439" t="s">
        <v>21</v>
      </c>
      <c r="F439">
        <v>11.08</v>
      </c>
      <c r="G439">
        <v>12.15</v>
      </c>
      <c r="H439">
        <v>13.69</v>
      </c>
      <c r="I439" s="4" t="str">
        <f t="shared" si="24"/>
        <v>Admis</v>
      </c>
      <c r="J439" s="4" t="str">
        <f t="shared" si="25"/>
        <v>Non eligible</v>
      </c>
      <c r="K439">
        <v>10.98</v>
      </c>
      <c r="L439" s="6" t="str">
        <f t="shared" si="26"/>
        <v>RAS</v>
      </c>
      <c r="M439" s="6" t="str">
        <f t="shared" si="27"/>
        <v>Hors Data</v>
      </c>
      <c r="N439" s="8" t="str" cm="1">
        <f t="array" ref="N439">_xlfn.IFS(H439&gt;=16,"Excellent",H439&gt;=14,"Très bien",H439&gt;=12,"Bien",H439&gt;=10,"Passable",TRUE,"Insuffisant")</f>
        <v>Bien</v>
      </c>
      <c r="O439">
        <v>0.71079999999999999</v>
      </c>
      <c r="P439">
        <v>75000</v>
      </c>
      <c r="Q439" s="2">
        <v>45773</v>
      </c>
    </row>
    <row r="440" spans="1:17" x14ac:dyDescent="0.45">
      <c r="A440" t="s">
        <v>705</v>
      </c>
      <c r="B440" t="s">
        <v>706</v>
      </c>
      <c r="C440" t="s">
        <v>14</v>
      </c>
      <c r="D440" t="s">
        <v>32</v>
      </c>
      <c r="E440" t="s">
        <v>16</v>
      </c>
      <c r="F440">
        <v>14.46</v>
      </c>
      <c r="G440">
        <v>14.9</v>
      </c>
      <c r="H440">
        <v>18.170000000000002</v>
      </c>
      <c r="I440" s="4" t="str">
        <f t="shared" si="24"/>
        <v>Admis</v>
      </c>
      <c r="J440" s="4" t="str">
        <f t="shared" si="25"/>
        <v>Eligible</v>
      </c>
      <c r="K440">
        <v>12.39</v>
      </c>
      <c r="L440" s="6" t="str">
        <f t="shared" si="26"/>
        <v>RAS</v>
      </c>
      <c r="M440" s="6" t="str">
        <f t="shared" si="27"/>
        <v>Data</v>
      </c>
      <c r="N440" s="8" t="str" cm="1">
        <f t="array" ref="N440">_xlfn.IFS(H440&gt;=16,"Excellent",H440&gt;=14,"Très bien",H440&gt;=12,"Bien",H440&gt;=10,"Passable",TRUE,"Insuffisant")</f>
        <v>Excellent</v>
      </c>
      <c r="O440">
        <v>0.89910000000000001</v>
      </c>
      <c r="P440">
        <v>80000</v>
      </c>
      <c r="Q440" s="2">
        <v>45947</v>
      </c>
    </row>
    <row r="441" spans="1:17" x14ac:dyDescent="0.45">
      <c r="A441" t="s">
        <v>707</v>
      </c>
      <c r="B441" t="s">
        <v>372</v>
      </c>
      <c r="C441" t="s">
        <v>14</v>
      </c>
      <c r="D441" t="s">
        <v>47</v>
      </c>
      <c r="E441" t="s">
        <v>21</v>
      </c>
      <c r="F441">
        <v>18.52</v>
      </c>
      <c r="G441">
        <v>14.32</v>
      </c>
      <c r="H441">
        <v>12.57</v>
      </c>
      <c r="I441" s="4" t="str">
        <f t="shared" si="24"/>
        <v>Admis</v>
      </c>
      <c r="J441" s="4" t="str">
        <f t="shared" si="25"/>
        <v>Eligible</v>
      </c>
      <c r="K441">
        <v>15.59</v>
      </c>
      <c r="L441" s="6" t="str">
        <f t="shared" si="26"/>
        <v>RAS</v>
      </c>
      <c r="M441" s="6" t="str">
        <f t="shared" si="27"/>
        <v>Hors Data</v>
      </c>
      <c r="N441" s="8" t="str" cm="1">
        <f t="array" ref="N441">_xlfn.IFS(H441&gt;=16,"Excellent",H441&gt;=14,"Très bien",H441&gt;=12,"Bien",H441&gt;=10,"Passable",TRUE,"Insuffisant")</f>
        <v>Bien</v>
      </c>
      <c r="O441">
        <v>0.98099999999999998</v>
      </c>
      <c r="P441">
        <v>75000</v>
      </c>
      <c r="Q441" s="2">
        <v>45994</v>
      </c>
    </row>
    <row r="442" spans="1:17" x14ac:dyDescent="0.45">
      <c r="A442" t="s">
        <v>708</v>
      </c>
      <c r="B442" t="s">
        <v>46</v>
      </c>
      <c r="C442" t="s">
        <v>19</v>
      </c>
      <c r="D442" t="s">
        <v>47</v>
      </c>
      <c r="E442" t="s">
        <v>29</v>
      </c>
      <c r="F442">
        <v>16.100000000000001</v>
      </c>
      <c r="G442">
        <v>14.62</v>
      </c>
      <c r="H442">
        <v>17.89</v>
      </c>
      <c r="I442" s="4" t="str">
        <f t="shared" si="24"/>
        <v>Admis</v>
      </c>
      <c r="J442" s="4" t="str">
        <f t="shared" si="25"/>
        <v>Non eligible</v>
      </c>
      <c r="K442">
        <v>13.98</v>
      </c>
      <c r="L442" s="6" t="str">
        <f t="shared" si="26"/>
        <v>RAS</v>
      </c>
      <c r="M442" s="6" t="str">
        <f t="shared" si="27"/>
        <v>Hors Data</v>
      </c>
      <c r="N442" s="8" t="str" cm="1">
        <f t="array" ref="N442">_xlfn.IFS(H442&gt;=16,"Excellent",H442&gt;=14,"Très bien",H442&gt;=12,"Bien",H442&gt;=10,"Passable",TRUE,"Insuffisant")</f>
        <v>Excellent</v>
      </c>
      <c r="O442">
        <v>0.55000000000000004</v>
      </c>
      <c r="P442">
        <v>130000</v>
      </c>
      <c r="Q442" s="2">
        <v>45848</v>
      </c>
    </row>
    <row r="443" spans="1:17" x14ac:dyDescent="0.45">
      <c r="A443" t="s">
        <v>709</v>
      </c>
      <c r="B443" t="s">
        <v>626</v>
      </c>
      <c r="C443" t="s">
        <v>14</v>
      </c>
      <c r="D443" t="s">
        <v>28</v>
      </c>
      <c r="E443" t="s">
        <v>42</v>
      </c>
      <c r="F443">
        <v>14.22</v>
      </c>
      <c r="G443">
        <v>14.18</v>
      </c>
      <c r="H443">
        <v>17.739999999999998</v>
      </c>
      <c r="I443" s="4" t="str">
        <f t="shared" si="24"/>
        <v>Admis</v>
      </c>
      <c r="J443" s="4" t="str">
        <f t="shared" si="25"/>
        <v>Eligible</v>
      </c>
      <c r="K443">
        <v>12.48</v>
      </c>
      <c r="L443" s="6" t="str">
        <f t="shared" si="26"/>
        <v>RAS</v>
      </c>
      <c r="M443" s="6" t="str">
        <f t="shared" si="27"/>
        <v>Hors Data</v>
      </c>
      <c r="N443" s="8" t="str" cm="1">
        <f t="array" ref="N443">_xlfn.IFS(H443&gt;=16,"Excellent",H443&gt;=14,"Très bien",H443&gt;=12,"Bien",H443&gt;=10,"Passable",TRUE,"Insuffisant")</f>
        <v>Excellent</v>
      </c>
      <c r="O443">
        <v>0.84509999999999996</v>
      </c>
      <c r="P443">
        <v>85000</v>
      </c>
      <c r="Q443" s="2">
        <v>45601</v>
      </c>
    </row>
    <row r="444" spans="1:17" x14ac:dyDescent="0.45">
      <c r="A444" t="s">
        <v>710</v>
      </c>
      <c r="B444" t="s">
        <v>129</v>
      </c>
      <c r="C444" t="s">
        <v>14</v>
      </c>
      <c r="D444" t="s">
        <v>15</v>
      </c>
      <c r="E444" t="s">
        <v>42</v>
      </c>
      <c r="F444">
        <v>14.12</v>
      </c>
      <c r="G444">
        <v>19.57</v>
      </c>
      <c r="H444">
        <v>14.57</v>
      </c>
      <c r="I444" s="4" t="str">
        <f t="shared" si="24"/>
        <v>Admis</v>
      </c>
      <c r="J444" s="4" t="str">
        <f t="shared" si="25"/>
        <v>Non eligible</v>
      </c>
      <c r="K444">
        <v>13.82</v>
      </c>
      <c r="L444" s="6" t="str">
        <f t="shared" si="26"/>
        <v>RAS</v>
      </c>
      <c r="M444" s="6" t="str">
        <f t="shared" si="27"/>
        <v>Hors Data</v>
      </c>
      <c r="N444" s="8" t="str" cm="1">
        <f t="array" ref="N444">_xlfn.IFS(H444&gt;=16,"Excellent",H444&gt;=14,"Très bien",H444&gt;=12,"Bien",H444&gt;=10,"Passable",TRUE,"Insuffisant")</f>
        <v>Très bien</v>
      </c>
      <c r="O444">
        <v>0.69399999999999995</v>
      </c>
      <c r="P444">
        <v>60000</v>
      </c>
      <c r="Q444" s="2">
        <v>46095</v>
      </c>
    </row>
    <row r="445" spans="1:17" x14ac:dyDescent="0.45">
      <c r="A445" t="s">
        <v>711</v>
      </c>
      <c r="B445" t="s">
        <v>712</v>
      </c>
      <c r="C445" t="s">
        <v>14</v>
      </c>
      <c r="D445" t="s">
        <v>47</v>
      </c>
      <c r="E445" t="s">
        <v>42</v>
      </c>
      <c r="F445">
        <v>11.02</v>
      </c>
      <c r="G445">
        <v>12.01</v>
      </c>
      <c r="H445">
        <v>12.6</v>
      </c>
      <c r="I445" s="4" t="str">
        <f t="shared" si="24"/>
        <v>Admis</v>
      </c>
      <c r="J445" s="4" t="str">
        <f t="shared" si="25"/>
        <v>Non eligible</v>
      </c>
      <c r="K445">
        <v>14.95</v>
      </c>
      <c r="L445" s="6" t="str">
        <f t="shared" si="26"/>
        <v>RAS</v>
      </c>
      <c r="M445" s="6" t="str">
        <f t="shared" si="27"/>
        <v>Hors Data</v>
      </c>
      <c r="N445" s="8" t="str" cm="1">
        <f t="array" ref="N445">_xlfn.IFS(H445&gt;=16,"Excellent",H445&gt;=14,"Très bien",H445&gt;=12,"Bien",H445&gt;=10,"Passable",TRUE,"Insuffisant")</f>
        <v>Bien</v>
      </c>
      <c r="O445">
        <v>0.89570000000000005</v>
      </c>
      <c r="P445">
        <v>50000</v>
      </c>
      <c r="Q445" s="2">
        <v>46200</v>
      </c>
    </row>
    <row r="446" spans="1:17" x14ac:dyDescent="0.45">
      <c r="A446" t="s">
        <v>713</v>
      </c>
      <c r="B446" t="s">
        <v>714</v>
      </c>
      <c r="C446" t="s">
        <v>19</v>
      </c>
      <c r="D446" t="s">
        <v>28</v>
      </c>
      <c r="E446" t="s">
        <v>21</v>
      </c>
      <c r="F446">
        <v>14.93</v>
      </c>
      <c r="G446">
        <v>20</v>
      </c>
      <c r="H446">
        <v>18.79</v>
      </c>
      <c r="I446" s="4" t="str">
        <f t="shared" si="24"/>
        <v>Admis</v>
      </c>
      <c r="J446" s="4" t="str">
        <f t="shared" si="25"/>
        <v>Eligible</v>
      </c>
      <c r="K446">
        <v>19.55</v>
      </c>
      <c r="L446" s="6" t="str">
        <f t="shared" si="26"/>
        <v>RAS</v>
      </c>
      <c r="M446" s="6" t="str">
        <f t="shared" si="27"/>
        <v>Hors Data</v>
      </c>
      <c r="N446" s="8" t="str" cm="1">
        <f t="array" ref="N446">_xlfn.IFS(H446&gt;=16,"Excellent",H446&gt;=14,"Très bien",H446&gt;=12,"Bien",H446&gt;=10,"Passable",TRUE,"Insuffisant")</f>
        <v>Excellent</v>
      </c>
      <c r="O446">
        <v>0.87239999999999995</v>
      </c>
      <c r="P446">
        <v>130000</v>
      </c>
      <c r="Q446" s="2">
        <v>46158</v>
      </c>
    </row>
    <row r="447" spans="1:17" x14ac:dyDescent="0.45">
      <c r="A447" t="s">
        <v>715</v>
      </c>
      <c r="B447" t="s">
        <v>92</v>
      </c>
      <c r="C447" t="s">
        <v>19</v>
      </c>
      <c r="D447" t="s">
        <v>47</v>
      </c>
      <c r="E447" t="s">
        <v>16</v>
      </c>
      <c r="F447">
        <v>11.24</v>
      </c>
      <c r="G447">
        <v>13.9</v>
      </c>
      <c r="H447">
        <v>8.5500000000000007</v>
      </c>
      <c r="I447" s="4" t="str">
        <f t="shared" si="24"/>
        <v>Non admis</v>
      </c>
      <c r="J447" s="4" t="str">
        <f t="shared" si="25"/>
        <v>Non eligible</v>
      </c>
      <c r="K447">
        <v>9.18</v>
      </c>
      <c r="L447" s="6" t="str">
        <f t="shared" si="26"/>
        <v>A surveiller</v>
      </c>
      <c r="M447" s="6" t="str">
        <f t="shared" si="27"/>
        <v>Data</v>
      </c>
      <c r="N447" s="8" t="str" cm="1">
        <f t="array" ref="N447">_xlfn.IFS(H447&gt;=16,"Excellent",H447&gt;=14,"Très bien",H447&gt;=12,"Bien",H447&gt;=10,"Passable",TRUE,"Insuffisant")</f>
        <v>Insuffisant</v>
      </c>
      <c r="O447">
        <v>0.71199999999999997</v>
      </c>
      <c r="P447">
        <v>70000</v>
      </c>
      <c r="Q447" s="2">
        <v>46059</v>
      </c>
    </row>
    <row r="448" spans="1:17" x14ac:dyDescent="0.45">
      <c r="A448" t="s">
        <v>716</v>
      </c>
      <c r="B448" t="s">
        <v>404</v>
      </c>
      <c r="C448" t="s">
        <v>14</v>
      </c>
      <c r="D448" t="s">
        <v>47</v>
      </c>
      <c r="E448" t="s">
        <v>42</v>
      </c>
      <c r="F448">
        <v>18.02</v>
      </c>
      <c r="G448">
        <v>16.22</v>
      </c>
      <c r="H448">
        <v>20</v>
      </c>
      <c r="I448" s="4" t="str">
        <f t="shared" si="24"/>
        <v>Admis</v>
      </c>
      <c r="J448" s="4" t="str">
        <f t="shared" si="25"/>
        <v>Non eligible</v>
      </c>
      <c r="K448">
        <v>15.96</v>
      </c>
      <c r="L448" s="6" t="str">
        <f t="shared" si="26"/>
        <v>RAS</v>
      </c>
      <c r="M448" s="6" t="str">
        <f t="shared" si="27"/>
        <v>Hors Data</v>
      </c>
      <c r="N448" s="8" t="str" cm="1">
        <f t="array" ref="N448">_xlfn.IFS(H448&gt;=16,"Excellent",H448&gt;=14,"Très bien",H448&gt;=12,"Bien",H448&gt;=10,"Passable",TRUE,"Insuffisant")</f>
        <v>Excellent</v>
      </c>
      <c r="O448">
        <v>0.72119999999999995</v>
      </c>
      <c r="P448">
        <v>110000</v>
      </c>
      <c r="Q448" s="2">
        <v>45817</v>
      </c>
    </row>
    <row r="449" spans="1:17" x14ac:dyDescent="0.45">
      <c r="A449" t="s">
        <v>717</v>
      </c>
      <c r="B449" t="s">
        <v>718</v>
      </c>
      <c r="C449" t="s">
        <v>19</v>
      </c>
      <c r="D449" t="s">
        <v>47</v>
      </c>
      <c r="E449" t="s">
        <v>21</v>
      </c>
      <c r="F449">
        <v>16.940000000000001</v>
      </c>
      <c r="G449">
        <v>20</v>
      </c>
      <c r="H449">
        <v>15.32</v>
      </c>
      <c r="I449" s="4" t="str">
        <f t="shared" si="24"/>
        <v>Admis</v>
      </c>
      <c r="J449" s="4" t="str">
        <f t="shared" si="25"/>
        <v>Eligible</v>
      </c>
      <c r="K449">
        <v>18.25</v>
      </c>
      <c r="L449" s="6" t="str">
        <f t="shared" si="26"/>
        <v>RAS</v>
      </c>
      <c r="M449" s="6" t="str">
        <f t="shared" si="27"/>
        <v>Hors Data</v>
      </c>
      <c r="N449" s="8" t="str" cm="1">
        <f t="array" ref="N449">_xlfn.IFS(H449&gt;=16,"Excellent",H449&gt;=14,"Très bien",H449&gt;=12,"Bien",H449&gt;=10,"Passable",TRUE,"Insuffisant")</f>
        <v>Très bien</v>
      </c>
      <c r="O449">
        <v>0.82889999999999997</v>
      </c>
      <c r="P449">
        <v>50000</v>
      </c>
      <c r="Q449" s="2">
        <v>46149</v>
      </c>
    </row>
    <row r="450" spans="1:17" x14ac:dyDescent="0.45">
      <c r="A450" t="s">
        <v>719</v>
      </c>
      <c r="B450" t="s">
        <v>374</v>
      </c>
      <c r="C450" t="s">
        <v>19</v>
      </c>
      <c r="D450" t="s">
        <v>15</v>
      </c>
      <c r="E450" t="s">
        <v>16</v>
      </c>
      <c r="F450">
        <v>10.81</v>
      </c>
      <c r="G450">
        <v>11.53</v>
      </c>
      <c r="H450">
        <v>9.24</v>
      </c>
      <c r="I450" s="4" t="str">
        <f t="shared" si="24"/>
        <v>Non admis</v>
      </c>
      <c r="J450" s="4" t="str">
        <f t="shared" si="25"/>
        <v>Non eligible</v>
      </c>
      <c r="K450">
        <v>13.98</v>
      </c>
      <c r="L450" s="6" t="str">
        <f t="shared" si="26"/>
        <v>A surveiller</v>
      </c>
      <c r="M450" s="6" t="str">
        <f t="shared" si="27"/>
        <v>Data</v>
      </c>
      <c r="N450" s="8" t="str" cm="1">
        <f t="array" ref="N450">_xlfn.IFS(H450&gt;=16,"Excellent",H450&gt;=14,"Très bien",H450&gt;=12,"Bien",H450&gt;=10,"Passable",TRUE,"Insuffisant")</f>
        <v>Insuffisant</v>
      </c>
      <c r="O450">
        <v>0.6764</v>
      </c>
      <c r="P450">
        <v>120000</v>
      </c>
      <c r="Q450" s="2">
        <v>45877</v>
      </c>
    </row>
    <row r="451" spans="1:17" x14ac:dyDescent="0.45">
      <c r="A451" t="s">
        <v>720</v>
      </c>
      <c r="B451" t="s">
        <v>575</v>
      </c>
      <c r="C451" t="s">
        <v>14</v>
      </c>
      <c r="D451" t="s">
        <v>35</v>
      </c>
      <c r="E451" t="s">
        <v>29</v>
      </c>
      <c r="F451">
        <v>20</v>
      </c>
      <c r="G451">
        <v>20</v>
      </c>
      <c r="H451">
        <v>20</v>
      </c>
      <c r="I451" s="4" t="str">
        <f t="shared" ref="I451:I514" si="28">IF(H451&gt;=10,"Admis","Non admis")</f>
        <v>Admis</v>
      </c>
      <c r="J451" s="4" t="str">
        <f t="shared" ref="J451:J514" si="29">IF(AND(F451&gt;=12,H451&gt;=12,O451&gt;=0.8),"Eligible","Non eligible")</f>
        <v>Non eligible</v>
      </c>
      <c r="K451">
        <v>20</v>
      </c>
      <c r="L451" s="6" t="str">
        <f t="shared" ref="L451:L514" si="30">IF(OR(F451&lt;10,H451&lt;10),"A surveiller","RAS")</f>
        <v>RAS</v>
      </c>
      <c r="M451" s="6" t="str">
        <f t="shared" ref="M451:M514" si="31">IF(NOT(E451="Data"),"Hors Data","Data")</f>
        <v>Hors Data</v>
      </c>
      <c r="N451" s="8" t="str" cm="1">
        <f t="array" ref="N451">_xlfn.IFS(H451&gt;=16,"Excellent",H451&gt;=14,"Très bien",H451&gt;=12,"Bien",H451&gt;=10,"Passable",TRUE,"Insuffisant")</f>
        <v>Excellent</v>
      </c>
      <c r="O451">
        <v>0.55000000000000004</v>
      </c>
      <c r="P451">
        <v>100000</v>
      </c>
      <c r="Q451" s="2">
        <v>45631</v>
      </c>
    </row>
    <row r="452" spans="1:17" x14ac:dyDescent="0.45">
      <c r="A452" t="s">
        <v>721</v>
      </c>
      <c r="B452" t="s">
        <v>44</v>
      </c>
      <c r="C452" t="s">
        <v>19</v>
      </c>
      <c r="D452" t="s">
        <v>32</v>
      </c>
      <c r="E452" t="s">
        <v>29</v>
      </c>
      <c r="F452">
        <v>12.87</v>
      </c>
      <c r="G452">
        <v>18.34</v>
      </c>
      <c r="H452">
        <v>17.86</v>
      </c>
      <c r="I452" s="4" t="str">
        <f t="shared" si="28"/>
        <v>Admis</v>
      </c>
      <c r="J452" s="4" t="str">
        <f t="shared" si="29"/>
        <v>Eligible</v>
      </c>
      <c r="K452">
        <v>17.7</v>
      </c>
      <c r="L452" s="6" t="str">
        <f t="shared" si="30"/>
        <v>RAS</v>
      </c>
      <c r="M452" s="6" t="str">
        <f t="shared" si="31"/>
        <v>Hors Data</v>
      </c>
      <c r="N452" s="8" t="str" cm="1">
        <f t="array" ref="N452">_xlfn.IFS(H452&gt;=16,"Excellent",H452&gt;=14,"Très bien",H452&gt;=12,"Bien",H452&gt;=10,"Passable",TRUE,"Insuffisant")</f>
        <v>Excellent</v>
      </c>
      <c r="O452">
        <v>0.91100000000000003</v>
      </c>
      <c r="P452">
        <v>70000</v>
      </c>
      <c r="Q452" s="2">
        <v>46131</v>
      </c>
    </row>
    <row r="453" spans="1:17" x14ac:dyDescent="0.45">
      <c r="A453" t="s">
        <v>722</v>
      </c>
      <c r="B453" t="s">
        <v>723</v>
      </c>
      <c r="C453" t="s">
        <v>19</v>
      </c>
      <c r="D453" t="s">
        <v>32</v>
      </c>
      <c r="E453" t="s">
        <v>42</v>
      </c>
      <c r="F453">
        <v>14.92</v>
      </c>
      <c r="G453">
        <v>17.29</v>
      </c>
      <c r="H453">
        <v>20</v>
      </c>
      <c r="I453" s="4" t="str">
        <f t="shared" si="28"/>
        <v>Admis</v>
      </c>
      <c r="J453" s="4" t="str">
        <f t="shared" si="29"/>
        <v>Eligible</v>
      </c>
      <c r="K453">
        <v>17.45</v>
      </c>
      <c r="L453" s="6" t="str">
        <f t="shared" si="30"/>
        <v>RAS</v>
      </c>
      <c r="M453" s="6" t="str">
        <f t="shared" si="31"/>
        <v>Hors Data</v>
      </c>
      <c r="N453" s="8" t="str" cm="1">
        <f t="array" ref="N453">_xlfn.IFS(H453&gt;=16,"Excellent",H453&gt;=14,"Très bien",H453&gt;=12,"Bien",H453&gt;=10,"Passable",TRUE,"Insuffisant")</f>
        <v>Excellent</v>
      </c>
      <c r="O453">
        <v>0.9627</v>
      </c>
      <c r="P453">
        <v>120000</v>
      </c>
      <c r="Q453" s="2">
        <v>45760</v>
      </c>
    </row>
    <row r="454" spans="1:17" x14ac:dyDescent="0.45">
      <c r="A454" t="s">
        <v>724</v>
      </c>
      <c r="B454" t="s">
        <v>725</v>
      </c>
      <c r="C454" t="s">
        <v>14</v>
      </c>
      <c r="D454" t="s">
        <v>32</v>
      </c>
      <c r="E454" t="s">
        <v>21</v>
      </c>
      <c r="F454">
        <v>11.08</v>
      </c>
      <c r="G454">
        <v>13.83</v>
      </c>
      <c r="H454">
        <v>12.79</v>
      </c>
      <c r="I454" s="4" t="str">
        <f t="shared" si="28"/>
        <v>Admis</v>
      </c>
      <c r="J454" s="4" t="str">
        <f t="shared" si="29"/>
        <v>Non eligible</v>
      </c>
      <c r="K454">
        <v>10.44</v>
      </c>
      <c r="L454" s="6" t="str">
        <f t="shared" si="30"/>
        <v>RAS</v>
      </c>
      <c r="M454" s="6" t="str">
        <f t="shared" si="31"/>
        <v>Hors Data</v>
      </c>
      <c r="N454" s="8" t="str" cm="1">
        <f t="array" ref="N454">_xlfn.IFS(H454&gt;=16,"Excellent",H454&gt;=14,"Très bien",H454&gt;=12,"Bien",H454&gt;=10,"Passable",TRUE,"Insuffisant")</f>
        <v>Bien</v>
      </c>
      <c r="O454">
        <v>0.68140000000000001</v>
      </c>
      <c r="P454">
        <v>75000</v>
      </c>
      <c r="Q454" s="2">
        <v>46193</v>
      </c>
    </row>
    <row r="455" spans="1:17" x14ac:dyDescent="0.45">
      <c r="A455" t="s">
        <v>726</v>
      </c>
      <c r="B455" t="s">
        <v>634</v>
      </c>
      <c r="C455" t="s">
        <v>14</v>
      </c>
      <c r="D455" t="s">
        <v>15</v>
      </c>
      <c r="E455" t="s">
        <v>21</v>
      </c>
      <c r="F455">
        <v>16.79</v>
      </c>
      <c r="G455">
        <v>11.92</v>
      </c>
      <c r="H455">
        <v>13.37</v>
      </c>
      <c r="I455" s="4" t="str">
        <f t="shared" si="28"/>
        <v>Admis</v>
      </c>
      <c r="J455" s="4" t="str">
        <f t="shared" si="29"/>
        <v>Eligible</v>
      </c>
      <c r="K455">
        <v>10.86</v>
      </c>
      <c r="L455" s="6" t="str">
        <f t="shared" si="30"/>
        <v>RAS</v>
      </c>
      <c r="M455" s="6" t="str">
        <f t="shared" si="31"/>
        <v>Hors Data</v>
      </c>
      <c r="N455" s="8" t="str" cm="1">
        <f t="array" ref="N455">_xlfn.IFS(H455&gt;=16,"Excellent",H455&gt;=14,"Très bien",H455&gt;=12,"Bien",H455&gt;=10,"Passable",TRUE,"Insuffisant")</f>
        <v>Bien</v>
      </c>
      <c r="O455">
        <v>0.86570000000000003</v>
      </c>
      <c r="P455">
        <v>130000</v>
      </c>
      <c r="Q455" s="2">
        <v>45793</v>
      </c>
    </row>
    <row r="456" spans="1:17" x14ac:dyDescent="0.45">
      <c r="A456" t="s">
        <v>727</v>
      </c>
      <c r="B456" t="s">
        <v>728</v>
      </c>
      <c r="C456" t="s">
        <v>19</v>
      </c>
      <c r="D456" t="s">
        <v>20</v>
      </c>
      <c r="E456" t="s">
        <v>21</v>
      </c>
      <c r="F456">
        <v>14.84</v>
      </c>
      <c r="G456">
        <v>13.48</v>
      </c>
      <c r="H456">
        <v>11.66</v>
      </c>
      <c r="I456" s="4" t="str">
        <f t="shared" si="28"/>
        <v>Admis</v>
      </c>
      <c r="J456" s="4" t="str">
        <f t="shared" si="29"/>
        <v>Non eligible</v>
      </c>
      <c r="K456">
        <v>12.36</v>
      </c>
      <c r="L456" s="6" t="str">
        <f t="shared" si="30"/>
        <v>RAS</v>
      </c>
      <c r="M456" s="6" t="str">
        <f t="shared" si="31"/>
        <v>Hors Data</v>
      </c>
      <c r="N456" s="8" t="str" cm="1">
        <f t="array" ref="N456">_xlfn.IFS(H456&gt;=16,"Excellent",H456&gt;=14,"Très bien",H456&gt;=12,"Bien",H456&gt;=10,"Passable",TRUE,"Insuffisant")</f>
        <v>Passable</v>
      </c>
      <c r="O456">
        <v>0.93779999999999997</v>
      </c>
      <c r="P456">
        <v>90000</v>
      </c>
      <c r="Q456" s="2">
        <v>46144</v>
      </c>
    </row>
    <row r="457" spans="1:17" x14ac:dyDescent="0.45">
      <c r="A457" t="s">
        <v>729</v>
      </c>
      <c r="B457" t="s">
        <v>98</v>
      </c>
      <c r="C457" t="s">
        <v>19</v>
      </c>
      <c r="D457" t="s">
        <v>32</v>
      </c>
      <c r="E457" t="s">
        <v>29</v>
      </c>
      <c r="F457">
        <v>9.75</v>
      </c>
      <c r="G457">
        <v>16.97</v>
      </c>
      <c r="H457">
        <v>15.11</v>
      </c>
      <c r="I457" s="4" t="str">
        <f t="shared" si="28"/>
        <v>Admis</v>
      </c>
      <c r="J457" s="4" t="str">
        <f t="shared" si="29"/>
        <v>Non eligible</v>
      </c>
      <c r="K457">
        <v>12.9</v>
      </c>
      <c r="L457" s="6" t="str">
        <f t="shared" si="30"/>
        <v>A surveiller</v>
      </c>
      <c r="M457" s="6" t="str">
        <f t="shared" si="31"/>
        <v>Hors Data</v>
      </c>
      <c r="N457" s="8" t="str" cm="1">
        <f t="array" ref="N457">_xlfn.IFS(H457&gt;=16,"Excellent",H457&gt;=14,"Très bien",H457&gt;=12,"Bien",H457&gt;=10,"Passable",TRUE,"Insuffisant")</f>
        <v>Très bien</v>
      </c>
      <c r="O457">
        <v>0.68189999999999995</v>
      </c>
      <c r="P457">
        <v>80000</v>
      </c>
      <c r="Q457" s="2">
        <v>45912</v>
      </c>
    </row>
    <row r="458" spans="1:17" x14ac:dyDescent="0.45">
      <c r="A458" t="s">
        <v>730</v>
      </c>
      <c r="B458" t="s">
        <v>731</v>
      </c>
      <c r="C458" t="s">
        <v>14</v>
      </c>
      <c r="D458" t="s">
        <v>28</v>
      </c>
      <c r="E458" t="s">
        <v>42</v>
      </c>
      <c r="F458">
        <v>14.09</v>
      </c>
      <c r="G458">
        <v>17.79</v>
      </c>
      <c r="H458">
        <v>13.72</v>
      </c>
      <c r="I458" s="4" t="str">
        <f t="shared" si="28"/>
        <v>Admis</v>
      </c>
      <c r="J458" s="4" t="str">
        <f t="shared" si="29"/>
        <v>Non eligible</v>
      </c>
      <c r="K458">
        <v>14.98</v>
      </c>
      <c r="L458" s="6" t="str">
        <f t="shared" si="30"/>
        <v>RAS</v>
      </c>
      <c r="M458" s="6" t="str">
        <f t="shared" si="31"/>
        <v>Hors Data</v>
      </c>
      <c r="N458" s="8" t="str" cm="1">
        <f t="array" ref="N458">_xlfn.IFS(H458&gt;=16,"Excellent",H458&gt;=14,"Très bien",H458&gt;=12,"Bien",H458&gt;=10,"Passable",TRUE,"Insuffisant")</f>
        <v>Bien</v>
      </c>
      <c r="O458">
        <v>0.67410000000000003</v>
      </c>
      <c r="P458">
        <v>50000</v>
      </c>
      <c r="Q458" s="2">
        <v>45863</v>
      </c>
    </row>
    <row r="459" spans="1:17" x14ac:dyDescent="0.45">
      <c r="A459" t="s">
        <v>732</v>
      </c>
      <c r="B459" t="s">
        <v>212</v>
      </c>
      <c r="C459" t="s">
        <v>19</v>
      </c>
      <c r="D459" t="s">
        <v>35</v>
      </c>
      <c r="E459" t="s">
        <v>16</v>
      </c>
      <c r="F459">
        <v>13.72</v>
      </c>
      <c r="G459">
        <v>13.71</v>
      </c>
      <c r="H459">
        <v>15.71</v>
      </c>
      <c r="I459" s="4" t="str">
        <f t="shared" si="28"/>
        <v>Admis</v>
      </c>
      <c r="J459" s="4" t="str">
        <f t="shared" si="29"/>
        <v>Eligible</v>
      </c>
      <c r="K459">
        <v>9.7899999999999991</v>
      </c>
      <c r="L459" s="6" t="str">
        <f t="shared" si="30"/>
        <v>RAS</v>
      </c>
      <c r="M459" s="6" t="str">
        <f t="shared" si="31"/>
        <v>Data</v>
      </c>
      <c r="N459" s="8" t="str" cm="1">
        <f t="array" ref="N459">_xlfn.IFS(H459&gt;=16,"Excellent",H459&gt;=14,"Très bien",H459&gt;=12,"Bien",H459&gt;=10,"Passable",TRUE,"Insuffisant")</f>
        <v>Très bien</v>
      </c>
      <c r="O459">
        <v>0.86150000000000004</v>
      </c>
      <c r="P459">
        <v>70000</v>
      </c>
      <c r="Q459" s="2">
        <v>45743</v>
      </c>
    </row>
    <row r="460" spans="1:17" x14ac:dyDescent="0.45">
      <c r="A460" t="s">
        <v>733</v>
      </c>
      <c r="B460" t="s">
        <v>465</v>
      </c>
      <c r="C460" t="s">
        <v>19</v>
      </c>
      <c r="D460" t="s">
        <v>35</v>
      </c>
      <c r="E460" t="s">
        <v>29</v>
      </c>
      <c r="F460">
        <v>9.91</v>
      </c>
      <c r="G460">
        <v>10.8</v>
      </c>
      <c r="H460">
        <v>11.86</v>
      </c>
      <c r="I460" s="4" t="str">
        <f t="shared" si="28"/>
        <v>Admis</v>
      </c>
      <c r="J460" s="4" t="str">
        <f t="shared" si="29"/>
        <v>Non eligible</v>
      </c>
      <c r="K460">
        <v>7.89</v>
      </c>
      <c r="L460" s="6" t="str">
        <f t="shared" si="30"/>
        <v>A surveiller</v>
      </c>
      <c r="M460" s="6" t="str">
        <f t="shared" si="31"/>
        <v>Hors Data</v>
      </c>
      <c r="N460" s="8" t="str" cm="1">
        <f t="array" ref="N460">_xlfn.IFS(H460&gt;=16,"Excellent",H460&gt;=14,"Très bien",H460&gt;=12,"Bien",H460&gt;=10,"Passable",TRUE,"Insuffisant")</f>
        <v>Passable</v>
      </c>
      <c r="O460">
        <v>0.55000000000000004</v>
      </c>
      <c r="P460">
        <v>50000</v>
      </c>
      <c r="Q460" s="2">
        <v>46120</v>
      </c>
    </row>
    <row r="461" spans="1:17" x14ac:dyDescent="0.45">
      <c r="A461" t="s">
        <v>734</v>
      </c>
      <c r="B461" t="s">
        <v>279</v>
      </c>
      <c r="C461" t="s">
        <v>14</v>
      </c>
      <c r="D461" t="s">
        <v>28</v>
      </c>
      <c r="E461" t="s">
        <v>16</v>
      </c>
      <c r="F461">
        <v>12.89</v>
      </c>
      <c r="G461">
        <v>18.39</v>
      </c>
      <c r="H461">
        <v>15.88</v>
      </c>
      <c r="I461" s="4" t="str">
        <f t="shared" si="28"/>
        <v>Admis</v>
      </c>
      <c r="J461" s="4" t="str">
        <f t="shared" si="29"/>
        <v>Eligible</v>
      </c>
      <c r="K461">
        <v>15.14</v>
      </c>
      <c r="L461" s="6" t="str">
        <f t="shared" si="30"/>
        <v>RAS</v>
      </c>
      <c r="M461" s="6" t="str">
        <f t="shared" si="31"/>
        <v>Data</v>
      </c>
      <c r="N461" s="8" t="str" cm="1">
        <f t="array" ref="N461">_xlfn.IFS(H461&gt;=16,"Excellent",H461&gt;=14,"Très bien",H461&gt;=12,"Bien",H461&gt;=10,"Passable",TRUE,"Insuffisant")</f>
        <v>Très bien</v>
      </c>
      <c r="O461">
        <v>0.99160000000000004</v>
      </c>
      <c r="P461">
        <v>120000</v>
      </c>
      <c r="Q461" s="2">
        <v>45578</v>
      </c>
    </row>
    <row r="462" spans="1:17" x14ac:dyDescent="0.45">
      <c r="A462" t="s">
        <v>735</v>
      </c>
      <c r="B462" t="s">
        <v>142</v>
      </c>
      <c r="C462" t="s">
        <v>19</v>
      </c>
      <c r="D462" t="s">
        <v>20</v>
      </c>
      <c r="E462" t="s">
        <v>16</v>
      </c>
      <c r="F462">
        <v>20</v>
      </c>
      <c r="G462">
        <v>19.170000000000002</v>
      </c>
      <c r="H462">
        <v>15.42</v>
      </c>
      <c r="I462" s="4" t="str">
        <f t="shared" si="28"/>
        <v>Admis</v>
      </c>
      <c r="J462" s="4" t="str">
        <f t="shared" si="29"/>
        <v>Non eligible</v>
      </c>
      <c r="K462">
        <v>15.83</v>
      </c>
      <c r="L462" s="6" t="str">
        <f t="shared" si="30"/>
        <v>RAS</v>
      </c>
      <c r="M462" s="6" t="str">
        <f t="shared" si="31"/>
        <v>Data</v>
      </c>
      <c r="N462" s="8" t="str" cm="1">
        <f t="array" ref="N462">_xlfn.IFS(H462&gt;=16,"Excellent",H462&gt;=14,"Très bien",H462&gt;=12,"Bien",H462&gt;=10,"Passable",TRUE,"Insuffisant")</f>
        <v>Très bien</v>
      </c>
      <c r="O462">
        <v>0.55000000000000004</v>
      </c>
      <c r="P462">
        <v>60000</v>
      </c>
      <c r="Q462" s="2">
        <v>45864</v>
      </c>
    </row>
    <row r="463" spans="1:17" x14ac:dyDescent="0.45">
      <c r="A463" t="s">
        <v>736</v>
      </c>
      <c r="B463" t="s">
        <v>594</v>
      </c>
      <c r="C463" t="s">
        <v>14</v>
      </c>
      <c r="D463" t="s">
        <v>35</v>
      </c>
      <c r="E463" t="s">
        <v>21</v>
      </c>
      <c r="F463">
        <v>16.02</v>
      </c>
      <c r="G463">
        <v>14.27</v>
      </c>
      <c r="H463">
        <v>13.56</v>
      </c>
      <c r="I463" s="4" t="str">
        <f t="shared" si="28"/>
        <v>Admis</v>
      </c>
      <c r="J463" s="4" t="str">
        <f t="shared" si="29"/>
        <v>Eligible</v>
      </c>
      <c r="K463">
        <v>13.49</v>
      </c>
      <c r="L463" s="6" t="str">
        <f t="shared" si="30"/>
        <v>RAS</v>
      </c>
      <c r="M463" s="6" t="str">
        <f t="shared" si="31"/>
        <v>Hors Data</v>
      </c>
      <c r="N463" s="8" t="str" cm="1">
        <f t="array" ref="N463">_xlfn.IFS(H463&gt;=16,"Excellent",H463&gt;=14,"Très bien",H463&gt;=12,"Bien",H463&gt;=10,"Passable",TRUE,"Insuffisant")</f>
        <v>Bien</v>
      </c>
      <c r="O463">
        <v>0.83799999999999997</v>
      </c>
      <c r="P463">
        <v>60000</v>
      </c>
      <c r="Q463" s="2">
        <v>45794</v>
      </c>
    </row>
    <row r="464" spans="1:17" x14ac:dyDescent="0.45">
      <c r="A464" t="s">
        <v>737</v>
      </c>
      <c r="B464" t="s">
        <v>738</v>
      </c>
      <c r="C464" t="s">
        <v>19</v>
      </c>
      <c r="D464" t="s">
        <v>20</v>
      </c>
      <c r="E464" t="s">
        <v>21</v>
      </c>
      <c r="F464">
        <v>16.63</v>
      </c>
      <c r="G464">
        <v>14.52</v>
      </c>
      <c r="H464">
        <v>17.39</v>
      </c>
      <c r="I464" s="4" t="str">
        <f t="shared" si="28"/>
        <v>Admis</v>
      </c>
      <c r="J464" s="4" t="str">
        <f t="shared" si="29"/>
        <v>Eligible</v>
      </c>
      <c r="K464">
        <v>15.66</v>
      </c>
      <c r="L464" s="6" t="str">
        <f t="shared" si="30"/>
        <v>RAS</v>
      </c>
      <c r="M464" s="6" t="str">
        <f t="shared" si="31"/>
        <v>Hors Data</v>
      </c>
      <c r="N464" s="8" t="str" cm="1">
        <f t="array" ref="N464">_xlfn.IFS(H464&gt;=16,"Excellent",H464&gt;=14,"Très bien",H464&gt;=12,"Bien",H464&gt;=10,"Passable",TRUE,"Insuffisant")</f>
        <v>Excellent</v>
      </c>
      <c r="O464">
        <v>0.98150000000000004</v>
      </c>
      <c r="P464">
        <v>60000</v>
      </c>
      <c r="Q464" s="2">
        <v>45916</v>
      </c>
    </row>
    <row r="465" spans="1:17" x14ac:dyDescent="0.45">
      <c r="A465" t="s">
        <v>739</v>
      </c>
      <c r="B465" t="s">
        <v>131</v>
      </c>
      <c r="C465" t="s">
        <v>14</v>
      </c>
      <c r="D465" t="s">
        <v>32</v>
      </c>
      <c r="E465" t="s">
        <v>42</v>
      </c>
      <c r="F465">
        <v>11.22</v>
      </c>
      <c r="G465">
        <v>13.98</v>
      </c>
      <c r="H465">
        <v>10.37</v>
      </c>
      <c r="I465" s="4" t="str">
        <f t="shared" si="28"/>
        <v>Admis</v>
      </c>
      <c r="J465" s="4" t="str">
        <f t="shared" si="29"/>
        <v>Non eligible</v>
      </c>
      <c r="K465">
        <v>11.69</v>
      </c>
      <c r="L465" s="6" t="str">
        <f t="shared" si="30"/>
        <v>RAS</v>
      </c>
      <c r="M465" s="6" t="str">
        <f t="shared" si="31"/>
        <v>Hors Data</v>
      </c>
      <c r="N465" s="8" t="str" cm="1">
        <f t="array" ref="N465">_xlfn.IFS(H465&gt;=16,"Excellent",H465&gt;=14,"Très bien",H465&gt;=12,"Bien",H465&gt;=10,"Passable",TRUE,"Insuffisant")</f>
        <v>Passable</v>
      </c>
      <c r="O465">
        <v>0.89729999999999999</v>
      </c>
      <c r="P465">
        <v>130000</v>
      </c>
      <c r="Q465" s="2">
        <v>45714</v>
      </c>
    </row>
    <row r="466" spans="1:17" x14ac:dyDescent="0.45">
      <c r="A466" t="s">
        <v>740</v>
      </c>
      <c r="B466" t="s">
        <v>13</v>
      </c>
      <c r="C466" t="s">
        <v>14</v>
      </c>
      <c r="D466" t="s">
        <v>47</v>
      </c>
      <c r="E466" t="s">
        <v>16</v>
      </c>
      <c r="F466">
        <v>12.49</v>
      </c>
      <c r="G466">
        <v>14.66</v>
      </c>
      <c r="H466">
        <v>12.23</v>
      </c>
      <c r="I466" s="4" t="str">
        <f t="shared" si="28"/>
        <v>Admis</v>
      </c>
      <c r="J466" s="4" t="str">
        <f t="shared" si="29"/>
        <v>Eligible</v>
      </c>
      <c r="K466">
        <v>13.2</v>
      </c>
      <c r="L466" s="6" t="str">
        <f t="shared" si="30"/>
        <v>RAS</v>
      </c>
      <c r="M466" s="6" t="str">
        <f t="shared" si="31"/>
        <v>Data</v>
      </c>
      <c r="N466" s="8" t="str" cm="1">
        <f t="array" ref="N466">_xlfn.IFS(H466&gt;=16,"Excellent",H466&gt;=14,"Très bien",H466&gt;=12,"Bien",H466&gt;=10,"Passable",TRUE,"Insuffisant")</f>
        <v>Bien</v>
      </c>
      <c r="O466">
        <v>0.82530000000000003</v>
      </c>
      <c r="P466">
        <v>130000</v>
      </c>
      <c r="Q466" s="2">
        <v>46001</v>
      </c>
    </row>
    <row r="467" spans="1:17" x14ac:dyDescent="0.45">
      <c r="A467" t="s">
        <v>741</v>
      </c>
      <c r="B467" t="s">
        <v>742</v>
      </c>
      <c r="C467" t="s">
        <v>19</v>
      </c>
      <c r="D467" t="s">
        <v>47</v>
      </c>
      <c r="E467" t="s">
        <v>16</v>
      </c>
      <c r="F467">
        <v>10.23</v>
      </c>
      <c r="G467">
        <v>13.99</v>
      </c>
      <c r="H467">
        <v>15.83</v>
      </c>
      <c r="I467" s="4" t="str">
        <f t="shared" si="28"/>
        <v>Admis</v>
      </c>
      <c r="J467" s="4" t="str">
        <f t="shared" si="29"/>
        <v>Non eligible</v>
      </c>
      <c r="K467">
        <v>10.61</v>
      </c>
      <c r="L467" s="6" t="str">
        <f t="shared" si="30"/>
        <v>RAS</v>
      </c>
      <c r="M467" s="6" t="str">
        <f t="shared" si="31"/>
        <v>Data</v>
      </c>
      <c r="N467" s="8" t="str" cm="1">
        <f t="array" ref="N467">_xlfn.IFS(H467&gt;=16,"Excellent",H467&gt;=14,"Très bien",H467&gt;=12,"Bien",H467&gt;=10,"Passable",TRUE,"Insuffisant")</f>
        <v>Très bien</v>
      </c>
      <c r="O467">
        <v>0.78610000000000002</v>
      </c>
      <c r="P467">
        <v>100000</v>
      </c>
      <c r="Q467" s="2">
        <v>45806</v>
      </c>
    </row>
    <row r="468" spans="1:17" x14ac:dyDescent="0.45">
      <c r="A468" t="s">
        <v>743</v>
      </c>
      <c r="B468" t="s">
        <v>526</v>
      </c>
      <c r="C468" t="s">
        <v>14</v>
      </c>
      <c r="D468" t="s">
        <v>35</v>
      </c>
      <c r="E468" t="s">
        <v>16</v>
      </c>
      <c r="F468">
        <v>8.3000000000000007</v>
      </c>
      <c r="G468">
        <v>6.57</v>
      </c>
      <c r="H468">
        <v>12.39</v>
      </c>
      <c r="I468" s="4" t="str">
        <f t="shared" si="28"/>
        <v>Admis</v>
      </c>
      <c r="J468" s="4" t="str">
        <f t="shared" si="29"/>
        <v>Non eligible</v>
      </c>
      <c r="K468">
        <v>10.35</v>
      </c>
      <c r="L468" s="6" t="str">
        <f t="shared" si="30"/>
        <v>A surveiller</v>
      </c>
      <c r="M468" s="6" t="str">
        <f t="shared" si="31"/>
        <v>Data</v>
      </c>
      <c r="N468" s="8" t="str" cm="1">
        <f t="array" ref="N468">_xlfn.IFS(H468&gt;=16,"Excellent",H468&gt;=14,"Très bien",H468&gt;=12,"Bien",H468&gt;=10,"Passable",TRUE,"Insuffisant")</f>
        <v>Bien</v>
      </c>
      <c r="O468">
        <v>0.74929999999999997</v>
      </c>
      <c r="P468">
        <v>50000</v>
      </c>
      <c r="Q468" s="2">
        <v>45667</v>
      </c>
    </row>
    <row r="469" spans="1:17" x14ac:dyDescent="0.45">
      <c r="A469" t="s">
        <v>744</v>
      </c>
      <c r="B469" t="s">
        <v>745</v>
      </c>
      <c r="C469" t="s">
        <v>19</v>
      </c>
      <c r="D469" t="s">
        <v>28</v>
      </c>
      <c r="E469" t="s">
        <v>42</v>
      </c>
      <c r="F469">
        <v>15.51</v>
      </c>
      <c r="G469">
        <v>13.98</v>
      </c>
      <c r="H469">
        <v>11.05</v>
      </c>
      <c r="I469" s="4" t="str">
        <f t="shared" si="28"/>
        <v>Admis</v>
      </c>
      <c r="J469" s="4" t="str">
        <f t="shared" si="29"/>
        <v>Non eligible</v>
      </c>
      <c r="K469">
        <v>14.51</v>
      </c>
      <c r="L469" s="6" t="str">
        <f t="shared" si="30"/>
        <v>RAS</v>
      </c>
      <c r="M469" s="6" t="str">
        <f t="shared" si="31"/>
        <v>Hors Data</v>
      </c>
      <c r="N469" s="8" t="str" cm="1">
        <f t="array" ref="N469">_xlfn.IFS(H469&gt;=16,"Excellent",H469&gt;=14,"Très bien",H469&gt;=12,"Bien",H469&gt;=10,"Passable",TRUE,"Insuffisant")</f>
        <v>Passable</v>
      </c>
      <c r="O469">
        <v>0.94889999999999997</v>
      </c>
      <c r="P469">
        <v>85000</v>
      </c>
      <c r="Q469" s="2">
        <v>45673</v>
      </c>
    </row>
    <row r="470" spans="1:17" x14ac:dyDescent="0.45">
      <c r="A470" t="s">
        <v>746</v>
      </c>
      <c r="B470" t="s">
        <v>149</v>
      </c>
      <c r="C470" t="s">
        <v>14</v>
      </c>
      <c r="D470" t="s">
        <v>32</v>
      </c>
      <c r="E470" t="s">
        <v>16</v>
      </c>
      <c r="F470">
        <v>9.68</v>
      </c>
      <c r="G470">
        <v>11.62</v>
      </c>
      <c r="H470">
        <v>12.29</v>
      </c>
      <c r="I470" s="4" t="str">
        <f t="shared" si="28"/>
        <v>Admis</v>
      </c>
      <c r="J470" s="4" t="str">
        <f t="shared" si="29"/>
        <v>Non eligible</v>
      </c>
      <c r="K470">
        <v>10.08</v>
      </c>
      <c r="L470" s="6" t="str">
        <f t="shared" si="30"/>
        <v>A surveiller</v>
      </c>
      <c r="M470" s="6" t="str">
        <f t="shared" si="31"/>
        <v>Data</v>
      </c>
      <c r="N470" s="8" t="str" cm="1">
        <f t="array" ref="N470">_xlfn.IFS(H470&gt;=16,"Excellent",H470&gt;=14,"Très bien",H470&gt;=12,"Bien",H470&gt;=10,"Passable",TRUE,"Insuffisant")</f>
        <v>Bien</v>
      </c>
      <c r="O470">
        <v>0.93579999999999997</v>
      </c>
      <c r="P470">
        <v>130000</v>
      </c>
      <c r="Q470" s="2">
        <v>46023</v>
      </c>
    </row>
    <row r="471" spans="1:17" x14ac:dyDescent="0.45">
      <c r="A471" t="s">
        <v>747</v>
      </c>
      <c r="B471" t="s">
        <v>738</v>
      </c>
      <c r="C471" t="s">
        <v>19</v>
      </c>
      <c r="D471" t="s">
        <v>15</v>
      </c>
      <c r="E471" t="s">
        <v>29</v>
      </c>
      <c r="F471">
        <v>15.78</v>
      </c>
      <c r="G471">
        <v>12.08</v>
      </c>
      <c r="H471">
        <v>13.4</v>
      </c>
      <c r="I471" s="4" t="str">
        <f t="shared" si="28"/>
        <v>Admis</v>
      </c>
      <c r="J471" s="4" t="str">
        <f t="shared" si="29"/>
        <v>Eligible</v>
      </c>
      <c r="K471">
        <v>11.97</v>
      </c>
      <c r="L471" s="6" t="str">
        <f t="shared" si="30"/>
        <v>RAS</v>
      </c>
      <c r="M471" s="6" t="str">
        <f t="shared" si="31"/>
        <v>Hors Data</v>
      </c>
      <c r="N471" s="8" t="str" cm="1">
        <f t="array" ref="N471">_xlfn.IFS(H471&gt;=16,"Excellent",H471&gt;=14,"Très bien",H471&gt;=12,"Bien",H471&gt;=10,"Passable",TRUE,"Insuffisant")</f>
        <v>Bien</v>
      </c>
      <c r="O471">
        <v>0.97750000000000004</v>
      </c>
      <c r="P471">
        <v>60000</v>
      </c>
      <c r="Q471" s="2">
        <v>45719</v>
      </c>
    </row>
    <row r="472" spans="1:17" x14ac:dyDescent="0.45">
      <c r="A472" t="s">
        <v>748</v>
      </c>
      <c r="B472" t="s">
        <v>304</v>
      </c>
      <c r="C472" t="s">
        <v>19</v>
      </c>
      <c r="D472" t="s">
        <v>32</v>
      </c>
      <c r="E472" t="s">
        <v>21</v>
      </c>
      <c r="F472">
        <v>5.63</v>
      </c>
      <c r="G472">
        <v>9.15</v>
      </c>
      <c r="H472">
        <v>5.27</v>
      </c>
      <c r="I472" s="4" t="str">
        <f t="shared" si="28"/>
        <v>Non admis</v>
      </c>
      <c r="J472" s="4" t="str">
        <f t="shared" si="29"/>
        <v>Non eligible</v>
      </c>
      <c r="K472">
        <v>2.41</v>
      </c>
      <c r="L472" s="6" t="str">
        <f t="shared" si="30"/>
        <v>A surveiller</v>
      </c>
      <c r="M472" s="6" t="str">
        <f t="shared" si="31"/>
        <v>Hors Data</v>
      </c>
      <c r="N472" s="8" t="str" cm="1">
        <f t="array" ref="N472">_xlfn.IFS(H472&gt;=16,"Excellent",H472&gt;=14,"Très bien",H472&gt;=12,"Bien",H472&gt;=10,"Passable",TRUE,"Insuffisant")</f>
        <v>Insuffisant</v>
      </c>
      <c r="O472">
        <v>0.72319999999999995</v>
      </c>
      <c r="P472">
        <v>110000</v>
      </c>
      <c r="Q472" s="2">
        <v>45751</v>
      </c>
    </row>
    <row r="473" spans="1:17" x14ac:dyDescent="0.45">
      <c r="A473" t="s">
        <v>749</v>
      </c>
      <c r="B473" t="s">
        <v>119</v>
      </c>
      <c r="C473" t="s">
        <v>19</v>
      </c>
      <c r="D473" t="s">
        <v>20</v>
      </c>
      <c r="E473" t="s">
        <v>21</v>
      </c>
      <c r="F473">
        <v>12.83</v>
      </c>
      <c r="G473">
        <v>7.28</v>
      </c>
      <c r="H473">
        <v>7.13</v>
      </c>
      <c r="I473" s="4" t="str">
        <f t="shared" si="28"/>
        <v>Non admis</v>
      </c>
      <c r="J473" s="4" t="str">
        <f t="shared" si="29"/>
        <v>Non eligible</v>
      </c>
      <c r="K473">
        <v>9.67</v>
      </c>
      <c r="L473" s="6" t="str">
        <f t="shared" si="30"/>
        <v>A surveiller</v>
      </c>
      <c r="M473" s="6" t="str">
        <f t="shared" si="31"/>
        <v>Hors Data</v>
      </c>
      <c r="N473" s="8" t="str" cm="1">
        <f t="array" ref="N473">_xlfn.IFS(H473&gt;=16,"Excellent",H473&gt;=14,"Très bien",H473&gt;=12,"Bien",H473&gt;=10,"Passable",TRUE,"Insuffisant")</f>
        <v>Insuffisant</v>
      </c>
      <c r="O473">
        <v>0.86040000000000005</v>
      </c>
      <c r="P473">
        <v>50000</v>
      </c>
      <c r="Q473" s="2">
        <v>45974</v>
      </c>
    </row>
    <row r="474" spans="1:17" x14ac:dyDescent="0.45">
      <c r="A474" t="s">
        <v>750</v>
      </c>
      <c r="B474" t="s">
        <v>751</v>
      </c>
      <c r="C474" t="s">
        <v>14</v>
      </c>
      <c r="D474" t="s">
        <v>28</v>
      </c>
      <c r="E474" t="s">
        <v>21</v>
      </c>
      <c r="F474">
        <v>14.27</v>
      </c>
      <c r="G474">
        <v>13.48</v>
      </c>
      <c r="H474">
        <v>17.690000000000001</v>
      </c>
      <c r="I474" s="4" t="str">
        <f t="shared" si="28"/>
        <v>Admis</v>
      </c>
      <c r="J474" s="4" t="str">
        <f t="shared" si="29"/>
        <v>Eligible</v>
      </c>
      <c r="K474">
        <v>14.9</v>
      </c>
      <c r="L474" s="6" t="str">
        <f t="shared" si="30"/>
        <v>RAS</v>
      </c>
      <c r="M474" s="6" t="str">
        <f t="shared" si="31"/>
        <v>Hors Data</v>
      </c>
      <c r="N474" s="8" t="str" cm="1">
        <f t="array" ref="N474">_xlfn.IFS(H474&gt;=16,"Excellent",H474&gt;=14,"Très bien",H474&gt;=12,"Bien",H474&gt;=10,"Passable",TRUE,"Insuffisant")</f>
        <v>Excellent</v>
      </c>
      <c r="O474">
        <v>0.93049999999999999</v>
      </c>
      <c r="P474">
        <v>110000</v>
      </c>
      <c r="Q474" s="2">
        <v>45766</v>
      </c>
    </row>
    <row r="475" spans="1:17" x14ac:dyDescent="0.45">
      <c r="A475" t="s">
        <v>752</v>
      </c>
      <c r="B475" t="s">
        <v>753</v>
      </c>
      <c r="C475" t="s">
        <v>14</v>
      </c>
      <c r="D475" t="s">
        <v>35</v>
      </c>
      <c r="E475" t="s">
        <v>29</v>
      </c>
      <c r="F475">
        <v>9.61</v>
      </c>
      <c r="G475">
        <v>10.220000000000001</v>
      </c>
      <c r="H475">
        <v>11.82</v>
      </c>
      <c r="I475" s="4" t="str">
        <f t="shared" si="28"/>
        <v>Admis</v>
      </c>
      <c r="J475" s="4" t="str">
        <f t="shared" si="29"/>
        <v>Non eligible</v>
      </c>
      <c r="K475">
        <v>12.38</v>
      </c>
      <c r="L475" s="6" t="str">
        <f t="shared" si="30"/>
        <v>A surveiller</v>
      </c>
      <c r="M475" s="6" t="str">
        <f t="shared" si="31"/>
        <v>Hors Data</v>
      </c>
      <c r="N475" s="8" t="str" cm="1">
        <f t="array" ref="N475">_xlfn.IFS(H475&gt;=16,"Excellent",H475&gt;=14,"Très bien",H475&gt;=12,"Bien",H475&gt;=10,"Passable",TRUE,"Insuffisant")</f>
        <v>Passable</v>
      </c>
      <c r="O475">
        <v>0.85699999999999998</v>
      </c>
      <c r="P475">
        <v>85000</v>
      </c>
      <c r="Q475" s="2">
        <v>45807</v>
      </c>
    </row>
    <row r="476" spans="1:17" x14ac:dyDescent="0.45">
      <c r="A476" t="s">
        <v>754</v>
      </c>
      <c r="B476" t="s">
        <v>755</v>
      </c>
      <c r="C476" t="s">
        <v>19</v>
      </c>
      <c r="D476" t="s">
        <v>32</v>
      </c>
      <c r="E476" t="s">
        <v>42</v>
      </c>
      <c r="F476">
        <v>11.95</v>
      </c>
      <c r="G476">
        <v>15.54</v>
      </c>
      <c r="H476">
        <v>18.920000000000002</v>
      </c>
      <c r="I476" s="4" t="str">
        <f t="shared" si="28"/>
        <v>Admis</v>
      </c>
      <c r="J476" s="4" t="str">
        <f t="shared" si="29"/>
        <v>Non eligible</v>
      </c>
      <c r="K476">
        <v>11.46</v>
      </c>
      <c r="L476" s="6" t="str">
        <f t="shared" si="30"/>
        <v>RAS</v>
      </c>
      <c r="M476" s="6" t="str">
        <f t="shared" si="31"/>
        <v>Hors Data</v>
      </c>
      <c r="N476" s="8" t="str" cm="1">
        <f t="array" ref="N476">_xlfn.IFS(H476&gt;=16,"Excellent",H476&gt;=14,"Très bien",H476&gt;=12,"Bien",H476&gt;=10,"Passable",TRUE,"Insuffisant")</f>
        <v>Excellent</v>
      </c>
      <c r="O476">
        <v>0.70750000000000002</v>
      </c>
      <c r="P476">
        <v>120000</v>
      </c>
      <c r="Q476" s="2">
        <v>45707</v>
      </c>
    </row>
    <row r="477" spans="1:17" x14ac:dyDescent="0.45">
      <c r="A477" t="s">
        <v>756</v>
      </c>
      <c r="B477" t="s">
        <v>612</v>
      </c>
      <c r="C477" t="s">
        <v>19</v>
      </c>
      <c r="D477" t="s">
        <v>15</v>
      </c>
      <c r="E477" t="s">
        <v>16</v>
      </c>
      <c r="F477">
        <v>10.16</v>
      </c>
      <c r="G477">
        <v>11.37</v>
      </c>
      <c r="H477">
        <v>9.25</v>
      </c>
      <c r="I477" s="4" t="str">
        <f t="shared" si="28"/>
        <v>Non admis</v>
      </c>
      <c r="J477" s="4" t="str">
        <f t="shared" si="29"/>
        <v>Non eligible</v>
      </c>
      <c r="K477">
        <v>9.5399999999999991</v>
      </c>
      <c r="L477" s="6" t="str">
        <f t="shared" si="30"/>
        <v>A surveiller</v>
      </c>
      <c r="M477" s="6" t="str">
        <f t="shared" si="31"/>
        <v>Data</v>
      </c>
      <c r="N477" s="8" t="str" cm="1">
        <f t="array" ref="N477">_xlfn.IFS(H477&gt;=16,"Excellent",H477&gt;=14,"Très bien",H477&gt;=12,"Bien",H477&gt;=10,"Passable",TRUE,"Insuffisant")</f>
        <v>Insuffisant</v>
      </c>
      <c r="O477">
        <v>0.9546</v>
      </c>
      <c r="P477">
        <v>80000</v>
      </c>
      <c r="Q477" s="2">
        <v>45777</v>
      </c>
    </row>
    <row r="478" spans="1:17" x14ac:dyDescent="0.45">
      <c r="A478" t="s">
        <v>757</v>
      </c>
      <c r="B478" t="s">
        <v>167</v>
      </c>
      <c r="C478" t="s">
        <v>19</v>
      </c>
      <c r="D478" t="s">
        <v>47</v>
      </c>
      <c r="E478" t="s">
        <v>21</v>
      </c>
      <c r="F478">
        <v>17.670000000000002</v>
      </c>
      <c r="G478">
        <v>18.89</v>
      </c>
      <c r="H478">
        <v>20</v>
      </c>
      <c r="I478" s="4" t="str">
        <f t="shared" si="28"/>
        <v>Admis</v>
      </c>
      <c r="J478" s="4" t="str">
        <f t="shared" si="29"/>
        <v>Non eligible</v>
      </c>
      <c r="K478">
        <v>18.690000000000001</v>
      </c>
      <c r="L478" s="6" t="str">
        <f t="shared" si="30"/>
        <v>RAS</v>
      </c>
      <c r="M478" s="6" t="str">
        <f t="shared" si="31"/>
        <v>Hors Data</v>
      </c>
      <c r="N478" s="8" t="str" cm="1">
        <f t="array" ref="N478">_xlfn.IFS(H478&gt;=16,"Excellent",H478&gt;=14,"Très bien",H478&gt;=12,"Bien",H478&gt;=10,"Passable",TRUE,"Insuffisant")</f>
        <v>Excellent</v>
      </c>
      <c r="O478">
        <v>0.74709999999999999</v>
      </c>
      <c r="P478">
        <v>110000</v>
      </c>
      <c r="Q478" s="2">
        <v>46020</v>
      </c>
    </row>
    <row r="479" spans="1:17" x14ac:dyDescent="0.45">
      <c r="A479" t="s">
        <v>758</v>
      </c>
      <c r="B479" t="s">
        <v>601</v>
      </c>
      <c r="C479" t="s">
        <v>14</v>
      </c>
      <c r="D479" t="s">
        <v>35</v>
      </c>
      <c r="E479" t="s">
        <v>16</v>
      </c>
      <c r="F479">
        <v>12.08</v>
      </c>
      <c r="G479">
        <v>16.079999999999998</v>
      </c>
      <c r="H479">
        <v>10.51</v>
      </c>
      <c r="I479" s="4" t="str">
        <f t="shared" si="28"/>
        <v>Admis</v>
      </c>
      <c r="J479" s="4" t="str">
        <f t="shared" si="29"/>
        <v>Non eligible</v>
      </c>
      <c r="K479">
        <v>14.99</v>
      </c>
      <c r="L479" s="6" t="str">
        <f t="shared" si="30"/>
        <v>RAS</v>
      </c>
      <c r="M479" s="6" t="str">
        <f t="shared" si="31"/>
        <v>Data</v>
      </c>
      <c r="N479" s="8" t="str" cm="1">
        <f t="array" ref="N479">_xlfn.IFS(H479&gt;=16,"Excellent",H479&gt;=14,"Très bien",H479&gt;=12,"Bien",H479&gt;=10,"Passable",TRUE,"Insuffisant")</f>
        <v>Passable</v>
      </c>
      <c r="O479">
        <v>0.75880000000000003</v>
      </c>
      <c r="P479">
        <v>120000</v>
      </c>
      <c r="Q479" s="2">
        <v>45909</v>
      </c>
    </row>
    <row r="480" spans="1:17" x14ac:dyDescent="0.45">
      <c r="A480" t="s">
        <v>759</v>
      </c>
      <c r="B480" t="s">
        <v>44</v>
      </c>
      <c r="C480" t="s">
        <v>19</v>
      </c>
      <c r="D480" t="s">
        <v>28</v>
      </c>
      <c r="E480" t="s">
        <v>42</v>
      </c>
      <c r="F480">
        <v>12.08</v>
      </c>
      <c r="G480">
        <v>10.83</v>
      </c>
      <c r="H480">
        <v>12.25</v>
      </c>
      <c r="I480" s="4" t="str">
        <f t="shared" si="28"/>
        <v>Admis</v>
      </c>
      <c r="J480" s="4" t="str">
        <f t="shared" si="29"/>
        <v>Eligible</v>
      </c>
      <c r="K480">
        <v>12.53</v>
      </c>
      <c r="L480" s="6" t="str">
        <f t="shared" si="30"/>
        <v>RAS</v>
      </c>
      <c r="M480" s="6" t="str">
        <f t="shared" si="31"/>
        <v>Hors Data</v>
      </c>
      <c r="N480" s="8" t="str" cm="1">
        <f t="array" ref="N480">_xlfn.IFS(H480&gt;=16,"Excellent",H480&gt;=14,"Très bien",H480&gt;=12,"Bien",H480&gt;=10,"Passable",TRUE,"Insuffisant")</f>
        <v>Bien</v>
      </c>
      <c r="O480">
        <v>0.8881</v>
      </c>
      <c r="P480">
        <v>75000</v>
      </c>
      <c r="Q480" s="2">
        <v>46234</v>
      </c>
    </row>
    <row r="481" spans="1:17" x14ac:dyDescent="0.45">
      <c r="A481" t="s">
        <v>760</v>
      </c>
      <c r="B481" t="s">
        <v>214</v>
      </c>
      <c r="C481" t="s">
        <v>14</v>
      </c>
      <c r="D481" t="s">
        <v>28</v>
      </c>
      <c r="E481" t="s">
        <v>42</v>
      </c>
      <c r="F481">
        <v>17.23</v>
      </c>
      <c r="G481">
        <v>20</v>
      </c>
      <c r="H481">
        <v>20</v>
      </c>
      <c r="I481" s="4" t="str">
        <f t="shared" si="28"/>
        <v>Admis</v>
      </c>
      <c r="J481" s="4" t="str">
        <f t="shared" si="29"/>
        <v>Eligible</v>
      </c>
      <c r="K481">
        <v>19.95</v>
      </c>
      <c r="L481" s="6" t="str">
        <f t="shared" si="30"/>
        <v>RAS</v>
      </c>
      <c r="M481" s="6" t="str">
        <f t="shared" si="31"/>
        <v>Hors Data</v>
      </c>
      <c r="N481" s="8" t="str" cm="1">
        <f t="array" ref="N481">_xlfn.IFS(H481&gt;=16,"Excellent",H481&gt;=14,"Très bien",H481&gt;=12,"Bien",H481&gt;=10,"Passable",TRUE,"Insuffisant")</f>
        <v>Excellent</v>
      </c>
      <c r="O481">
        <v>0.87219999999999998</v>
      </c>
      <c r="P481">
        <v>100000</v>
      </c>
      <c r="Q481" s="2">
        <v>46076</v>
      </c>
    </row>
    <row r="482" spans="1:17" x14ac:dyDescent="0.45">
      <c r="A482" t="s">
        <v>761</v>
      </c>
      <c r="B482" t="s">
        <v>172</v>
      </c>
      <c r="C482" t="s">
        <v>14</v>
      </c>
      <c r="D482" t="s">
        <v>15</v>
      </c>
      <c r="E482" t="s">
        <v>21</v>
      </c>
      <c r="F482">
        <v>17.64</v>
      </c>
      <c r="G482">
        <v>17.46</v>
      </c>
      <c r="H482">
        <v>20</v>
      </c>
      <c r="I482" s="4" t="str">
        <f t="shared" si="28"/>
        <v>Admis</v>
      </c>
      <c r="J482" s="4" t="str">
        <f t="shared" si="29"/>
        <v>Eligible</v>
      </c>
      <c r="K482">
        <v>18.05</v>
      </c>
      <c r="L482" s="6" t="str">
        <f t="shared" si="30"/>
        <v>RAS</v>
      </c>
      <c r="M482" s="6" t="str">
        <f t="shared" si="31"/>
        <v>Hors Data</v>
      </c>
      <c r="N482" s="8" t="str" cm="1">
        <f t="array" ref="N482">_xlfn.IFS(H482&gt;=16,"Excellent",H482&gt;=14,"Très bien",H482&gt;=12,"Bien",H482&gt;=10,"Passable",TRUE,"Insuffisant")</f>
        <v>Excellent</v>
      </c>
      <c r="O482">
        <v>0.89580000000000004</v>
      </c>
      <c r="P482">
        <v>85000</v>
      </c>
      <c r="Q482" s="2">
        <v>45547</v>
      </c>
    </row>
    <row r="483" spans="1:17" x14ac:dyDescent="0.45">
      <c r="A483" t="s">
        <v>762</v>
      </c>
      <c r="B483" t="s">
        <v>605</v>
      </c>
      <c r="C483" t="s">
        <v>19</v>
      </c>
      <c r="D483" t="s">
        <v>32</v>
      </c>
      <c r="E483" t="s">
        <v>29</v>
      </c>
      <c r="F483">
        <v>11.62</v>
      </c>
      <c r="G483">
        <v>14.65</v>
      </c>
      <c r="H483">
        <v>10.74</v>
      </c>
      <c r="I483" s="4" t="str">
        <f t="shared" si="28"/>
        <v>Admis</v>
      </c>
      <c r="J483" s="4" t="str">
        <f t="shared" si="29"/>
        <v>Non eligible</v>
      </c>
      <c r="K483">
        <v>15.95</v>
      </c>
      <c r="L483" s="6" t="str">
        <f t="shared" si="30"/>
        <v>RAS</v>
      </c>
      <c r="M483" s="6" t="str">
        <f t="shared" si="31"/>
        <v>Hors Data</v>
      </c>
      <c r="N483" s="8" t="str" cm="1">
        <f t="array" ref="N483">_xlfn.IFS(H483&gt;=16,"Excellent",H483&gt;=14,"Très bien",H483&gt;=12,"Bien",H483&gt;=10,"Passable",TRUE,"Insuffisant")</f>
        <v>Passable</v>
      </c>
      <c r="O483">
        <v>0.83789999999999998</v>
      </c>
      <c r="P483">
        <v>80000</v>
      </c>
      <c r="Q483" s="2">
        <v>45801</v>
      </c>
    </row>
    <row r="484" spans="1:17" x14ac:dyDescent="0.45">
      <c r="A484" t="s">
        <v>763</v>
      </c>
      <c r="B484" t="s">
        <v>764</v>
      </c>
      <c r="C484" t="s">
        <v>14</v>
      </c>
      <c r="D484" t="s">
        <v>35</v>
      </c>
      <c r="E484" t="s">
        <v>16</v>
      </c>
      <c r="F484">
        <v>10.33</v>
      </c>
      <c r="G484">
        <v>9.33</v>
      </c>
      <c r="H484">
        <v>12.09</v>
      </c>
      <c r="I484" s="4" t="str">
        <f t="shared" si="28"/>
        <v>Admis</v>
      </c>
      <c r="J484" s="4" t="str">
        <f t="shared" si="29"/>
        <v>Non eligible</v>
      </c>
      <c r="K484">
        <v>8.48</v>
      </c>
      <c r="L484" s="6" t="str">
        <f t="shared" si="30"/>
        <v>RAS</v>
      </c>
      <c r="M484" s="6" t="str">
        <f t="shared" si="31"/>
        <v>Data</v>
      </c>
      <c r="N484" s="8" t="str" cm="1">
        <f t="array" ref="N484">_xlfn.IFS(H484&gt;=16,"Excellent",H484&gt;=14,"Très bien",H484&gt;=12,"Bien",H484&gt;=10,"Passable",TRUE,"Insuffisant")</f>
        <v>Bien</v>
      </c>
      <c r="O484">
        <v>0.61839999999999995</v>
      </c>
      <c r="P484">
        <v>110000</v>
      </c>
      <c r="Q484" s="2">
        <v>45738</v>
      </c>
    </row>
    <row r="485" spans="1:17" x14ac:dyDescent="0.45">
      <c r="A485" t="s">
        <v>765</v>
      </c>
      <c r="B485" t="s">
        <v>237</v>
      </c>
      <c r="C485" t="s">
        <v>19</v>
      </c>
      <c r="D485" t="s">
        <v>15</v>
      </c>
      <c r="E485" t="s">
        <v>21</v>
      </c>
      <c r="F485">
        <v>15.99</v>
      </c>
      <c r="G485">
        <v>13</v>
      </c>
      <c r="H485">
        <v>9.75</v>
      </c>
      <c r="I485" s="4" t="str">
        <f t="shared" si="28"/>
        <v>Non admis</v>
      </c>
      <c r="J485" s="4" t="str">
        <f t="shared" si="29"/>
        <v>Non eligible</v>
      </c>
      <c r="K485">
        <v>10.48</v>
      </c>
      <c r="L485" s="6" t="str">
        <f t="shared" si="30"/>
        <v>A surveiller</v>
      </c>
      <c r="M485" s="6" t="str">
        <f t="shared" si="31"/>
        <v>Hors Data</v>
      </c>
      <c r="N485" s="8" t="str" cm="1">
        <f t="array" ref="N485">_xlfn.IFS(H485&gt;=16,"Excellent",H485&gt;=14,"Très bien",H485&gt;=12,"Bien",H485&gt;=10,"Passable",TRUE,"Insuffisant")</f>
        <v>Insuffisant</v>
      </c>
      <c r="O485">
        <v>0.68830000000000002</v>
      </c>
      <c r="P485">
        <v>70000</v>
      </c>
      <c r="Q485" s="2">
        <v>45947</v>
      </c>
    </row>
    <row r="486" spans="1:17" x14ac:dyDescent="0.45">
      <c r="A486" t="s">
        <v>766</v>
      </c>
      <c r="B486" t="s">
        <v>100</v>
      </c>
      <c r="C486" t="s">
        <v>14</v>
      </c>
      <c r="D486" t="s">
        <v>20</v>
      </c>
      <c r="E486" t="s">
        <v>42</v>
      </c>
      <c r="F486">
        <v>14.75</v>
      </c>
      <c r="G486">
        <v>15.85</v>
      </c>
      <c r="H486">
        <v>14.73</v>
      </c>
      <c r="I486" s="4" t="str">
        <f t="shared" si="28"/>
        <v>Admis</v>
      </c>
      <c r="J486" s="4" t="str">
        <f t="shared" si="29"/>
        <v>Non eligible</v>
      </c>
      <c r="K486">
        <v>20</v>
      </c>
      <c r="L486" s="6" t="str">
        <f t="shared" si="30"/>
        <v>RAS</v>
      </c>
      <c r="M486" s="6" t="str">
        <f t="shared" si="31"/>
        <v>Hors Data</v>
      </c>
      <c r="N486" s="8" t="str" cm="1">
        <f t="array" ref="N486">_xlfn.IFS(H486&gt;=16,"Excellent",H486&gt;=14,"Très bien",H486&gt;=12,"Bien",H486&gt;=10,"Passable",TRUE,"Insuffisant")</f>
        <v>Très bien</v>
      </c>
      <c r="O486">
        <v>0.73089999999999999</v>
      </c>
      <c r="P486">
        <v>60000</v>
      </c>
      <c r="Q486" s="2">
        <v>45721</v>
      </c>
    </row>
    <row r="487" spans="1:17" x14ac:dyDescent="0.45">
      <c r="A487" t="s">
        <v>767</v>
      </c>
      <c r="B487" t="s">
        <v>366</v>
      </c>
      <c r="C487" t="s">
        <v>14</v>
      </c>
      <c r="D487" t="s">
        <v>47</v>
      </c>
      <c r="E487" t="s">
        <v>29</v>
      </c>
      <c r="F487">
        <v>16</v>
      </c>
      <c r="G487">
        <v>16.149999999999999</v>
      </c>
      <c r="H487">
        <v>15.25</v>
      </c>
      <c r="I487" s="4" t="str">
        <f t="shared" si="28"/>
        <v>Admis</v>
      </c>
      <c r="J487" s="4" t="str">
        <f t="shared" si="29"/>
        <v>Eligible</v>
      </c>
      <c r="K487">
        <v>12.5</v>
      </c>
      <c r="L487" s="6" t="str">
        <f t="shared" si="30"/>
        <v>RAS</v>
      </c>
      <c r="M487" s="6" t="str">
        <f t="shared" si="31"/>
        <v>Hors Data</v>
      </c>
      <c r="N487" s="8" t="str" cm="1">
        <f t="array" ref="N487">_xlfn.IFS(H487&gt;=16,"Excellent",H487&gt;=14,"Très bien",H487&gt;=12,"Bien",H487&gt;=10,"Passable",TRUE,"Insuffisant")</f>
        <v>Très bien</v>
      </c>
      <c r="O487">
        <v>0.97099999999999997</v>
      </c>
      <c r="P487">
        <v>85000</v>
      </c>
      <c r="Q487" s="2">
        <v>46212</v>
      </c>
    </row>
    <row r="488" spans="1:17" x14ac:dyDescent="0.45">
      <c r="A488" t="s">
        <v>768</v>
      </c>
      <c r="B488" t="s">
        <v>334</v>
      </c>
      <c r="C488" t="s">
        <v>14</v>
      </c>
      <c r="D488" t="s">
        <v>32</v>
      </c>
      <c r="E488" t="s">
        <v>29</v>
      </c>
      <c r="F488">
        <v>11.22</v>
      </c>
      <c r="G488">
        <v>9.31</v>
      </c>
      <c r="H488">
        <v>11.64</v>
      </c>
      <c r="I488" s="4" t="str">
        <f t="shared" si="28"/>
        <v>Admis</v>
      </c>
      <c r="J488" s="4" t="str">
        <f t="shared" si="29"/>
        <v>Non eligible</v>
      </c>
      <c r="K488">
        <v>8.1300000000000008</v>
      </c>
      <c r="L488" s="6" t="str">
        <f t="shared" si="30"/>
        <v>RAS</v>
      </c>
      <c r="M488" s="6" t="str">
        <f t="shared" si="31"/>
        <v>Hors Data</v>
      </c>
      <c r="N488" s="8" t="str" cm="1">
        <f t="array" ref="N488">_xlfn.IFS(H488&gt;=16,"Excellent",H488&gt;=14,"Très bien",H488&gt;=12,"Bien",H488&gt;=10,"Passable",TRUE,"Insuffisant")</f>
        <v>Passable</v>
      </c>
      <c r="O488">
        <v>0.55000000000000004</v>
      </c>
      <c r="P488">
        <v>120000</v>
      </c>
      <c r="Q488" s="2">
        <v>45745</v>
      </c>
    </row>
    <row r="489" spans="1:17" x14ac:dyDescent="0.45">
      <c r="A489" t="s">
        <v>769</v>
      </c>
      <c r="B489" t="s">
        <v>65</v>
      </c>
      <c r="C489" t="s">
        <v>19</v>
      </c>
      <c r="D489" t="s">
        <v>20</v>
      </c>
      <c r="E489" t="s">
        <v>29</v>
      </c>
      <c r="F489">
        <v>18.149999999999999</v>
      </c>
      <c r="G489">
        <v>18.079999999999998</v>
      </c>
      <c r="H489">
        <v>17.260000000000002</v>
      </c>
      <c r="I489" s="4" t="str">
        <f t="shared" si="28"/>
        <v>Admis</v>
      </c>
      <c r="J489" s="4" t="str">
        <f t="shared" si="29"/>
        <v>Eligible</v>
      </c>
      <c r="K489">
        <v>16.23</v>
      </c>
      <c r="L489" s="6" t="str">
        <f t="shared" si="30"/>
        <v>RAS</v>
      </c>
      <c r="M489" s="6" t="str">
        <f t="shared" si="31"/>
        <v>Hors Data</v>
      </c>
      <c r="N489" s="8" t="str" cm="1">
        <f t="array" ref="N489">_xlfn.IFS(H489&gt;=16,"Excellent",H489&gt;=14,"Très bien",H489&gt;=12,"Bien",H489&gt;=10,"Passable",TRUE,"Insuffisant")</f>
        <v>Excellent</v>
      </c>
      <c r="O489">
        <v>0.87280000000000002</v>
      </c>
      <c r="P489">
        <v>60000</v>
      </c>
      <c r="Q489" s="2">
        <v>45901</v>
      </c>
    </row>
    <row r="490" spans="1:17" x14ac:dyDescent="0.45">
      <c r="A490" t="s">
        <v>770</v>
      </c>
      <c r="B490" t="s">
        <v>771</v>
      </c>
      <c r="C490" t="s">
        <v>19</v>
      </c>
      <c r="D490" t="s">
        <v>47</v>
      </c>
      <c r="E490" t="s">
        <v>29</v>
      </c>
      <c r="F490">
        <v>13.06</v>
      </c>
      <c r="G490">
        <v>11.19</v>
      </c>
      <c r="H490">
        <v>10.89</v>
      </c>
      <c r="I490" s="4" t="str">
        <f t="shared" si="28"/>
        <v>Admis</v>
      </c>
      <c r="J490" s="4" t="str">
        <f t="shared" si="29"/>
        <v>Non eligible</v>
      </c>
      <c r="K490">
        <v>6.99</v>
      </c>
      <c r="L490" s="6" t="str">
        <f t="shared" si="30"/>
        <v>RAS</v>
      </c>
      <c r="M490" s="6" t="str">
        <f t="shared" si="31"/>
        <v>Hors Data</v>
      </c>
      <c r="N490" s="8" t="str" cm="1">
        <f t="array" ref="N490">_xlfn.IFS(H490&gt;=16,"Excellent",H490&gt;=14,"Très bien",H490&gt;=12,"Bien",H490&gt;=10,"Passable",TRUE,"Insuffisant")</f>
        <v>Passable</v>
      </c>
      <c r="O490">
        <v>0.55000000000000004</v>
      </c>
      <c r="P490">
        <v>75000</v>
      </c>
      <c r="Q490" s="2">
        <v>45622</v>
      </c>
    </row>
    <row r="491" spans="1:17" x14ac:dyDescent="0.45">
      <c r="A491" t="s">
        <v>772</v>
      </c>
      <c r="B491" t="s">
        <v>37</v>
      </c>
      <c r="C491" t="s">
        <v>19</v>
      </c>
      <c r="D491" t="s">
        <v>47</v>
      </c>
      <c r="E491" t="s">
        <v>29</v>
      </c>
      <c r="F491">
        <v>16.2</v>
      </c>
      <c r="G491">
        <v>20</v>
      </c>
      <c r="H491">
        <v>18.71</v>
      </c>
      <c r="I491" s="4" t="str">
        <f t="shared" si="28"/>
        <v>Admis</v>
      </c>
      <c r="J491" s="4" t="str">
        <f t="shared" si="29"/>
        <v>Non eligible</v>
      </c>
      <c r="K491">
        <v>20</v>
      </c>
      <c r="L491" s="6" t="str">
        <f t="shared" si="30"/>
        <v>RAS</v>
      </c>
      <c r="M491" s="6" t="str">
        <f t="shared" si="31"/>
        <v>Hors Data</v>
      </c>
      <c r="N491" s="8" t="str" cm="1">
        <f t="array" ref="N491">_xlfn.IFS(H491&gt;=16,"Excellent",H491&gt;=14,"Très bien",H491&gt;=12,"Bien",H491&gt;=10,"Passable",TRUE,"Insuffisant")</f>
        <v>Excellent</v>
      </c>
      <c r="O491">
        <v>0.75860000000000005</v>
      </c>
      <c r="P491">
        <v>100000</v>
      </c>
      <c r="Q491" s="2">
        <v>46172</v>
      </c>
    </row>
    <row r="492" spans="1:17" x14ac:dyDescent="0.45">
      <c r="A492" t="s">
        <v>773</v>
      </c>
      <c r="B492" t="s">
        <v>647</v>
      </c>
      <c r="C492" t="s">
        <v>19</v>
      </c>
      <c r="D492" t="s">
        <v>20</v>
      </c>
      <c r="E492" t="s">
        <v>29</v>
      </c>
      <c r="F492">
        <v>16.899999999999999</v>
      </c>
      <c r="G492">
        <v>15.86</v>
      </c>
      <c r="H492">
        <v>17.82</v>
      </c>
      <c r="I492" s="4" t="str">
        <f t="shared" si="28"/>
        <v>Admis</v>
      </c>
      <c r="J492" s="4" t="str">
        <f t="shared" si="29"/>
        <v>Non eligible</v>
      </c>
      <c r="K492">
        <v>15.44</v>
      </c>
      <c r="L492" s="6" t="str">
        <f t="shared" si="30"/>
        <v>RAS</v>
      </c>
      <c r="M492" s="6" t="str">
        <f t="shared" si="31"/>
        <v>Hors Data</v>
      </c>
      <c r="N492" s="8" t="str" cm="1">
        <f t="array" ref="N492">_xlfn.IFS(H492&gt;=16,"Excellent",H492&gt;=14,"Très bien",H492&gt;=12,"Bien",H492&gt;=10,"Passable",TRUE,"Insuffisant")</f>
        <v>Excellent</v>
      </c>
      <c r="O492">
        <v>0.59540000000000004</v>
      </c>
      <c r="P492">
        <v>85000</v>
      </c>
      <c r="Q492" s="2">
        <v>46174</v>
      </c>
    </row>
    <row r="493" spans="1:17" x14ac:dyDescent="0.45">
      <c r="A493" t="s">
        <v>774</v>
      </c>
      <c r="B493" t="s">
        <v>775</v>
      </c>
      <c r="C493" t="s">
        <v>19</v>
      </c>
      <c r="D493" t="s">
        <v>32</v>
      </c>
      <c r="E493" t="s">
        <v>29</v>
      </c>
      <c r="F493">
        <v>18.2</v>
      </c>
      <c r="G493">
        <v>20</v>
      </c>
      <c r="H493">
        <v>18.86</v>
      </c>
      <c r="I493" s="4" t="str">
        <f t="shared" si="28"/>
        <v>Admis</v>
      </c>
      <c r="J493" s="4" t="str">
        <f t="shared" si="29"/>
        <v>Eligible</v>
      </c>
      <c r="K493">
        <v>16.39</v>
      </c>
      <c r="L493" s="6" t="str">
        <f t="shared" si="30"/>
        <v>RAS</v>
      </c>
      <c r="M493" s="6" t="str">
        <f t="shared" si="31"/>
        <v>Hors Data</v>
      </c>
      <c r="N493" s="8" t="str" cm="1">
        <f t="array" ref="N493">_xlfn.IFS(H493&gt;=16,"Excellent",H493&gt;=14,"Très bien",H493&gt;=12,"Bien",H493&gt;=10,"Passable",TRUE,"Insuffisant")</f>
        <v>Excellent</v>
      </c>
      <c r="O493">
        <v>0.89380000000000004</v>
      </c>
      <c r="P493">
        <v>90000</v>
      </c>
      <c r="Q493" s="2">
        <v>46091</v>
      </c>
    </row>
    <row r="494" spans="1:17" x14ac:dyDescent="0.45">
      <c r="A494" t="s">
        <v>776</v>
      </c>
      <c r="B494" t="s">
        <v>723</v>
      </c>
      <c r="C494" t="s">
        <v>19</v>
      </c>
      <c r="D494" t="s">
        <v>32</v>
      </c>
      <c r="E494" t="s">
        <v>16</v>
      </c>
      <c r="F494">
        <v>16.14</v>
      </c>
      <c r="G494">
        <v>13.72</v>
      </c>
      <c r="H494">
        <v>12.5</v>
      </c>
      <c r="I494" s="4" t="str">
        <f t="shared" si="28"/>
        <v>Admis</v>
      </c>
      <c r="J494" s="4" t="str">
        <f t="shared" si="29"/>
        <v>Eligible</v>
      </c>
      <c r="K494">
        <v>13.36</v>
      </c>
      <c r="L494" s="6" t="str">
        <f t="shared" si="30"/>
        <v>RAS</v>
      </c>
      <c r="M494" s="6" t="str">
        <f t="shared" si="31"/>
        <v>Data</v>
      </c>
      <c r="N494" s="8" t="str" cm="1">
        <f t="array" ref="N494">_xlfn.IFS(H494&gt;=16,"Excellent",H494&gt;=14,"Très bien",H494&gt;=12,"Bien",H494&gt;=10,"Passable",TRUE,"Insuffisant")</f>
        <v>Bien</v>
      </c>
      <c r="O494">
        <v>0.81130000000000002</v>
      </c>
      <c r="P494">
        <v>85000</v>
      </c>
      <c r="Q494" s="2">
        <v>45782</v>
      </c>
    </row>
    <row r="495" spans="1:17" x14ac:dyDescent="0.45">
      <c r="A495" t="s">
        <v>777</v>
      </c>
      <c r="B495" t="s">
        <v>218</v>
      </c>
      <c r="C495" t="s">
        <v>19</v>
      </c>
      <c r="D495" t="s">
        <v>28</v>
      </c>
      <c r="E495" t="s">
        <v>21</v>
      </c>
      <c r="F495">
        <v>14.54</v>
      </c>
      <c r="G495">
        <v>18.64</v>
      </c>
      <c r="H495">
        <v>15.7</v>
      </c>
      <c r="I495" s="4" t="str">
        <f t="shared" si="28"/>
        <v>Admis</v>
      </c>
      <c r="J495" s="4" t="str">
        <f t="shared" si="29"/>
        <v>Eligible</v>
      </c>
      <c r="K495">
        <v>18.13</v>
      </c>
      <c r="L495" s="6" t="str">
        <f t="shared" si="30"/>
        <v>RAS</v>
      </c>
      <c r="M495" s="6" t="str">
        <f t="shared" si="31"/>
        <v>Hors Data</v>
      </c>
      <c r="N495" s="8" t="str" cm="1">
        <f t="array" ref="N495">_xlfn.IFS(H495&gt;=16,"Excellent",H495&gt;=14,"Très bien",H495&gt;=12,"Bien",H495&gt;=10,"Passable",TRUE,"Insuffisant")</f>
        <v>Très bien</v>
      </c>
      <c r="O495">
        <v>0.92859999999999998</v>
      </c>
      <c r="P495">
        <v>110000</v>
      </c>
      <c r="Q495" s="2">
        <v>45577</v>
      </c>
    </row>
    <row r="496" spans="1:17" x14ac:dyDescent="0.45">
      <c r="A496" t="s">
        <v>778</v>
      </c>
      <c r="B496" t="s">
        <v>100</v>
      </c>
      <c r="C496" t="s">
        <v>14</v>
      </c>
      <c r="D496" t="s">
        <v>32</v>
      </c>
      <c r="E496" t="s">
        <v>16</v>
      </c>
      <c r="F496">
        <v>11.11</v>
      </c>
      <c r="G496">
        <v>14.87</v>
      </c>
      <c r="H496">
        <v>8.16</v>
      </c>
      <c r="I496" s="4" t="str">
        <f t="shared" si="28"/>
        <v>Non admis</v>
      </c>
      <c r="J496" s="4" t="str">
        <f t="shared" si="29"/>
        <v>Non eligible</v>
      </c>
      <c r="K496">
        <v>7.52</v>
      </c>
      <c r="L496" s="6" t="str">
        <f t="shared" si="30"/>
        <v>A surveiller</v>
      </c>
      <c r="M496" s="6" t="str">
        <f t="shared" si="31"/>
        <v>Data</v>
      </c>
      <c r="N496" s="8" t="str" cm="1">
        <f t="array" ref="N496">_xlfn.IFS(H496&gt;=16,"Excellent",H496&gt;=14,"Très bien",H496&gt;=12,"Bien",H496&gt;=10,"Passable",TRUE,"Insuffisant")</f>
        <v>Insuffisant</v>
      </c>
      <c r="O496">
        <v>0.81899999999999995</v>
      </c>
      <c r="P496">
        <v>120000</v>
      </c>
      <c r="Q496" s="2">
        <v>46033</v>
      </c>
    </row>
    <row r="497" spans="1:17" x14ac:dyDescent="0.45">
      <c r="A497" t="s">
        <v>779</v>
      </c>
      <c r="B497" t="s">
        <v>245</v>
      </c>
      <c r="C497" t="s">
        <v>14</v>
      </c>
      <c r="D497" t="s">
        <v>47</v>
      </c>
      <c r="E497" t="s">
        <v>16</v>
      </c>
      <c r="F497">
        <v>9.1999999999999993</v>
      </c>
      <c r="G497">
        <v>7.89</v>
      </c>
      <c r="H497">
        <v>9.08</v>
      </c>
      <c r="I497" s="4" t="str">
        <f t="shared" si="28"/>
        <v>Non admis</v>
      </c>
      <c r="J497" s="4" t="str">
        <f t="shared" si="29"/>
        <v>Non eligible</v>
      </c>
      <c r="K497">
        <v>8.1</v>
      </c>
      <c r="L497" s="6" t="str">
        <f t="shared" si="30"/>
        <v>A surveiller</v>
      </c>
      <c r="M497" s="6" t="str">
        <f t="shared" si="31"/>
        <v>Data</v>
      </c>
      <c r="N497" s="8" t="str" cm="1">
        <f t="array" ref="N497">_xlfn.IFS(H497&gt;=16,"Excellent",H497&gt;=14,"Très bien",H497&gt;=12,"Bien",H497&gt;=10,"Passable",TRUE,"Insuffisant")</f>
        <v>Insuffisant</v>
      </c>
      <c r="O497">
        <v>0.80289999999999995</v>
      </c>
      <c r="P497">
        <v>80000</v>
      </c>
      <c r="Q497" s="2">
        <v>45836</v>
      </c>
    </row>
    <row r="498" spans="1:17" x14ac:dyDescent="0.45">
      <c r="A498" t="s">
        <v>780</v>
      </c>
      <c r="B498" t="s">
        <v>677</v>
      </c>
      <c r="C498" t="s">
        <v>14</v>
      </c>
      <c r="D498" t="s">
        <v>47</v>
      </c>
      <c r="E498" t="s">
        <v>16</v>
      </c>
      <c r="F498">
        <v>17.510000000000002</v>
      </c>
      <c r="G498">
        <v>16.53</v>
      </c>
      <c r="H498">
        <v>17.98</v>
      </c>
      <c r="I498" s="4" t="str">
        <f t="shared" si="28"/>
        <v>Admis</v>
      </c>
      <c r="J498" s="4" t="str">
        <f t="shared" si="29"/>
        <v>Eligible</v>
      </c>
      <c r="K498">
        <v>14.19</v>
      </c>
      <c r="L498" s="6" t="str">
        <f t="shared" si="30"/>
        <v>RAS</v>
      </c>
      <c r="M498" s="6" t="str">
        <f t="shared" si="31"/>
        <v>Data</v>
      </c>
      <c r="N498" s="8" t="str" cm="1">
        <f t="array" ref="N498">_xlfn.IFS(H498&gt;=16,"Excellent",H498&gt;=14,"Très bien",H498&gt;=12,"Bien",H498&gt;=10,"Passable",TRUE,"Insuffisant")</f>
        <v>Excellent</v>
      </c>
      <c r="O498">
        <v>0.80859999999999999</v>
      </c>
      <c r="P498">
        <v>80000</v>
      </c>
      <c r="Q498" s="2">
        <v>46229</v>
      </c>
    </row>
    <row r="499" spans="1:17" x14ac:dyDescent="0.45">
      <c r="A499" t="s">
        <v>781</v>
      </c>
      <c r="B499" t="s">
        <v>94</v>
      </c>
      <c r="C499" t="s">
        <v>14</v>
      </c>
      <c r="D499" t="s">
        <v>47</v>
      </c>
      <c r="E499" t="s">
        <v>21</v>
      </c>
      <c r="F499">
        <v>16.95</v>
      </c>
      <c r="G499">
        <v>18.78</v>
      </c>
      <c r="H499">
        <v>16.149999999999999</v>
      </c>
      <c r="I499" s="4" t="str">
        <f t="shared" si="28"/>
        <v>Admis</v>
      </c>
      <c r="J499" s="4" t="str">
        <f t="shared" si="29"/>
        <v>Eligible</v>
      </c>
      <c r="K499">
        <v>14.51</v>
      </c>
      <c r="L499" s="6" t="str">
        <f t="shared" si="30"/>
        <v>RAS</v>
      </c>
      <c r="M499" s="6" t="str">
        <f t="shared" si="31"/>
        <v>Hors Data</v>
      </c>
      <c r="N499" s="8" t="str" cm="1">
        <f t="array" ref="N499">_xlfn.IFS(H499&gt;=16,"Excellent",H499&gt;=14,"Très bien",H499&gt;=12,"Bien",H499&gt;=10,"Passable",TRUE,"Insuffisant")</f>
        <v>Excellent</v>
      </c>
      <c r="O499">
        <v>0.95950000000000002</v>
      </c>
      <c r="P499">
        <v>75000</v>
      </c>
      <c r="Q499" s="2">
        <v>46024</v>
      </c>
    </row>
    <row r="500" spans="1:17" x14ac:dyDescent="0.45">
      <c r="A500" t="s">
        <v>782</v>
      </c>
      <c r="B500" t="s">
        <v>264</v>
      </c>
      <c r="C500" t="s">
        <v>19</v>
      </c>
      <c r="D500" t="s">
        <v>47</v>
      </c>
      <c r="E500" t="s">
        <v>29</v>
      </c>
      <c r="F500">
        <v>14.42</v>
      </c>
      <c r="G500">
        <v>13.44</v>
      </c>
      <c r="H500">
        <v>17.97</v>
      </c>
      <c r="I500" s="4" t="str">
        <f t="shared" si="28"/>
        <v>Admis</v>
      </c>
      <c r="J500" s="4" t="str">
        <f t="shared" si="29"/>
        <v>Eligible</v>
      </c>
      <c r="K500">
        <v>12.87</v>
      </c>
      <c r="L500" s="6" t="str">
        <f t="shared" si="30"/>
        <v>RAS</v>
      </c>
      <c r="M500" s="6" t="str">
        <f t="shared" si="31"/>
        <v>Hors Data</v>
      </c>
      <c r="N500" s="8" t="str" cm="1">
        <f t="array" ref="N500">_xlfn.IFS(H500&gt;=16,"Excellent",H500&gt;=14,"Très bien",H500&gt;=12,"Bien",H500&gt;=10,"Passable",TRUE,"Insuffisant")</f>
        <v>Excellent</v>
      </c>
      <c r="O500">
        <v>0.90559999999999996</v>
      </c>
      <c r="P500">
        <v>80000</v>
      </c>
      <c r="Q500" s="2">
        <v>45913</v>
      </c>
    </row>
    <row r="501" spans="1:17" x14ac:dyDescent="0.45">
      <c r="A501" t="s">
        <v>783</v>
      </c>
      <c r="B501" t="s">
        <v>366</v>
      </c>
      <c r="C501" t="s">
        <v>14</v>
      </c>
      <c r="D501" t="s">
        <v>20</v>
      </c>
      <c r="E501" t="s">
        <v>29</v>
      </c>
      <c r="F501">
        <v>12.89</v>
      </c>
      <c r="G501">
        <v>7.63</v>
      </c>
      <c r="H501">
        <v>9.89</v>
      </c>
      <c r="I501" s="4" t="str">
        <f t="shared" si="28"/>
        <v>Non admis</v>
      </c>
      <c r="J501" s="4" t="str">
        <f t="shared" si="29"/>
        <v>Non eligible</v>
      </c>
      <c r="K501">
        <v>7.02</v>
      </c>
      <c r="L501" s="6" t="str">
        <f t="shared" si="30"/>
        <v>A surveiller</v>
      </c>
      <c r="M501" s="6" t="str">
        <f t="shared" si="31"/>
        <v>Hors Data</v>
      </c>
      <c r="N501" s="8" t="str" cm="1">
        <f t="array" ref="N501">_xlfn.IFS(H501&gt;=16,"Excellent",H501&gt;=14,"Très bien",H501&gt;=12,"Bien",H501&gt;=10,"Passable",TRUE,"Insuffisant")</f>
        <v>Insuffisant</v>
      </c>
      <c r="O501">
        <v>0.86729999999999996</v>
      </c>
      <c r="P501">
        <v>120000</v>
      </c>
      <c r="Q501" s="2">
        <v>46226</v>
      </c>
    </row>
    <row r="502" spans="1:17" x14ac:dyDescent="0.45">
      <c r="A502" t="s">
        <v>784</v>
      </c>
      <c r="B502" t="s">
        <v>289</v>
      </c>
      <c r="C502" t="s">
        <v>14</v>
      </c>
      <c r="D502" t="s">
        <v>32</v>
      </c>
      <c r="E502" t="s">
        <v>29</v>
      </c>
      <c r="F502">
        <v>12.24</v>
      </c>
      <c r="G502">
        <v>12.17</v>
      </c>
      <c r="H502">
        <v>9.81</v>
      </c>
      <c r="I502" s="4" t="str">
        <f t="shared" si="28"/>
        <v>Non admis</v>
      </c>
      <c r="J502" s="4" t="str">
        <f t="shared" si="29"/>
        <v>Non eligible</v>
      </c>
      <c r="K502">
        <v>10.06</v>
      </c>
      <c r="L502" s="6" t="str">
        <f t="shared" si="30"/>
        <v>A surveiller</v>
      </c>
      <c r="M502" s="6" t="str">
        <f t="shared" si="31"/>
        <v>Hors Data</v>
      </c>
      <c r="N502" s="8" t="str" cm="1">
        <f t="array" ref="N502">_xlfn.IFS(H502&gt;=16,"Excellent",H502&gt;=14,"Très bien",H502&gt;=12,"Bien",H502&gt;=10,"Passable",TRUE,"Insuffisant")</f>
        <v>Insuffisant</v>
      </c>
      <c r="O502">
        <v>0.85519999999999996</v>
      </c>
      <c r="P502">
        <v>85000</v>
      </c>
      <c r="Q502" s="2">
        <v>46096</v>
      </c>
    </row>
    <row r="503" spans="1:17" x14ac:dyDescent="0.45">
      <c r="A503" t="s">
        <v>785</v>
      </c>
      <c r="B503" t="s">
        <v>231</v>
      </c>
      <c r="C503" t="s">
        <v>19</v>
      </c>
      <c r="D503" t="s">
        <v>47</v>
      </c>
      <c r="E503" t="s">
        <v>16</v>
      </c>
      <c r="F503">
        <v>11.19</v>
      </c>
      <c r="G503">
        <v>7.27</v>
      </c>
      <c r="H503">
        <v>11.11</v>
      </c>
      <c r="I503" s="4" t="str">
        <f t="shared" si="28"/>
        <v>Admis</v>
      </c>
      <c r="J503" s="4" t="str">
        <f t="shared" si="29"/>
        <v>Non eligible</v>
      </c>
      <c r="K503">
        <v>9.08</v>
      </c>
      <c r="L503" s="6" t="str">
        <f t="shared" si="30"/>
        <v>RAS</v>
      </c>
      <c r="M503" s="6" t="str">
        <f t="shared" si="31"/>
        <v>Data</v>
      </c>
      <c r="N503" s="8" t="str" cm="1">
        <f t="array" ref="N503">_xlfn.IFS(H503&gt;=16,"Excellent",H503&gt;=14,"Très bien",H503&gt;=12,"Bien",H503&gt;=10,"Passable",TRUE,"Insuffisant")</f>
        <v>Passable</v>
      </c>
      <c r="O503">
        <v>0.75849999999999995</v>
      </c>
      <c r="P503">
        <v>100000</v>
      </c>
      <c r="Q503" s="2">
        <v>45856</v>
      </c>
    </row>
    <row r="504" spans="1:17" x14ac:dyDescent="0.45">
      <c r="A504" t="s">
        <v>786</v>
      </c>
      <c r="B504" t="s">
        <v>787</v>
      </c>
      <c r="C504" t="s">
        <v>19</v>
      </c>
      <c r="D504" t="s">
        <v>47</v>
      </c>
      <c r="E504" t="s">
        <v>29</v>
      </c>
      <c r="F504">
        <v>5.42</v>
      </c>
      <c r="G504">
        <v>8.56</v>
      </c>
      <c r="H504">
        <v>2.87</v>
      </c>
      <c r="I504" s="4" t="str">
        <f t="shared" si="28"/>
        <v>Non admis</v>
      </c>
      <c r="J504" s="4" t="str">
        <f t="shared" si="29"/>
        <v>Non eligible</v>
      </c>
      <c r="K504">
        <v>9.66</v>
      </c>
      <c r="L504" s="6" t="str">
        <f t="shared" si="30"/>
        <v>A surveiller</v>
      </c>
      <c r="M504" s="6" t="str">
        <f t="shared" si="31"/>
        <v>Hors Data</v>
      </c>
      <c r="N504" s="8" t="str" cm="1">
        <f t="array" ref="N504">_xlfn.IFS(H504&gt;=16,"Excellent",H504&gt;=14,"Très bien",H504&gt;=12,"Bien",H504&gt;=10,"Passable",TRUE,"Insuffisant")</f>
        <v>Insuffisant</v>
      </c>
      <c r="O504">
        <v>0.71250000000000002</v>
      </c>
      <c r="P504">
        <v>80000</v>
      </c>
      <c r="Q504" s="2">
        <v>45549</v>
      </c>
    </row>
    <row r="505" spans="1:17" x14ac:dyDescent="0.45">
      <c r="A505" t="s">
        <v>788</v>
      </c>
      <c r="B505" t="s">
        <v>57</v>
      </c>
      <c r="C505" t="s">
        <v>19</v>
      </c>
      <c r="D505" t="s">
        <v>15</v>
      </c>
      <c r="E505" t="s">
        <v>16</v>
      </c>
      <c r="F505">
        <v>12.28</v>
      </c>
      <c r="G505">
        <v>14.12</v>
      </c>
      <c r="H505">
        <v>14.46</v>
      </c>
      <c r="I505" s="4" t="str">
        <f t="shared" si="28"/>
        <v>Admis</v>
      </c>
      <c r="J505" s="4" t="str">
        <f t="shared" si="29"/>
        <v>Non eligible</v>
      </c>
      <c r="K505">
        <v>14.15</v>
      </c>
      <c r="L505" s="6" t="str">
        <f t="shared" si="30"/>
        <v>RAS</v>
      </c>
      <c r="M505" s="6" t="str">
        <f t="shared" si="31"/>
        <v>Data</v>
      </c>
      <c r="N505" s="8" t="str" cm="1">
        <f t="array" ref="N505">_xlfn.IFS(H505&gt;=16,"Excellent",H505&gt;=14,"Très bien",H505&gt;=12,"Bien",H505&gt;=10,"Passable",TRUE,"Insuffisant")</f>
        <v>Très bien</v>
      </c>
      <c r="O505">
        <v>0.55000000000000004</v>
      </c>
      <c r="P505">
        <v>100000</v>
      </c>
      <c r="Q505" s="2">
        <v>45600</v>
      </c>
    </row>
    <row r="506" spans="1:17" x14ac:dyDescent="0.45">
      <c r="A506" t="s">
        <v>789</v>
      </c>
      <c r="B506" t="s">
        <v>242</v>
      </c>
      <c r="C506" t="s">
        <v>14</v>
      </c>
      <c r="D506" t="s">
        <v>35</v>
      </c>
      <c r="E506" t="s">
        <v>21</v>
      </c>
      <c r="F506">
        <v>14.44</v>
      </c>
      <c r="G506">
        <v>18.62</v>
      </c>
      <c r="H506">
        <v>16.739999999999998</v>
      </c>
      <c r="I506" s="4" t="str">
        <f t="shared" si="28"/>
        <v>Admis</v>
      </c>
      <c r="J506" s="4" t="str">
        <f t="shared" si="29"/>
        <v>Non eligible</v>
      </c>
      <c r="K506">
        <v>17</v>
      </c>
      <c r="L506" s="6" t="str">
        <f t="shared" si="30"/>
        <v>RAS</v>
      </c>
      <c r="M506" s="6" t="str">
        <f t="shared" si="31"/>
        <v>Hors Data</v>
      </c>
      <c r="N506" s="8" t="str" cm="1">
        <f t="array" ref="N506">_xlfn.IFS(H506&gt;=16,"Excellent",H506&gt;=14,"Très bien",H506&gt;=12,"Bien",H506&gt;=10,"Passable",TRUE,"Insuffisant")</f>
        <v>Excellent</v>
      </c>
      <c r="O506">
        <v>0.73099999999999998</v>
      </c>
      <c r="P506">
        <v>100000</v>
      </c>
      <c r="Q506" s="2">
        <v>45846</v>
      </c>
    </row>
    <row r="507" spans="1:17" x14ac:dyDescent="0.45">
      <c r="A507" t="s">
        <v>790</v>
      </c>
      <c r="B507" t="s">
        <v>764</v>
      </c>
      <c r="C507" t="s">
        <v>14</v>
      </c>
      <c r="D507" t="s">
        <v>15</v>
      </c>
      <c r="E507" t="s">
        <v>16</v>
      </c>
      <c r="F507">
        <v>15.06</v>
      </c>
      <c r="G507">
        <v>12.48</v>
      </c>
      <c r="H507">
        <v>16.93</v>
      </c>
      <c r="I507" s="4" t="str">
        <f t="shared" si="28"/>
        <v>Admis</v>
      </c>
      <c r="J507" s="4" t="str">
        <f t="shared" si="29"/>
        <v>Non eligible</v>
      </c>
      <c r="K507">
        <v>10.18</v>
      </c>
      <c r="L507" s="6" t="str">
        <f t="shared" si="30"/>
        <v>RAS</v>
      </c>
      <c r="M507" s="6" t="str">
        <f t="shared" si="31"/>
        <v>Data</v>
      </c>
      <c r="N507" s="8" t="str" cm="1">
        <f t="array" ref="N507">_xlfn.IFS(H507&gt;=16,"Excellent",H507&gt;=14,"Très bien",H507&gt;=12,"Bien",H507&gt;=10,"Passable",TRUE,"Insuffisant")</f>
        <v>Excellent</v>
      </c>
      <c r="O507">
        <v>0.55000000000000004</v>
      </c>
      <c r="P507">
        <v>85000</v>
      </c>
      <c r="Q507" s="2">
        <v>45929</v>
      </c>
    </row>
    <row r="508" spans="1:17" x14ac:dyDescent="0.45">
      <c r="A508" t="s">
        <v>791</v>
      </c>
      <c r="B508" t="s">
        <v>398</v>
      </c>
      <c r="C508" t="s">
        <v>19</v>
      </c>
      <c r="D508" t="s">
        <v>47</v>
      </c>
      <c r="E508" t="s">
        <v>29</v>
      </c>
      <c r="F508">
        <v>7.55</v>
      </c>
      <c r="G508">
        <v>6.06</v>
      </c>
      <c r="H508">
        <v>9.49</v>
      </c>
      <c r="I508" s="4" t="str">
        <f t="shared" si="28"/>
        <v>Non admis</v>
      </c>
      <c r="J508" s="4" t="str">
        <f t="shared" si="29"/>
        <v>Non eligible</v>
      </c>
      <c r="K508">
        <v>8.15</v>
      </c>
      <c r="L508" s="6" t="str">
        <f t="shared" si="30"/>
        <v>A surveiller</v>
      </c>
      <c r="M508" s="6" t="str">
        <f t="shared" si="31"/>
        <v>Hors Data</v>
      </c>
      <c r="N508" s="8" t="str" cm="1">
        <f t="array" ref="N508">_xlfn.IFS(H508&gt;=16,"Excellent",H508&gt;=14,"Très bien",H508&gt;=12,"Bien",H508&gt;=10,"Passable",TRUE,"Insuffisant")</f>
        <v>Insuffisant</v>
      </c>
      <c r="O508">
        <v>0.79430000000000001</v>
      </c>
      <c r="P508">
        <v>130000</v>
      </c>
      <c r="Q508" s="2">
        <v>45557</v>
      </c>
    </row>
    <row r="509" spans="1:17" x14ac:dyDescent="0.45">
      <c r="A509" t="s">
        <v>792</v>
      </c>
      <c r="B509" t="s">
        <v>614</v>
      </c>
      <c r="C509" t="s">
        <v>14</v>
      </c>
      <c r="D509" t="s">
        <v>32</v>
      </c>
      <c r="E509" t="s">
        <v>21</v>
      </c>
      <c r="F509">
        <v>9.91</v>
      </c>
      <c r="G509">
        <v>13.58</v>
      </c>
      <c r="H509">
        <v>10.67</v>
      </c>
      <c r="I509" s="4" t="str">
        <f t="shared" si="28"/>
        <v>Admis</v>
      </c>
      <c r="J509" s="4" t="str">
        <f t="shared" si="29"/>
        <v>Non eligible</v>
      </c>
      <c r="K509">
        <v>12.14</v>
      </c>
      <c r="L509" s="6" t="str">
        <f t="shared" si="30"/>
        <v>A surveiller</v>
      </c>
      <c r="M509" s="6" t="str">
        <f t="shared" si="31"/>
        <v>Hors Data</v>
      </c>
      <c r="N509" s="8" t="str" cm="1">
        <f t="array" ref="N509">_xlfn.IFS(H509&gt;=16,"Excellent",H509&gt;=14,"Très bien",H509&gt;=12,"Bien",H509&gt;=10,"Passable",TRUE,"Insuffisant")</f>
        <v>Passable</v>
      </c>
      <c r="O509">
        <v>0.87590000000000001</v>
      </c>
      <c r="P509">
        <v>120000</v>
      </c>
      <c r="Q509" s="2">
        <v>45624</v>
      </c>
    </row>
    <row r="510" spans="1:17" x14ac:dyDescent="0.45">
      <c r="A510" t="s">
        <v>793</v>
      </c>
      <c r="B510" t="s">
        <v>188</v>
      </c>
      <c r="C510" t="s">
        <v>14</v>
      </c>
      <c r="D510" t="s">
        <v>15</v>
      </c>
      <c r="E510" t="s">
        <v>21</v>
      </c>
      <c r="F510">
        <v>12.63</v>
      </c>
      <c r="G510">
        <v>15.66</v>
      </c>
      <c r="H510">
        <v>15.98</v>
      </c>
      <c r="I510" s="4" t="str">
        <f t="shared" si="28"/>
        <v>Admis</v>
      </c>
      <c r="J510" s="4" t="str">
        <f t="shared" si="29"/>
        <v>Eligible</v>
      </c>
      <c r="K510">
        <v>12.58</v>
      </c>
      <c r="L510" s="6" t="str">
        <f t="shared" si="30"/>
        <v>RAS</v>
      </c>
      <c r="M510" s="6" t="str">
        <f t="shared" si="31"/>
        <v>Hors Data</v>
      </c>
      <c r="N510" s="8" t="str" cm="1">
        <f t="array" ref="N510">_xlfn.IFS(H510&gt;=16,"Excellent",H510&gt;=14,"Très bien",H510&gt;=12,"Bien",H510&gt;=10,"Passable",TRUE,"Insuffisant")</f>
        <v>Très bien</v>
      </c>
      <c r="O510">
        <v>0.89390000000000003</v>
      </c>
      <c r="P510">
        <v>60000</v>
      </c>
      <c r="Q510" s="2">
        <v>46029</v>
      </c>
    </row>
    <row r="511" spans="1:17" x14ac:dyDescent="0.45">
      <c r="A511" t="s">
        <v>794</v>
      </c>
      <c r="B511" t="s">
        <v>526</v>
      </c>
      <c r="C511" t="s">
        <v>14</v>
      </c>
      <c r="D511" t="s">
        <v>32</v>
      </c>
      <c r="E511" t="s">
        <v>42</v>
      </c>
      <c r="F511">
        <v>16.079999999999998</v>
      </c>
      <c r="G511">
        <v>20</v>
      </c>
      <c r="H511">
        <v>18.989999999999998</v>
      </c>
      <c r="I511" s="4" t="str">
        <f t="shared" si="28"/>
        <v>Admis</v>
      </c>
      <c r="J511" s="4" t="str">
        <f t="shared" si="29"/>
        <v>Eligible</v>
      </c>
      <c r="K511">
        <v>20</v>
      </c>
      <c r="L511" s="6" t="str">
        <f t="shared" si="30"/>
        <v>RAS</v>
      </c>
      <c r="M511" s="6" t="str">
        <f t="shared" si="31"/>
        <v>Hors Data</v>
      </c>
      <c r="N511" s="8" t="str" cm="1">
        <f t="array" ref="N511">_xlfn.IFS(H511&gt;=16,"Excellent",H511&gt;=14,"Très bien",H511&gt;=12,"Bien",H511&gt;=10,"Passable",TRUE,"Insuffisant")</f>
        <v>Excellent</v>
      </c>
      <c r="O511">
        <v>0.90200000000000002</v>
      </c>
      <c r="P511">
        <v>70000</v>
      </c>
      <c r="Q511" s="2">
        <v>46062</v>
      </c>
    </row>
    <row r="512" spans="1:17" x14ac:dyDescent="0.45">
      <c r="A512" t="s">
        <v>795</v>
      </c>
      <c r="B512" t="s">
        <v>535</v>
      </c>
      <c r="C512" t="s">
        <v>19</v>
      </c>
      <c r="D512" t="s">
        <v>35</v>
      </c>
      <c r="E512" t="s">
        <v>16</v>
      </c>
      <c r="F512">
        <v>9.3000000000000007</v>
      </c>
      <c r="G512">
        <v>6.5</v>
      </c>
      <c r="H512">
        <v>7.63</v>
      </c>
      <c r="I512" s="4" t="str">
        <f t="shared" si="28"/>
        <v>Non admis</v>
      </c>
      <c r="J512" s="4" t="str">
        <f t="shared" si="29"/>
        <v>Non eligible</v>
      </c>
      <c r="K512">
        <v>7.74</v>
      </c>
      <c r="L512" s="6" t="str">
        <f t="shared" si="30"/>
        <v>A surveiller</v>
      </c>
      <c r="M512" s="6" t="str">
        <f t="shared" si="31"/>
        <v>Data</v>
      </c>
      <c r="N512" s="8" t="str" cm="1">
        <f t="array" ref="N512">_xlfn.IFS(H512&gt;=16,"Excellent",H512&gt;=14,"Très bien",H512&gt;=12,"Bien",H512&gt;=10,"Passable",TRUE,"Insuffisant")</f>
        <v>Insuffisant</v>
      </c>
      <c r="O512">
        <v>0.84670000000000001</v>
      </c>
      <c r="P512">
        <v>130000</v>
      </c>
      <c r="Q512" s="2">
        <v>45556</v>
      </c>
    </row>
    <row r="513" spans="1:17" x14ac:dyDescent="0.45">
      <c r="A513" t="s">
        <v>796</v>
      </c>
      <c r="B513" t="s">
        <v>797</v>
      </c>
      <c r="C513" t="s">
        <v>19</v>
      </c>
      <c r="D513" t="s">
        <v>20</v>
      </c>
      <c r="E513" t="s">
        <v>29</v>
      </c>
      <c r="F513">
        <v>8.76</v>
      </c>
      <c r="G513">
        <v>13.5</v>
      </c>
      <c r="H513">
        <v>13.04</v>
      </c>
      <c r="I513" s="4" t="str">
        <f t="shared" si="28"/>
        <v>Admis</v>
      </c>
      <c r="J513" s="4" t="str">
        <f t="shared" si="29"/>
        <v>Non eligible</v>
      </c>
      <c r="K513">
        <v>15.28</v>
      </c>
      <c r="L513" s="6" t="str">
        <f t="shared" si="30"/>
        <v>A surveiller</v>
      </c>
      <c r="M513" s="6" t="str">
        <f t="shared" si="31"/>
        <v>Hors Data</v>
      </c>
      <c r="N513" s="8" t="str" cm="1">
        <f t="array" ref="N513">_xlfn.IFS(H513&gt;=16,"Excellent",H513&gt;=14,"Très bien",H513&gt;=12,"Bien",H513&gt;=10,"Passable",TRUE,"Insuffisant")</f>
        <v>Bien</v>
      </c>
      <c r="O513">
        <v>0.95030000000000003</v>
      </c>
      <c r="P513">
        <v>80000</v>
      </c>
      <c r="Q513" s="2">
        <v>45891</v>
      </c>
    </row>
    <row r="514" spans="1:17" x14ac:dyDescent="0.45">
      <c r="A514" t="s">
        <v>798</v>
      </c>
      <c r="B514" t="s">
        <v>799</v>
      </c>
      <c r="C514" t="s">
        <v>19</v>
      </c>
      <c r="D514" t="s">
        <v>15</v>
      </c>
      <c r="E514" t="s">
        <v>16</v>
      </c>
      <c r="F514">
        <v>19.440000000000001</v>
      </c>
      <c r="G514">
        <v>16.29</v>
      </c>
      <c r="H514">
        <v>18.03</v>
      </c>
      <c r="I514" s="4" t="str">
        <f t="shared" si="28"/>
        <v>Admis</v>
      </c>
      <c r="J514" s="4" t="str">
        <f t="shared" si="29"/>
        <v>Non eligible</v>
      </c>
      <c r="K514">
        <v>20</v>
      </c>
      <c r="L514" s="6" t="str">
        <f t="shared" si="30"/>
        <v>RAS</v>
      </c>
      <c r="M514" s="6" t="str">
        <f t="shared" si="31"/>
        <v>Data</v>
      </c>
      <c r="N514" s="8" t="str" cm="1">
        <f t="array" ref="N514">_xlfn.IFS(H514&gt;=16,"Excellent",H514&gt;=14,"Très bien",H514&gt;=12,"Bien",H514&gt;=10,"Passable",TRUE,"Insuffisant")</f>
        <v>Excellent</v>
      </c>
      <c r="O514">
        <v>0.64149999999999996</v>
      </c>
      <c r="P514">
        <v>75000</v>
      </c>
      <c r="Q514" s="2">
        <v>45592</v>
      </c>
    </row>
    <row r="515" spans="1:17" x14ac:dyDescent="0.45">
      <c r="A515" t="s">
        <v>800</v>
      </c>
      <c r="B515" t="s">
        <v>90</v>
      </c>
      <c r="C515" t="s">
        <v>19</v>
      </c>
      <c r="D515" t="s">
        <v>35</v>
      </c>
      <c r="E515" t="s">
        <v>42</v>
      </c>
      <c r="F515">
        <v>15.59</v>
      </c>
      <c r="G515">
        <v>17.399999999999999</v>
      </c>
      <c r="H515">
        <v>18.34</v>
      </c>
      <c r="I515" s="4" t="str">
        <f t="shared" ref="I515:I578" si="32">IF(H515&gt;=10,"Admis","Non admis")</f>
        <v>Admis</v>
      </c>
      <c r="J515" s="4" t="str">
        <f t="shared" ref="J515:J578" si="33">IF(AND(F515&gt;=12,H515&gt;=12,O515&gt;=0.8),"Eligible","Non eligible")</f>
        <v>Non eligible</v>
      </c>
      <c r="K515">
        <v>16.32</v>
      </c>
      <c r="L515" s="6" t="str">
        <f t="shared" ref="L515:L578" si="34">IF(OR(F515&lt;10,H515&lt;10),"A surveiller","RAS")</f>
        <v>RAS</v>
      </c>
      <c r="M515" s="6" t="str">
        <f t="shared" ref="M515:M578" si="35">IF(NOT(E515="Data"),"Hors Data","Data")</f>
        <v>Hors Data</v>
      </c>
      <c r="N515" s="8" t="str" cm="1">
        <f t="array" ref="N515">_xlfn.IFS(H515&gt;=16,"Excellent",H515&gt;=14,"Très bien",H515&gt;=12,"Bien",H515&gt;=10,"Passable",TRUE,"Insuffisant")</f>
        <v>Excellent</v>
      </c>
      <c r="O515">
        <v>0.79949999999999999</v>
      </c>
      <c r="P515">
        <v>110000</v>
      </c>
      <c r="Q515" s="2">
        <v>46042</v>
      </c>
    </row>
    <row r="516" spans="1:17" x14ac:dyDescent="0.45">
      <c r="A516" t="s">
        <v>801</v>
      </c>
      <c r="B516" t="s">
        <v>336</v>
      </c>
      <c r="C516" t="s">
        <v>19</v>
      </c>
      <c r="D516" t="s">
        <v>32</v>
      </c>
      <c r="E516" t="s">
        <v>29</v>
      </c>
      <c r="F516">
        <v>19.27</v>
      </c>
      <c r="G516">
        <v>13.41</v>
      </c>
      <c r="H516">
        <v>16.03</v>
      </c>
      <c r="I516" s="4" t="str">
        <f t="shared" si="32"/>
        <v>Admis</v>
      </c>
      <c r="J516" s="4" t="str">
        <f t="shared" si="33"/>
        <v>Eligible</v>
      </c>
      <c r="K516">
        <v>12.82</v>
      </c>
      <c r="L516" s="6" t="str">
        <f t="shared" si="34"/>
        <v>RAS</v>
      </c>
      <c r="M516" s="6" t="str">
        <f t="shared" si="35"/>
        <v>Hors Data</v>
      </c>
      <c r="N516" s="8" t="str" cm="1">
        <f t="array" ref="N516">_xlfn.IFS(H516&gt;=16,"Excellent",H516&gt;=14,"Très bien",H516&gt;=12,"Bien",H516&gt;=10,"Passable",TRUE,"Insuffisant")</f>
        <v>Excellent</v>
      </c>
      <c r="O516">
        <v>0.90680000000000005</v>
      </c>
      <c r="P516">
        <v>90000</v>
      </c>
      <c r="Q516" s="2">
        <v>46119</v>
      </c>
    </row>
    <row r="517" spans="1:17" x14ac:dyDescent="0.45">
      <c r="A517" t="s">
        <v>802</v>
      </c>
      <c r="B517" t="s">
        <v>731</v>
      </c>
      <c r="C517" t="s">
        <v>14</v>
      </c>
      <c r="D517" t="s">
        <v>47</v>
      </c>
      <c r="E517" t="s">
        <v>42</v>
      </c>
      <c r="F517">
        <v>15.69</v>
      </c>
      <c r="G517">
        <v>12.74</v>
      </c>
      <c r="H517">
        <v>14.47</v>
      </c>
      <c r="I517" s="4" t="str">
        <f t="shared" si="32"/>
        <v>Admis</v>
      </c>
      <c r="J517" s="4" t="str">
        <f t="shared" si="33"/>
        <v>Eligible</v>
      </c>
      <c r="K517">
        <v>8.91</v>
      </c>
      <c r="L517" s="6" t="str">
        <f t="shared" si="34"/>
        <v>RAS</v>
      </c>
      <c r="M517" s="6" t="str">
        <f t="shared" si="35"/>
        <v>Hors Data</v>
      </c>
      <c r="N517" s="8" t="str" cm="1">
        <f t="array" ref="N517">_xlfn.IFS(H517&gt;=16,"Excellent",H517&gt;=14,"Très bien",H517&gt;=12,"Bien",H517&gt;=10,"Passable",TRUE,"Insuffisant")</f>
        <v>Très bien</v>
      </c>
      <c r="O517">
        <v>0.81320000000000003</v>
      </c>
      <c r="P517">
        <v>60000</v>
      </c>
      <c r="Q517" s="2">
        <v>46144</v>
      </c>
    </row>
    <row r="518" spans="1:17" x14ac:dyDescent="0.45">
      <c r="A518" t="s">
        <v>803</v>
      </c>
      <c r="B518" t="s">
        <v>198</v>
      </c>
      <c r="C518" t="s">
        <v>19</v>
      </c>
      <c r="D518" t="s">
        <v>35</v>
      </c>
      <c r="E518" t="s">
        <v>42</v>
      </c>
      <c r="F518">
        <v>13.49</v>
      </c>
      <c r="G518">
        <v>13.53</v>
      </c>
      <c r="H518">
        <v>16.61</v>
      </c>
      <c r="I518" s="4" t="str">
        <f t="shared" si="32"/>
        <v>Admis</v>
      </c>
      <c r="J518" s="4" t="str">
        <f t="shared" si="33"/>
        <v>Eligible</v>
      </c>
      <c r="K518">
        <v>16.7</v>
      </c>
      <c r="L518" s="6" t="str">
        <f t="shared" si="34"/>
        <v>RAS</v>
      </c>
      <c r="M518" s="6" t="str">
        <f t="shared" si="35"/>
        <v>Hors Data</v>
      </c>
      <c r="N518" s="8" t="str" cm="1">
        <f t="array" ref="N518">_xlfn.IFS(H518&gt;=16,"Excellent",H518&gt;=14,"Très bien",H518&gt;=12,"Bien",H518&gt;=10,"Passable",TRUE,"Insuffisant")</f>
        <v>Excellent</v>
      </c>
      <c r="O518">
        <v>0.86909999999999998</v>
      </c>
      <c r="P518">
        <v>60000</v>
      </c>
      <c r="Q518" s="2">
        <v>45954</v>
      </c>
    </row>
    <row r="519" spans="1:17" x14ac:dyDescent="0.45">
      <c r="A519" t="s">
        <v>804</v>
      </c>
      <c r="B519" t="s">
        <v>486</v>
      </c>
      <c r="C519" t="s">
        <v>14</v>
      </c>
      <c r="D519" t="s">
        <v>35</v>
      </c>
      <c r="E519" t="s">
        <v>21</v>
      </c>
      <c r="F519">
        <v>17.48</v>
      </c>
      <c r="G519">
        <v>15.91</v>
      </c>
      <c r="H519">
        <v>18.28</v>
      </c>
      <c r="I519" s="4" t="str">
        <f t="shared" si="32"/>
        <v>Admis</v>
      </c>
      <c r="J519" s="4" t="str">
        <f t="shared" si="33"/>
        <v>Eligible</v>
      </c>
      <c r="K519">
        <v>15.82</v>
      </c>
      <c r="L519" s="6" t="str">
        <f t="shared" si="34"/>
        <v>RAS</v>
      </c>
      <c r="M519" s="6" t="str">
        <f t="shared" si="35"/>
        <v>Hors Data</v>
      </c>
      <c r="N519" s="8" t="str" cm="1">
        <f t="array" ref="N519">_xlfn.IFS(H519&gt;=16,"Excellent",H519&gt;=14,"Très bien",H519&gt;=12,"Bien",H519&gt;=10,"Passable",TRUE,"Insuffisant")</f>
        <v>Excellent</v>
      </c>
      <c r="O519">
        <v>0.94379999999999997</v>
      </c>
      <c r="P519">
        <v>110000</v>
      </c>
      <c r="Q519" s="2">
        <v>45976</v>
      </c>
    </row>
    <row r="520" spans="1:17" x14ac:dyDescent="0.45">
      <c r="A520" t="s">
        <v>805</v>
      </c>
      <c r="B520" t="s">
        <v>461</v>
      </c>
      <c r="C520" t="s">
        <v>14</v>
      </c>
      <c r="D520" t="s">
        <v>32</v>
      </c>
      <c r="E520" t="s">
        <v>29</v>
      </c>
      <c r="F520">
        <v>8.16</v>
      </c>
      <c r="G520">
        <v>12.34</v>
      </c>
      <c r="H520">
        <v>13.16</v>
      </c>
      <c r="I520" s="4" t="str">
        <f t="shared" si="32"/>
        <v>Admis</v>
      </c>
      <c r="J520" s="4" t="str">
        <f t="shared" si="33"/>
        <v>Non eligible</v>
      </c>
      <c r="K520">
        <v>9.49</v>
      </c>
      <c r="L520" s="6" t="str">
        <f t="shared" si="34"/>
        <v>A surveiller</v>
      </c>
      <c r="M520" s="6" t="str">
        <f t="shared" si="35"/>
        <v>Hors Data</v>
      </c>
      <c r="N520" s="8" t="str" cm="1">
        <f t="array" ref="N520">_xlfn.IFS(H520&gt;=16,"Excellent",H520&gt;=14,"Très bien",H520&gt;=12,"Bien",H520&gt;=10,"Passable",TRUE,"Insuffisant")</f>
        <v>Bien</v>
      </c>
      <c r="O520">
        <v>0.71540000000000004</v>
      </c>
      <c r="P520">
        <v>110000</v>
      </c>
      <c r="Q520" s="2">
        <v>46184</v>
      </c>
    </row>
    <row r="521" spans="1:17" x14ac:dyDescent="0.45">
      <c r="A521" t="s">
        <v>806</v>
      </c>
      <c r="B521" t="s">
        <v>264</v>
      </c>
      <c r="C521" t="s">
        <v>19</v>
      </c>
      <c r="D521" t="s">
        <v>28</v>
      </c>
      <c r="E521" t="s">
        <v>21</v>
      </c>
      <c r="F521">
        <v>13.84</v>
      </c>
      <c r="G521">
        <v>17.420000000000002</v>
      </c>
      <c r="H521">
        <v>19.28</v>
      </c>
      <c r="I521" s="4" t="str">
        <f t="shared" si="32"/>
        <v>Admis</v>
      </c>
      <c r="J521" s="4" t="str">
        <f t="shared" si="33"/>
        <v>Non eligible</v>
      </c>
      <c r="K521">
        <v>18.440000000000001</v>
      </c>
      <c r="L521" s="6" t="str">
        <f t="shared" si="34"/>
        <v>RAS</v>
      </c>
      <c r="M521" s="6" t="str">
        <f t="shared" si="35"/>
        <v>Hors Data</v>
      </c>
      <c r="N521" s="8" t="str" cm="1">
        <f t="array" ref="N521">_xlfn.IFS(H521&gt;=16,"Excellent",H521&gt;=14,"Très bien",H521&gt;=12,"Bien",H521&gt;=10,"Passable",TRUE,"Insuffisant")</f>
        <v>Excellent</v>
      </c>
      <c r="O521">
        <v>0.58179999999999998</v>
      </c>
      <c r="P521">
        <v>75000</v>
      </c>
      <c r="Q521" s="2">
        <v>45964</v>
      </c>
    </row>
    <row r="522" spans="1:17" x14ac:dyDescent="0.45">
      <c r="A522" t="s">
        <v>807</v>
      </c>
      <c r="B522" t="s">
        <v>285</v>
      </c>
      <c r="C522" t="s">
        <v>14</v>
      </c>
      <c r="D522" t="s">
        <v>32</v>
      </c>
      <c r="E522" t="s">
        <v>29</v>
      </c>
      <c r="F522">
        <v>10.39</v>
      </c>
      <c r="G522">
        <v>10.039999999999999</v>
      </c>
      <c r="H522">
        <v>11.19</v>
      </c>
      <c r="I522" s="4" t="str">
        <f t="shared" si="32"/>
        <v>Admis</v>
      </c>
      <c r="J522" s="4" t="str">
        <f t="shared" si="33"/>
        <v>Non eligible</v>
      </c>
      <c r="K522">
        <v>7.66</v>
      </c>
      <c r="L522" s="6" t="str">
        <f t="shared" si="34"/>
        <v>RAS</v>
      </c>
      <c r="M522" s="6" t="str">
        <f t="shared" si="35"/>
        <v>Hors Data</v>
      </c>
      <c r="N522" s="8" t="str" cm="1">
        <f t="array" ref="N522">_xlfn.IFS(H522&gt;=16,"Excellent",H522&gt;=14,"Très bien",H522&gt;=12,"Bien",H522&gt;=10,"Passable",TRUE,"Insuffisant")</f>
        <v>Passable</v>
      </c>
      <c r="O522">
        <v>0.92800000000000005</v>
      </c>
      <c r="P522">
        <v>120000</v>
      </c>
      <c r="Q522" s="2">
        <v>45848</v>
      </c>
    </row>
    <row r="523" spans="1:17" x14ac:dyDescent="0.45">
      <c r="A523" t="s">
        <v>808</v>
      </c>
      <c r="B523" t="s">
        <v>268</v>
      </c>
      <c r="C523" t="s">
        <v>14</v>
      </c>
      <c r="D523" t="s">
        <v>28</v>
      </c>
      <c r="E523" t="s">
        <v>42</v>
      </c>
      <c r="F523">
        <v>9.67</v>
      </c>
      <c r="G523">
        <v>11.89</v>
      </c>
      <c r="H523">
        <v>14.99</v>
      </c>
      <c r="I523" s="4" t="str">
        <f t="shared" si="32"/>
        <v>Admis</v>
      </c>
      <c r="J523" s="4" t="str">
        <f t="shared" si="33"/>
        <v>Non eligible</v>
      </c>
      <c r="K523">
        <v>13.39</v>
      </c>
      <c r="L523" s="6" t="str">
        <f t="shared" si="34"/>
        <v>A surveiller</v>
      </c>
      <c r="M523" s="6" t="str">
        <f t="shared" si="35"/>
        <v>Hors Data</v>
      </c>
      <c r="N523" s="8" t="str" cm="1">
        <f t="array" ref="N523">_xlfn.IFS(H523&gt;=16,"Excellent",H523&gt;=14,"Très bien",H523&gt;=12,"Bien",H523&gt;=10,"Passable",TRUE,"Insuffisant")</f>
        <v>Très bien</v>
      </c>
      <c r="O523">
        <v>0.94699999999999995</v>
      </c>
      <c r="P523">
        <v>60000</v>
      </c>
      <c r="Q523" s="2">
        <v>46064</v>
      </c>
    </row>
    <row r="524" spans="1:17" x14ac:dyDescent="0.45">
      <c r="A524" t="s">
        <v>809</v>
      </c>
      <c r="B524" t="s">
        <v>575</v>
      </c>
      <c r="C524" t="s">
        <v>14</v>
      </c>
      <c r="D524" t="s">
        <v>20</v>
      </c>
      <c r="E524" t="s">
        <v>42</v>
      </c>
      <c r="F524">
        <v>13.92</v>
      </c>
      <c r="G524">
        <v>16</v>
      </c>
      <c r="H524">
        <v>16.93</v>
      </c>
      <c r="I524" s="4" t="str">
        <f t="shared" si="32"/>
        <v>Admis</v>
      </c>
      <c r="J524" s="4" t="str">
        <f t="shared" si="33"/>
        <v>Eligible</v>
      </c>
      <c r="K524">
        <v>15.06</v>
      </c>
      <c r="L524" s="6" t="str">
        <f t="shared" si="34"/>
        <v>RAS</v>
      </c>
      <c r="M524" s="6" t="str">
        <f t="shared" si="35"/>
        <v>Hors Data</v>
      </c>
      <c r="N524" s="8" t="str" cm="1">
        <f t="array" ref="N524">_xlfn.IFS(H524&gt;=16,"Excellent",H524&gt;=14,"Très bien",H524&gt;=12,"Bien",H524&gt;=10,"Passable",TRUE,"Insuffisant")</f>
        <v>Excellent</v>
      </c>
      <c r="O524">
        <v>0.82799999999999996</v>
      </c>
      <c r="P524">
        <v>120000</v>
      </c>
      <c r="Q524" s="2">
        <v>45949</v>
      </c>
    </row>
    <row r="525" spans="1:17" x14ac:dyDescent="0.45">
      <c r="A525" t="s">
        <v>810</v>
      </c>
      <c r="B525" t="s">
        <v>194</v>
      </c>
      <c r="C525" t="s">
        <v>19</v>
      </c>
      <c r="D525" t="s">
        <v>20</v>
      </c>
      <c r="E525" t="s">
        <v>21</v>
      </c>
      <c r="F525">
        <v>9.5299999999999994</v>
      </c>
      <c r="G525">
        <v>12.06</v>
      </c>
      <c r="H525">
        <v>11.77</v>
      </c>
      <c r="I525" s="4" t="str">
        <f t="shared" si="32"/>
        <v>Admis</v>
      </c>
      <c r="J525" s="4" t="str">
        <f t="shared" si="33"/>
        <v>Non eligible</v>
      </c>
      <c r="K525">
        <v>9.2200000000000006</v>
      </c>
      <c r="L525" s="6" t="str">
        <f t="shared" si="34"/>
        <v>A surveiller</v>
      </c>
      <c r="M525" s="6" t="str">
        <f t="shared" si="35"/>
        <v>Hors Data</v>
      </c>
      <c r="N525" s="8" t="str" cm="1">
        <f t="array" ref="N525">_xlfn.IFS(H525&gt;=16,"Excellent",H525&gt;=14,"Très bien",H525&gt;=12,"Bien",H525&gt;=10,"Passable",TRUE,"Insuffisant")</f>
        <v>Passable</v>
      </c>
      <c r="O525">
        <v>0.91100000000000003</v>
      </c>
      <c r="P525">
        <v>50000</v>
      </c>
      <c r="Q525" s="2">
        <v>46125</v>
      </c>
    </row>
    <row r="526" spans="1:17" x14ac:dyDescent="0.45">
      <c r="A526" t="s">
        <v>811</v>
      </c>
      <c r="B526" t="s">
        <v>556</v>
      </c>
      <c r="C526" t="s">
        <v>14</v>
      </c>
      <c r="D526" t="s">
        <v>28</v>
      </c>
      <c r="E526" t="s">
        <v>29</v>
      </c>
      <c r="F526">
        <v>13.66</v>
      </c>
      <c r="G526">
        <v>16.39</v>
      </c>
      <c r="H526">
        <v>13.71</v>
      </c>
      <c r="I526" s="4" t="str">
        <f t="shared" si="32"/>
        <v>Admis</v>
      </c>
      <c r="J526" s="4" t="str">
        <f t="shared" si="33"/>
        <v>Non eligible</v>
      </c>
      <c r="K526">
        <v>13.1</v>
      </c>
      <c r="L526" s="6" t="str">
        <f t="shared" si="34"/>
        <v>RAS</v>
      </c>
      <c r="M526" s="6" t="str">
        <f t="shared" si="35"/>
        <v>Hors Data</v>
      </c>
      <c r="N526" s="8" t="str" cm="1">
        <f t="array" ref="N526">_xlfn.IFS(H526&gt;=16,"Excellent",H526&gt;=14,"Très bien",H526&gt;=12,"Bien",H526&gt;=10,"Passable",TRUE,"Insuffisant")</f>
        <v>Bien</v>
      </c>
      <c r="O526">
        <v>0.75600000000000001</v>
      </c>
      <c r="P526">
        <v>90000</v>
      </c>
      <c r="Q526" s="2">
        <v>45903</v>
      </c>
    </row>
    <row r="527" spans="1:17" x14ac:dyDescent="0.45">
      <c r="A527" t="s">
        <v>812</v>
      </c>
      <c r="B527" t="s">
        <v>131</v>
      </c>
      <c r="C527" t="s">
        <v>14</v>
      </c>
      <c r="D527" t="s">
        <v>20</v>
      </c>
      <c r="E527" t="s">
        <v>21</v>
      </c>
      <c r="F527">
        <v>9.39</v>
      </c>
      <c r="G527">
        <v>10.6</v>
      </c>
      <c r="H527">
        <v>15.74</v>
      </c>
      <c r="I527" s="4" t="str">
        <f t="shared" si="32"/>
        <v>Admis</v>
      </c>
      <c r="J527" s="4" t="str">
        <f t="shared" si="33"/>
        <v>Non eligible</v>
      </c>
      <c r="K527">
        <v>14.05</v>
      </c>
      <c r="L527" s="6" t="str">
        <f t="shared" si="34"/>
        <v>A surveiller</v>
      </c>
      <c r="M527" s="6" t="str">
        <f t="shared" si="35"/>
        <v>Hors Data</v>
      </c>
      <c r="N527" s="8" t="str" cm="1">
        <f t="array" ref="N527">_xlfn.IFS(H527&gt;=16,"Excellent",H527&gt;=14,"Très bien",H527&gt;=12,"Bien",H527&gt;=10,"Passable",TRUE,"Insuffisant")</f>
        <v>Très bien</v>
      </c>
      <c r="O527">
        <v>0.92679999999999996</v>
      </c>
      <c r="P527">
        <v>120000</v>
      </c>
      <c r="Q527" s="2">
        <v>46144</v>
      </c>
    </row>
    <row r="528" spans="1:17" x14ac:dyDescent="0.45">
      <c r="A528" t="s">
        <v>813</v>
      </c>
      <c r="B528" t="s">
        <v>814</v>
      </c>
      <c r="C528" t="s">
        <v>19</v>
      </c>
      <c r="D528" t="s">
        <v>28</v>
      </c>
      <c r="E528" t="s">
        <v>29</v>
      </c>
      <c r="F528">
        <v>11.43</v>
      </c>
      <c r="G528">
        <v>7.37</v>
      </c>
      <c r="H528">
        <v>14.27</v>
      </c>
      <c r="I528" s="4" t="str">
        <f t="shared" si="32"/>
        <v>Admis</v>
      </c>
      <c r="J528" s="4" t="str">
        <f t="shared" si="33"/>
        <v>Non eligible</v>
      </c>
      <c r="K528">
        <v>10.86</v>
      </c>
      <c r="L528" s="6" t="str">
        <f t="shared" si="34"/>
        <v>RAS</v>
      </c>
      <c r="M528" s="6" t="str">
        <f t="shared" si="35"/>
        <v>Hors Data</v>
      </c>
      <c r="N528" s="8" t="str" cm="1">
        <f t="array" ref="N528">_xlfn.IFS(H528&gt;=16,"Excellent",H528&gt;=14,"Très bien",H528&gt;=12,"Bien",H528&gt;=10,"Passable",TRUE,"Insuffisant")</f>
        <v>Très bien</v>
      </c>
      <c r="O528">
        <v>0.89890000000000003</v>
      </c>
      <c r="P528">
        <v>90000</v>
      </c>
      <c r="Q528" s="2">
        <v>45567</v>
      </c>
    </row>
    <row r="529" spans="1:17" x14ac:dyDescent="0.45">
      <c r="A529" t="s">
        <v>815</v>
      </c>
      <c r="B529" t="s">
        <v>816</v>
      </c>
      <c r="C529" t="s">
        <v>14</v>
      </c>
      <c r="D529" t="s">
        <v>20</v>
      </c>
      <c r="E529" t="s">
        <v>29</v>
      </c>
      <c r="F529">
        <v>12.55</v>
      </c>
      <c r="G529">
        <v>12.84</v>
      </c>
      <c r="H529">
        <v>12.69</v>
      </c>
      <c r="I529" s="4" t="str">
        <f t="shared" si="32"/>
        <v>Admis</v>
      </c>
      <c r="J529" s="4" t="str">
        <f t="shared" si="33"/>
        <v>Eligible</v>
      </c>
      <c r="K529">
        <v>15.15</v>
      </c>
      <c r="L529" s="6" t="str">
        <f t="shared" si="34"/>
        <v>RAS</v>
      </c>
      <c r="M529" s="6" t="str">
        <f t="shared" si="35"/>
        <v>Hors Data</v>
      </c>
      <c r="N529" s="8" t="str" cm="1">
        <f t="array" ref="N529">_xlfn.IFS(H529&gt;=16,"Excellent",H529&gt;=14,"Très bien",H529&gt;=12,"Bien",H529&gt;=10,"Passable",TRUE,"Insuffisant")</f>
        <v>Bien</v>
      </c>
      <c r="O529">
        <v>0.84360000000000002</v>
      </c>
      <c r="P529">
        <v>110000</v>
      </c>
      <c r="Q529" s="2">
        <v>45561</v>
      </c>
    </row>
    <row r="530" spans="1:17" x14ac:dyDescent="0.45">
      <c r="A530" t="s">
        <v>817</v>
      </c>
      <c r="B530" t="s">
        <v>338</v>
      </c>
      <c r="C530" t="s">
        <v>19</v>
      </c>
      <c r="D530" t="s">
        <v>32</v>
      </c>
      <c r="E530" t="s">
        <v>29</v>
      </c>
      <c r="F530">
        <v>13.49</v>
      </c>
      <c r="G530">
        <v>13.66</v>
      </c>
      <c r="H530">
        <v>9.61</v>
      </c>
      <c r="I530" s="4" t="str">
        <f t="shared" si="32"/>
        <v>Non admis</v>
      </c>
      <c r="J530" s="4" t="str">
        <f t="shared" si="33"/>
        <v>Non eligible</v>
      </c>
      <c r="K530">
        <v>12.8</v>
      </c>
      <c r="L530" s="6" t="str">
        <f t="shared" si="34"/>
        <v>A surveiller</v>
      </c>
      <c r="M530" s="6" t="str">
        <f t="shared" si="35"/>
        <v>Hors Data</v>
      </c>
      <c r="N530" s="8" t="str" cm="1">
        <f t="array" ref="N530">_xlfn.IFS(H530&gt;=16,"Excellent",H530&gt;=14,"Très bien",H530&gt;=12,"Bien",H530&gt;=10,"Passable",TRUE,"Insuffisant")</f>
        <v>Insuffisant</v>
      </c>
      <c r="O530">
        <v>0.68110000000000004</v>
      </c>
      <c r="P530">
        <v>75000</v>
      </c>
      <c r="Q530" s="2">
        <v>45605</v>
      </c>
    </row>
    <row r="531" spans="1:17" x14ac:dyDescent="0.45">
      <c r="A531" t="s">
        <v>818</v>
      </c>
      <c r="B531" t="s">
        <v>819</v>
      </c>
      <c r="C531" t="s">
        <v>19</v>
      </c>
      <c r="D531" t="s">
        <v>15</v>
      </c>
      <c r="E531" t="s">
        <v>42</v>
      </c>
      <c r="F531">
        <v>14.42</v>
      </c>
      <c r="G531">
        <v>15.16</v>
      </c>
      <c r="H531">
        <v>17.82</v>
      </c>
      <c r="I531" s="4" t="str">
        <f t="shared" si="32"/>
        <v>Admis</v>
      </c>
      <c r="J531" s="4" t="str">
        <f t="shared" si="33"/>
        <v>Eligible</v>
      </c>
      <c r="K531">
        <v>14.32</v>
      </c>
      <c r="L531" s="6" t="str">
        <f t="shared" si="34"/>
        <v>RAS</v>
      </c>
      <c r="M531" s="6" t="str">
        <f t="shared" si="35"/>
        <v>Hors Data</v>
      </c>
      <c r="N531" s="8" t="str" cm="1">
        <f t="array" ref="N531">_xlfn.IFS(H531&gt;=16,"Excellent",H531&gt;=14,"Très bien",H531&gt;=12,"Bien",H531&gt;=10,"Passable",TRUE,"Insuffisant")</f>
        <v>Excellent</v>
      </c>
      <c r="O531">
        <v>0.81059999999999999</v>
      </c>
      <c r="P531">
        <v>75000</v>
      </c>
      <c r="Q531" s="2">
        <v>45925</v>
      </c>
    </row>
    <row r="532" spans="1:17" x14ac:dyDescent="0.45">
      <c r="A532" t="s">
        <v>820</v>
      </c>
      <c r="B532" t="s">
        <v>723</v>
      </c>
      <c r="C532" t="s">
        <v>19</v>
      </c>
      <c r="D532" t="s">
        <v>15</v>
      </c>
      <c r="E532" t="s">
        <v>42</v>
      </c>
      <c r="F532">
        <v>8.59</v>
      </c>
      <c r="G532">
        <v>10.24</v>
      </c>
      <c r="H532">
        <v>12.24</v>
      </c>
      <c r="I532" s="4" t="str">
        <f t="shared" si="32"/>
        <v>Admis</v>
      </c>
      <c r="J532" s="4" t="str">
        <f t="shared" si="33"/>
        <v>Non eligible</v>
      </c>
      <c r="K532">
        <v>5.04</v>
      </c>
      <c r="L532" s="6" t="str">
        <f t="shared" si="34"/>
        <v>A surveiller</v>
      </c>
      <c r="M532" s="6" t="str">
        <f t="shared" si="35"/>
        <v>Hors Data</v>
      </c>
      <c r="N532" s="8" t="str" cm="1">
        <f t="array" ref="N532">_xlfn.IFS(H532&gt;=16,"Excellent",H532&gt;=14,"Très bien",H532&gt;=12,"Bien",H532&gt;=10,"Passable",TRUE,"Insuffisant")</f>
        <v>Bien</v>
      </c>
      <c r="O532">
        <v>0.61350000000000005</v>
      </c>
      <c r="P532">
        <v>70000</v>
      </c>
      <c r="Q532" s="2">
        <v>46032</v>
      </c>
    </row>
    <row r="533" spans="1:17" x14ac:dyDescent="0.45">
      <c r="A533" t="s">
        <v>821</v>
      </c>
      <c r="B533" t="s">
        <v>558</v>
      </c>
      <c r="C533" t="s">
        <v>14</v>
      </c>
      <c r="D533" t="s">
        <v>28</v>
      </c>
      <c r="E533" t="s">
        <v>16</v>
      </c>
      <c r="F533">
        <v>14.95</v>
      </c>
      <c r="G533">
        <v>13.98</v>
      </c>
      <c r="H533">
        <v>16.39</v>
      </c>
      <c r="I533" s="4" t="str">
        <f t="shared" si="32"/>
        <v>Admis</v>
      </c>
      <c r="J533" s="4" t="str">
        <f t="shared" si="33"/>
        <v>Eligible</v>
      </c>
      <c r="K533">
        <v>12.96</v>
      </c>
      <c r="L533" s="6" t="str">
        <f t="shared" si="34"/>
        <v>RAS</v>
      </c>
      <c r="M533" s="6" t="str">
        <f t="shared" si="35"/>
        <v>Data</v>
      </c>
      <c r="N533" s="8" t="str" cm="1">
        <f t="array" ref="N533">_xlfn.IFS(H533&gt;=16,"Excellent",H533&gt;=14,"Très bien",H533&gt;=12,"Bien",H533&gt;=10,"Passable",TRUE,"Insuffisant")</f>
        <v>Excellent</v>
      </c>
      <c r="O533">
        <v>0.89029999999999998</v>
      </c>
      <c r="P533">
        <v>60000</v>
      </c>
      <c r="Q533" s="2">
        <v>45687</v>
      </c>
    </row>
    <row r="534" spans="1:17" x14ac:dyDescent="0.45">
      <c r="A534" t="s">
        <v>822</v>
      </c>
      <c r="B534" t="s">
        <v>323</v>
      </c>
      <c r="C534" t="s">
        <v>14</v>
      </c>
      <c r="D534" t="s">
        <v>47</v>
      </c>
      <c r="E534" t="s">
        <v>21</v>
      </c>
      <c r="F534">
        <v>7.23</v>
      </c>
      <c r="G534">
        <v>14.46</v>
      </c>
      <c r="H534">
        <v>9.68</v>
      </c>
      <c r="I534" s="4" t="str">
        <f t="shared" si="32"/>
        <v>Non admis</v>
      </c>
      <c r="J534" s="4" t="str">
        <f t="shared" si="33"/>
        <v>Non eligible</v>
      </c>
      <c r="K534">
        <v>11.77</v>
      </c>
      <c r="L534" s="6" t="str">
        <f t="shared" si="34"/>
        <v>A surveiller</v>
      </c>
      <c r="M534" s="6" t="str">
        <f t="shared" si="35"/>
        <v>Hors Data</v>
      </c>
      <c r="N534" s="8" t="str" cm="1">
        <f t="array" ref="N534">_xlfn.IFS(H534&gt;=16,"Excellent",H534&gt;=14,"Très bien",H534&gt;=12,"Bien",H534&gt;=10,"Passable",TRUE,"Insuffisant")</f>
        <v>Insuffisant</v>
      </c>
      <c r="O534">
        <v>0.9899</v>
      </c>
      <c r="P534">
        <v>75000</v>
      </c>
      <c r="Q534" s="2">
        <v>45645</v>
      </c>
    </row>
    <row r="535" spans="1:17" x14ac:dyDescent="0.45">
      <c r="A535" t="s">
        <v>823</v>
      </c>
      <c r="B535" t="s">
        <v>169</v>
      </c>
      <c r="C535" t="s">
        <v>14</v>
      </c>
      <c r="D535" t="s">
        <v>32</v>
      </c>
      <c r="E535" t="s">
        <v>21</v>
      </c>
      <c r="F535">
        <v>12.81</v>
      </c>
      <c r="G535">
        <v>10.050000000000001</v>
      </c>
      <c r="H535">
        <v>12.84</v>
      </c>
      <c r="I535" s="4" t="str">
        <f t="shared" si="32"/>
        <v>Admis</v>
      </c>
      <c r="J535" s="4" t="str">
        <f t="shared" si="33"/>
        <v>Non eligible</v>
      </c>
      <c r="K535">
        <v>8.4</v>
      </c>
      <c r="L535" s="6" t="str">
        <f t="shared" si="34"/>
        <v>RAS</v>
      </c>
      <c r="M535" s="6" t="str">
        <f t="shared" si="35"/>
        <v>Hors Data</v>
      </c>
      <c r="N535" s="8" t="str" cm="1">
        <f t="array" ref="N535">_xlfn.IFS(H535&gt;=16,"Excellent",H535&gt;=14,"Très bien",H535&gt;=12,"Bien",H535&gt;=10,"Passable",TRUE,"Insuffisant")</f>
        <v>Bien</v>
      </c>
      <c r="O535">
        <v>0.64270000000000005</v>
      </c>
      <c r="P535">
        <v>70000</v>
      </c>
      <c r="Q535" s="2">
        <v>46138</v>
      </c>
    </row>
    <row r="536" spans="1:17" x14ac:dyDescent="0.45">
      <c r="A536" t="s">
        <v>824</v>
      </c>
      <c r="B536" t="s">
        <v>256</v>
      </c>
      <c r="C536" t="s">
        <v>19</v>
      </c>
      <c r="D536" t="s">
        <v>35</v>
      </c>
      <c r="E536" t="s">
        <v>16</v>
      </c>
      <c r="F536">
        <v>13.05</v>
      </c>
      <c r="G536">
        <v>10.56</v>
      </c>
      <c r="H536">
        <v>11.9</v>
      </c>
      <c r="I536" s="4" t="str">
        <f t="shared" si="32"/>
        <v>Admis</v>
      </c>
      <c r="J536" s="4" t="str">
        <f t="shared" si="33"/>
        <v>Non eligible</v>
      </c>
      <c r="K536">
        <v>10.93</v>
      </c>
      <c r="L536" s="6" t="str">
        <f t="shared" si="34"/>
        <v>RAS</v>
      </c>
      <c r="M536" s="6" t="str">
        <f t="shared" si="35"/>
        <v>Data</v>
      </c>
      <c r="N536" s="8" t="str" cm="1">
        <f t="array" ref="N536">_xlfn.IFS(H536&gt;=16,"Excellent",H536&gt;=14,"Très bien",H536&gt;=12,"Bien",H536&gt;=10,"Passable",TRUE,"Insuffisant")</f>
        <v>Passable</v>
      </c>
      <c r="O536">
        <v>0.55000000000000004</v>
      </c>
      <c r="P536">
        <v>110000</v>
      </c>
      <c r="Q536" s="2">
        <v>46061</v>
      </c>
    </row>
    <row r="537" spans="1:17" x14ac:dyDescent="0.45">
      <c r="A537" t="s">
        <v>825</v>
      </c>
      <c r="B537" t="s">
        <v>486</v>
      </c>
      <c r="C537" t="s">
        <v>14</v>
      </c>
      <c r="D537" t="s">
        <v>47</v>
      </c>
      <c r="E537" t="s">
        <v>21</v>
      </c>
      <c r="F537">
        <v>20</v>
      </c>
      <c r="G537">
        <v>18.86</v>
      </c>
      <c r="H537">
        <v>15.95</v>
      </c>
      <c r="I537" s="4" t="str">
        <f t="shared" si="32"/>
        <v>Admis</v>
      </c>
      <c r="J537" s="4" t="str">
        <f t="shared" si="33"/>
        <v>Eligible</v>
      </c>
      <c r="K537">
        <v>17.86</v>
      </c>
      <c r="L537" s="6" t="str">
        <f t="shared" si="34"/>
        <v>RAS</v>
      </c>
      <c r="M537" s="6" t="str">
        <f t="shared" si="35"/>
        <v>Hors Data</v>
      </c>
      <c r="N537" s="8" t="str" cm="1">
        <f t="array" ref="N537">_xlfn.IFS(H537&gt;=16,"Excellent",H537&gt;=14,"Très bien",H537&gt;=12,"Bien",H537&gt;=10,"Passable",TRUE,"Insuffisant")</f>
        <v>Très bien</v>
      </c>
      <c r="O537">
        <v>0.97529999999999994</v>
      </c>
      <c r="P537">
        <v>70000</v>
      </c>
      <c r="Q537" s="2">
        <v>45989</v>
      </c>
    </row>
    <row r="538" spans="1:17" x14ac:dyDescent="0.45">
      <c r="A538" t="s">
        <v>826</v>
      </c>
      <c r="B538" t="s">
        <v>827</v>
      </c>
      <c r="C538" t="s">
        <v>14</v>
      </c>
      <c r="D538" t="s">
        <v>28</v>
      </c>
      <c r="E538" t="s">
        <v>42</v>
      </c>
      <c r="F538">
        <v>13.06</v>
      </c>
      <c r="G538">
        <v>10.74</v>
      </c>
      <c r="H538">
        <v>14.91</v>
      </c>
      <c r="I538" s="4" t="str">
        <f t="shared" si="32"/>
        <v>Admis</v>
      </c>
      <c r="J538" s="4" t="str">
        <f t="shared" si="33"/>
        <v>Non eligible</v>
      </c>
      <c r="K538">
        <v>17.559999999999999</v>
      </c>
      <c r="L538" s="6" t="str">
        <f t="shared" si="34"/>
        <v>RAS</v>
      </c>
      <c r="M538" s="6" t="str">
        <f t="shared" si="35"/>
        <v>Hors Data</v>
      </c>
      <c r="N538" s="8" t="str" cm="1">
        <f t="array" ref="N538">_xlfn.IFS(H538&gt;=16,"Excellent",H538&gt;=14,"Très bien",H538&gt;=12,"Bien",H538&gt;=10,"Passable",TRUE,"Insuffisant")</f>
        <v>Très bien</v>
      </c>
      <c r="O538">
        <v>0.55000000000000004</v>
      </c>
      <c r="P538">
        <v>60000</v>
      </c>
      <c r="Q538" s="2">
        <v>45877</v>
      </c>
    </row>
    <row r="539" spans="1:17" x14ac:dyDescent="0.45">
      <c r="A539" t="s">
        <v>828</v>
      </c>
      <c r="B539" t="s">
        <v>348</v>
      </c>
      <c r="C539" t="s">
        <v>14</v>
      </c>
      <c r="D539" t="s">
        <v>28</v>
      </c>
      <c r="E539" t="s">
        <v>16</v>
      </c>
      <c r="F539">
        <v>12.32</v>
      </c>
      <c r="G539">
        <v>16.11</v>
      </c>
      <c r="H539">
        <v>13.69</v>
      </c>
      <c r="I539" s="4" t="str">
        <f t="shared" si="32"/>
        <v>Admis</v>
      </c>
      <c r="J539" s="4" t="str">
        <f t="shared" si="33"/>
        <v>Eligible</v>
      </c>
      <c r="K539">
        <v>11.54</v>
      </c>
      <c r="L539" s="6" t="str">
        <f t="shared" si="34"/>
        <v>RAS</v>
      </c>
      <c r="M539" s="6" t="str">
        <f t="shared" si="35"/>
        <v>Data</v>
      </c>
      <c r="N539" s="8" t="str" cm="1">
        <f t="array" ref="N539">_xlfn.IFS(H539&gt;=16,"Excellent",H539&gt;=14,"Très bien",H539&gt;=12,"Bien",H539&gt;=10,"Passable",TRUE,"Insuffisant")</f>
        <v>Bien</v>
      </c>
      <c r="O539">
        <v>0.86860000000000004</v>
      </c>
      <c r="P539">
        <v>110000</v>
      </c>
      <c r="Q539" s="2">
        <v>45830</v>
      </c>
    </row>
    <row r="540" spans="1:17" x14ac:dyDescent="0.45">
      <c r="A540" t="s">
        <v>829</v>
      </c>
      <c r="B540" t="s">
        <v>374</v>
      </c>
      <c r="C540" t="s">
        <v>19</v>
      </c>
      <c r="D540" t="s">
        <v>15</v>
      </c>
      <c r="E540" t="s">
        <v>29</v>
      </c>
      <c r="F540">
        <v>13.63</v>
      </c>
      <c r="G540">
        <v>16.670000000000002</v>
      </c>
      <c r="H540">
        <v>14.27</v>
      </c>
      <c r="I540" s="4" t="str">
        <f t="shared" si="32"/>
        <v>Admis</v>
      </c>
      <c r="J540" s="4" t="str">
        <f t="shared" si="33"/>
        <v>Eligible</v>
      </c>
      <c r="K540">
        <v>13.38</v>
      </c>
      <c r="L540" s="6" t="str">
        <f t="shared" si="34"/>
        <v>RAS</v>
      </c>
      <c r="M540" s="6" t="str">
        <f t="shared" si="35"/>
        <v>Hors Data</v>
      </c>
      <c r="N540" s="8" t="str" cm="1">
        <f t="array" ref="N540">_xlfn.IFS(H540&gt;=16,"Excellent",H540&gt;=14,"Très bien",H540&gt;=12,"Bien",H540&gt;=10,"Passable",TRUE,"Insuffisant")</f>
        <v>Très bien</v>
      </c>
      <c r="O540">
        <v>0.97550000000000003</v>
      </c>
      <c r="P540">
        <v>85000</v>
      </c>
      <c r="Q540" s="2">
        <v>45550</v>
      </c>
    </row>
    <row r="541" spans="1:17" x14ac:dyDescent="0.45">
      <c r="A541" t="s">
        <v>830</v>
      </c>
      <c r="B541" t="s">
        <v>376</v>
      </c>
      <c r="C541" t="s">
        <v>14</v>
      </c>
      <c r="D541" t="s">
        <v>47</v>
      </c>
      <c r="E541" t="s">
        <v>21</v>
      </c>
      <c r="F541">
        <v>8.07</v>
      </c>
      <c r="G541">
        <v>9.98</v>
      </c>
      <c r="H541">
        <v>9.7899999999999991</v>
      </c>
      <c r="I541" s="4" t="str">
        <f t="shared" si="32"/>
        <v>Non admis</v>
      </c>
      <c r="J541" s="4" t="str">
        <f t="shared" si="33"/>
        <v>Non eligible</v>
      </c>
      <c r="K541">
        <v>7.38</v>
      </c>
      <c r="L541" s="6" t="str">
        <f t="shared" si="34"/>
        <v>A surveiller</v>
      </c>
      <c r="M541" s="6" t="str">
        <f t="shared" si="35"/>
        <v>Hors Data</v>
      </c>
      <c r="N541" s="8" t="str" cm="1">
        <f t="array" ref="N541">_xlfn.IFS(H541&gt;=16,"Excellent",H541&gt;=14,"Très bien",H541&gt;=12,"Bien",H541&gt;=10,"Passable",TRUE,"Insuffisant")</f>
        <v>Insuffisant</v>
      </c>
      <c r="O541">
        <v>0.92479999999999996</v>
      </c>
      <c r="P541">
        <v>70000</v>
      </c>
      <c r="Q541" s="2">
        <v>45667</v>
      </c>
    </row>
    <row r="542" spans="1:17" x14ac:dyDescent="0.45">
      <c r="A542" t="s">
        <v>831</v>
      </c>
      <c r="B542" t="s">
        <v>212</v>
      </c>
      <c r="C542" t="s">
        <v>19</v>
      </c>
      <c r="D542" t="s">
        <v>47</v>
      </c>
      <c r="E542" t="s">
        <v>29</v>
      </c>
      <c r="F542">
        <v>14.22</v>
      </c>
      <c r="G542">
        <v>15.01</v>
      </c>
      <c r="H542">
        <v>16.41</v>
      </c>
      <c r="I542" s="4" t="str">
        <f t="shared" si="32"/>
        <v>Admis</v>
      </c>
      <c r="J542" s="4" t="str">
        <f t="shared" si="33"/>
        <v>Eligible</v>
      </c>
      <c r="K542">
        <v>14.05</v>
      </c>
      <c r="L542" s="6" t="str">
        <f t="shared" si="34"/>
        <v>RAS</v>
      </c>
      <c r="M542" s="6" t="str">
        <f t="shared" si="35"/>
        <v>Hors Data</v>
      </c>
      <c r="N542" s="8" t="str" cm="1">
        <f t="array" ref="N542">_xlfn.IFS(H542&gt;=16,"Excellent",H542&gt;=14,"Très bien",H542&gt;=12,"Bien",H542&gt;=10,"Passable",TRUE,"Insuffisant")</f>
        <v>Excellent</v>
      </c>
      <c r="O542">
        <v>0.88629999999999998</v>
      </c>
      <c r="P542">
        <v>100000</v>
      </c>
      <c r="Q542" s="2">
        <v>46163</v>
      </c>
    </row>
    <row r="543" spans="1:17" x14ac:dyDescent="0.45">
      <c r="A543" t="s">
        <v>832</v>
      </c>
      <c r="B543" t="s">
        <v>235</v>
      </c>
      <c r="C543" t="s">
        <v>14</v>
      </c>
      <c r="D543" t="s">
        <v>32</v>
      </c>
      <c r="E543" t="s">
        <v>21</v>
      </c>
      <c r="F543">
        <v>18.98</v>
      </c>
      <c r="G543">
        <v>19.14</v>
      </c>
      <c r="H543">
        <v>20</v>
      </c>
      <c r="I543" s="4" t="str">
        <f t="shared" si="32"/>
        <v>Admis</v>
      </c>
      <c r="J543" s="4" t="str">
        <f t="shared" si="33"/>
        <v>Eligible</v>
      </c>
      <c r="K543">
        <v>18.649999999999999</v>
      </c>
      <c r="L543" s="6" t="str">
        <f t="shared" si="34"/>
        <v>RAS</v>
      </c>
      <c r="M543" s="6" t="str">
        <f t="shared" si="35"/>
        <v>Hors Data</v>
      </c>
      <c r="N543" s="8" t="str" cm="1">
        <f t="array" ref="N543">_xlfn.IFS(H543&gt;=16,"Excellent",H543&gt;=14,"Très bien",H543&gt;=12,"Bien",H543&gt;=10,"Passable",TRUE,"Insuffisant")</f>
        <v>Excellent</v>
      </c>
      <c r="O543">
        <v>0.88</v>
      </c>
      <c r="P543">
        <v>70000</v>
      </c>
      <c r="Q543" s="2">
        <v>45773</v>
      </c>
    </row>
    <row r="544" spans="1:17" x14ac:dyDescent="0.45">
      <c r="A544" t="s">
        <v>833</v>
      </c>
      <c r="B544" t="s">
        <v>445</v>
      </c>
      <c r="C544" t="s">
        <v>14</v>
      </c>
      <c r="D544" t="s">
        <v>47</v>
      </c>
      <c r="E544" t="s">
        <v>29</v>
      </c>
      <c r="F544">
        <v>16.260000000000002</v>
      </c>
      <c r="G544">
        <v>11.93</v>
      </c>
      <c r="H544">
        <v>13.46</v>
      </c>
      <c r="I544" s="4" t="str">
        <f t="shared" si="32"/>
        <v>Admis</v>
      </c>
      <c r="J544" s="4" t="str">
        <f t="shared" si="33"/>
        <v>Eligible</v>
      </c>
      <c r="K544">
        <v>16.079999999999998</v>
      </c>
      <c r="L544" s="6" t="str">
        <f t="shared" si="34"/>
        <v>RAS</v>
      </c>
      <c r="M544" s="6" t="str">
        <f t="shared" si="35"/>
        <v>Hors Data</v>
      </c>
      <c r="N544" s="8" t="str" cm="1">
        <f t="array" ref="N544">_xlfn.IFS(H544&gt;=16,"Excellent",H544&gt;=14,"Très bien",H544&gt;=12,"Bien",H544&gt;=10,"Passable",TRUE,"Insuffisant")</f>
        <v>Bien</v>
      </c>
      <c r="O544">
        <v>0.91969999999999996</v>
      </c>
      <c r="P544">
        <v>110000</v>
      </c>
      <c r="Q544" s="2">
        <v>46029</v>
      </c>
    </row>
    <row r="545" spans="1:17" x14ac:dyDescent="0.45">
      <c r="A545" t="s">
        <v>834</v>
      </c>
      <c r="B545" t="s">
        <v>127</v>
      </c>
      <c r="C545" t="s">
        <v>14</v>
      </c>
      <c r="D545" t="s">
        <v>47</v>
      </c>
      <c r="E545" t="s">
        <v>16</v>
      </c>
      <c r="F545">
        <v>12.33</v>
      </c>
      <c r="G545">
        <v>13.78</v>
      </c>
      <c r="H545">
        <v>15.55</v>
      </c>
      <c r="I545" s="4" t="str">
        <f t="shared" si="32"/>
        <v>Admis</v>
      </c>
      <c r="J545" s="4" t="str">
        <f t="shared" si="33"/>
        <v>Eligible</v>
      </c>
      <c r="K545">
        <v>11.83</v>
      </c>
      <c r="L545" s="6" t="str">
        <f t="shared" si="34"/>
        <v>RAS</v>
      </c>
      <c r="M545" s="6" t="str">
        <f t="shared" si="35"/>
        <v>Data</v>
      </c>
      <c r="N545" s="8" t="str" cm="1">
        <f t="array" ref="N545">_xlfn.IFS(H545&gt;=16,"Excellent",H545&gt;=14,"Très bien",H545&gt;=12,"Bien",H545&gt;=10,"Passable",TRUE,"Insuffisant")</f>
        <v>Très bien</v>
      </c>
      <c r="O545">
        <v>0.96040000000000003</v>
      </c>
      <c r="P545">
        <v>50000</v>
      </c>
      <c r="Q545" s="2">
        <v>46028</v>
      </c>
    </row>
    <row r="546" spans="1:17" x14ac:dyDescent="0.45">
      <c r="A546" t="s">
        <v>835</v>
      </c>
      <c r="B546" t="s">
        <v>185</v>
      </c>
      <c r="C546" t="s">
        <v>19</v>
      </c>
      <c r="D546" t="s">
        <v>47</v>
      </c>
      <c r="E546" t="s">
        <v>29</v>
      </c>
      <c r="F546">
        <v>17.2</v>
      </c>
      <c r="G546">
        <v>13.29</v>
      </c>
      <c r="H546">
        <v>15.41</v>
      </c>
      <c r="I546" s="4" t="str">
        <f t="shared" si="32"/>
        <v>Admis</v>
      </c>
      <c r="J546" s="4" t="str">
        <f t="shared" si="33"/>
        <v>Non eligible</v>
      </c>
      <c r="K546">
        <v>15.2</v>
      </c>
      <c r="L546" s="6" t="str">
        <f t="shared" si="34"/>
        <v>RAS</v>
      </c>
      <c r="M546" s="6" t="str">
        <f t="shared" si="35"/>
        <v>Hors Data</v>
      </c>
      <c r="N546" s="8" t="str" cm="1">
        <f t="array" ref="N546">_xlfn.IFS(H546&gt;=16,"Excellent",H546&gt;=14,"Très bien",H546&gt;=12,"Bien",H546&gt;=10,"Passable",TRUE,"Insuffisant")</f>
        <v>Très bien</v>
      </c>
      <c r="O546">
        <v>0.65920000000000001</v>
      </c>
      <c r="P546">
        <v>90000</v>
      </c>
      <c r="Q546" s="2">
        <v>45752</v>
      </c>
    </row>
    <row r="547" spans="1:17" x14ac:dyDescent="0.45">
      <c r="A547" t="s">
        <v>836</v>
      </c>
      <c r="B547" t="s">
        <v>196</v>
      </c>
      <c r="C547" t="s">
        <v>14</v>
      </c>
      <c r="D547" t="s">
        <v>32</v>
      </c>
      <c r="E547" t="s">
        <v>42</v>
      </c>
      <c r="F547">
        <v>17.190000000000001</v>
      </c>
      <c r="G547">
        <v>17.48</v>
      </c>
      <c r="H547">
        <v>13.49</v>
      </c>
      <c r="I547" s="4" t="str">
        <f t="shared" si="32"/>
        <v>Admis</v>
      </c>
      <c r="J547" s="4" t="str">
        <f t="shared" si="33"/>
        <v>Eligible</v>
      </c>
      <c r="K547">
        <v>16.89</v>
      </c>
      <c r="L547" s="6" t="str">
        <f t="shared" si="34"/>
        <v>RAS</v>
      </c>
      <c r="M547" s="6" t="str">
        <f t="shared" si="35"/>
        <v>Hors Data</v>
      </c>
      <c r="N547" s="8" t="str" cm="1">
        <f t="array" ref="N547">_xlfn.IFS(H547&gt;=16,"Excellent",H547&gt;=14,"Très bien",H547&gt;=12,"Bien",H547&gt;=10,"Passable",TRUE,"Insuffisant")</f>
        <v>Bien</v>
      </c>
      <c r="O547">
        <v>0.87029999999999996</v>
      </c>
      <c r="P547">
        <v>90000</v>
      </c>
      <c r="Q547" s="2">
        <v>45679</v>
      </c>
    </row>
    <row r="548" spans="1:17" x14ac:dyDescent="0.45">
      <c r="A548" t="s">
        <v>837</v>
      </c>
      <c r="B548" t="s">
        <v>651</v>
      </c>
      <c r="C548" t="s">
        <v>14</v>
      </c>
      <c r="D548" t="s">
        <v>35</v>
      </c>
      <c r="E548" t="s">
        <v>42</v>
      </c>
      <c r="F548">
        <v>7.88</v>
      </c>
      <c r="G548">
        <v>10.08</v>
      </c>
      <c r="H548">
        <v>9.59</v>
      </c>
      <c r="I548" s="4" t="str">
        <f t="shared" si="32"/>
        <v>Non admis</v>
      </c>
      <c r="J548" s="4" t="str">
        <f t="shared" si="33"/>
        <v>Non eligible</v>
      </c>
      <c r="K548">
        <v>6.93</v>
      </c>
      <c r="L548" s="6" t="str">
        <f t="shared" si="34"/>
        <v>A surveiller</v>
      </c>
      <c r="M548" s="6" t="str">
        <f t="shared" si="35"/>
        <v>Hors Data</v>
      </c>
      <c r="N548" s="8" t="str" cm="1">
        <f t="array" ref="N548">_xlfn.IFS(H548&gt;=16,"Excellent",H548&gt;=14,"Très bien",H548&gt;=12,"Bien",H548&gt;=10,"Passable",TRUE,"Insuffisant")</f>
        <v>Insuffisant</v>
      </c>
      <c r="O548">
        <v>0.86019999999999996</v>
      </c>
      <c r="P548">
        <v>80000</v>
      </c>
      <c r="Q548" s="2">
        <v>46020</v>
      </c>
    </row>
    <row r="549" spans="1:17" x14ac:dyDescent="0.45">
      <c r="A549" t="s">
        <v>838</v>
      </c>
      <c r="B549" t="s">
        <v>105</v>
      </c>
      <c r="C549" t="s">
        <v>19</v>
      </c>
      <c r="D549" t="s">
        <v>28</v>
      </c>
      <c r="E549" t="s">
        <v>21</v>
      </c>
      <c r="F549">
        <v>8.1</v>
      </c>
      <c r="G549">
        <v>12.44</v>
      </c>
      <c r="H549">
        <v>9.31</v>
      </c>
      <c r="I549" s="4" t="str">
        <f t="shared" si="32"/>
        <v>Non admis</v>
      </c>
      <c r="J549" s="4" t="str">
        <f t="shared" si="33"/>
        <v>Non eligible</v>
      </c>
      <c r="K549">
        <v>10.54</v>
      </c>
      <c r="L549" s="6" t="str">
        <f t="shared" si="34"/>
        <v>A surveiller</v>
      </c>
      <c r="M549" s="6" t="str">
        <f t="shared" si="35"/>
        <v>Hors Data</v>
      </c>
      <c r="N549" s="8" t="str" cm="1">
        <f t="array" ref="N549">_xlfn.IFS(H549&gt;=16,"Excellent",H549&gt;=14,"Très bien",H549&gt;=12,"Bien",H549&gt;=10,"Passable",TRUE,"Insuffisant")</f>
        <v>Insuffisant</v>
      </c>
      <c r="O549">
        <v>0.89280000000000004</v>
      </c>
      <c r="P549">
        <v>100000</v>
      </c>
      <c r="Q549" s="2">
        <v>45601</v>
      </c>
    </row>
    <row r="550" spans="1:17" x14ac:dyDescent="0.45">
      <c r="A550" t="s">
        <v>839</v>
      </c>
      <c r="B550" t="s">
        <v>174</v>
      </c>
      <c r="C550" t="s">
        <v>19</v>
      </c>
      <c r="D550" t="s">
        <v>47</v>
      </c>
      <c r="E550" t="s">
        <v>16</v>
      </c>
      <c r="F550">
        <v>19.43</v>
      </c>
      <c r="G550">
        <v>15.31</v>
      </c>
      <c r="H550">
        <v>19.989999999999998</v>
      </c>
      <c r="I550" s="4" t="str">
        <f t="shared" si="32"/>
        <v>Admis</v>
      </c>
      <c r="J550" s="4" t="str">
        <f t="shared" si="33"/>
        <v>Eligible</v>
      </c>
      <c r="K550">
        <v>14.32</v>
      </c>
      <c r="L550" s="6" t="str">
        <f t="shared" si="34"/>
        <v>RAS</v>
      </c>
      <c r="M550" s="6" t="str">
        <f t="shared" si="35"/>
        <v>Data</v>
      </c>
      <c r="N550" s="8" t="str" cm="1">
        <f t="array" ref="N550">_xlfn.IFS(H550&gt;=16,"Excellent",H550&gt;=14,"Très bien",H550&gt;=12,"Bien",H550&gt;=10,"Passable",TRUE,"Insuffisant")</f>
        <v>Excellent</v>
      </c>
      <c r="O550">
        <v>0.96479999999999999</v>
      </c>
      <c r="P550">
        <v>80000</v>
      </c>
      <c r="Q550" s="2">
        <v>45882</v>
      </c>
    </row>
    <row r="551" spans="1:17" x14ac:dyDescent="0.45">
      <c r="A551" t="s">
        <v>840</v>
      </c>
      <c r="B551" t="s">
        <v>338</v>
      </c>
      <c r="C551" t="s">
        <v>19</v>
      </c>
      <c r="D551" t="s">
        <v>28</v>
      </c>
      <c r="E551" t="s">
        <v>21</v>
      </c>
      <c r="F551">
        <v>9.6999999999999993</v>
      </c>
      <c r="G551">
        <v>13.93</v>
      </c>
      <c r="H551">
        <v>14.9</v>
      </c>
      <c r="I551" s="4" t="str">
        <f t="shared" si="32"/>
        <v>Admis</v>
      </c>
      <c r="J551" s="4" t="str">
        <f t="shared" si="33"/>
        <v>Non eligible</v>
      </c>
      <c r="K551">
        <v>13.13</v>
      </c>
      <c r="L551" s="6" t="str">
        <f t="shared" si="34"/>
        <v>A surveiller</v>
      </c>
      <c r="M551" s="6" t="str">
        <f t="shared" si="35"/>
        <v>Hors Data</v>
      </c>
      <c r="N551" s="8" t="str" cm="1">
        <f t="array" ref="N551">_xlfn.IFS(H551&gt;=16,"Excellent",H551&gt;=14,"Très bien",H551&gt;=12,"Bien",H551&gt;=10,"Passable",TRUE,"Insuffisant")</f>
        <v>Très bien</v>
      </c>
      <c r="O551">
        <v>0.71599999999999997</v>
      </c>
      <c r="P551">
        <v>100000</v>
      </c>
      <c r="Q551" s="2">
        <v>46157</v>
      </c>
    </row>
    <row r="552" spans="1:17" x14ac:dyDescent="0.45">
      <c r="A552" t="s">
        <v>841</v>
      </c>
      <c r="B552" t="s">
        <v>452</v>
      </c>
      <c r="C552" t="s">
        <v>19</v>
      </c>
      <c r="D552" t="s">
        <v>47</v>
      </c>
      <c r="E552" t="s">
        <v>42</v>
      </c>
      <c r="F552">
        <v>17.829999999999998</v>
      </c>
      <c r="G552">
        <v>16.920000000000002</v>
      </c>
      <c r="H552">
        <v>18.940000000000001</v>
      </c>
      <c r="I552" s="4" t="str">
        <f t="shared" si="32"/>
        <v>Admis</v>
      </c>
      <c r="J552" s="4" t="str">
        <f t="shared" si="33"/>
        <v>Eligible</v>
      </c>
      <c r="K552">
        <v>17.5</v>
      </c>
      <c r="L552" s="6" t="str">
        <f t="shared" si="34"/>
        <v>RAS</v>
      </c>
      <c r="M552" s="6" t="str">
        <f t="shared" si="35"/>
        <v>Hors Data</v>
      </c>
      <c r="N552" s="8" t="str" cm="1">
        <f t="array" ref="N552">_xlfn.IFS(H552&gt;=16,"Excellent",H552&gt;=14,"Très bien",H552&gt;=12,"Bien",H552&gt;=10,"Passable",TRUE,"Insuffisant")</f>
        <v>Excellent</v>
      </c>
      <c r="O552">
        <v>0.94040000000000001</v>
      </c>
      <c r="P552">
        <v>70000</v>
      </c>
      <c r="Q552" s="2">
        <v>46033</v>
      </c>
    </row>
    <row r="553" spans="1:17" x14ac:dyDescent="0.45">
      <c r="A553" t="s">
        <v>842</v>
      </c>
      <c r="B553" t="s">
        <v>188</v>
      </c>
      <c r="C553" t="s">
        <v>14</v>
      </c>
      <c r="D553" t="s">
        <v>15</v>
      </c>
      <c r="E553" t="s">
        <v>16</v>
      </c>
      <c r="F553">
        <v>10.97</v>
      </c>
      <c r="G553">
        <v>11.97</v>
      </c>
      <c r="H553">
        <v>13.37</v>
      </c>
      <c r="I553" s="4" t="str">
        <f t="shared" si="32"/>
        <v>Admis</v>
      </c>
      <c r="J553" s="4" t="str">
        <f t="shared" si="33"/>
        <v>Non eligible</v>
      </c>
      <c r="K553">
        <v>13.35</v>
      </c>
      <c r="L553" s="6" t="str">
        <f t="shared" si="34"/>
        <v>RAS</v>
      </c>
      <c r="M553" s="6" t="str">
        <f t="shared" si="35"/>
        <v>Data</v>
      </c>
      <c r="N553" s="8" t="str" cm="1">
        <f t="array" ref="N553">_xlfn.IFS(H553&gt;=16,"Excellent",H553&gt;=14,"Très bien",H553&gt;=12,"Bien",H553&gt;=10,"Passable",TRUE,"Insuffisant")</f>
        <v>Bien</v>
      </c>
      <c r="O553">
        <v>0.86550000000000005</v>
      </c>
      <c r="P553">
        <v>90000</v>
      </c>
      <c r="Q553" s="2">
        <v>46070</v>
      </c>
    </row>
    <row r="554" spans="1:17" x14ac:dyDescent="0.45">
      <c r="A554" t="s">
        <v>843</v>
      </c>
      <c r="B554" t="s">
        <v>533</v>
      </c>
      <c r="C554" t="s">
        <v>19</v>
      </c>
      <c r="D554" t="s">
        <v>47</v>
      </c>
      <c r="E554" t="s">
        <v>21</v>
      </c>
      <c r="F554">
        <v>12.01</v>
      </c>
      <c r="G554">
        <v>9.5299999999999994</v>
      </c>
      <c r="H554">
        <v>8.64</v>
      </c>
      <c r="I554" s="4" t="str">
        <f t="shared" si="32"/>
        <v>Non admis</v>
      </c>
      <c r="J554" s="4" t="str">
        <f t="shared" si="33"/>
        <v>Non eligible</v>
      </c>
      <c r="K554">
        <v>6.59</v>
      </c>
      <c r="L554" s="6" t="str">
        <f t="shared" si="34"/>
        <v>A surveiller</v>
      </c>
      <c r="M554" s="6" t="str">
        <f t="shared" si="35"/>
        <v>Hors Data</v>
      </c>
      <c r="N554" s="8" t="str" cm="1">
        <f t="array" ref="N554">_xlfn.IFS(H554&gt;=16,"Excellent",H554&gt;=14,"Très bien",H554&gt;=12,"Bien",H554&gt;=10,"Passable",TRUE,"Insuffisant")</f>
        <v>Insuffisant</v>
      </c>
      <c r="O554">
        <v>0.75460000000000005</v>
      </c>
      <c r="P554">
        <v>110000</v>
      </c>
      <c r="Q554" s="2">
        <v>45594</v>
      </c>
    </row>
    <row r="555" spans="1:17" x14ac:dyDescent="0.45">
      <c r="A555" t="s">
        <v>844</v>
      </c>
      <c r="B555" t="s">
        <v>400</v>
      </c>
      <c r="C555" t="s">
        <v>14</v>
      </c>
      <c r="D555" t="s">
        <v>47</v>
      </c>
      <c r="E555" t="s">
        <v>29</v>
      </c>
      <c r="F555">
        <v>11.9</v>
      </c>
      <c r="G555">
        <v>9.5</v>
      </c>
      <c r="H555">
        <v>7.94</v>
      </c>
      <c r="I555" s="4" t="str">
        <f t="shared" si="32"/>
        <v>Non admis</v>
      </c>
      <c r="J555" s="4" t="str">
        <f t="shared" si="33"/>
        <v>Non eligible</v>
      </c>
      <c r="K555">
        <v>8.4600000000000009</v>
      </c>
      <c r="L555" s="6" t="str">
        <f t="shared" si="34"/>
        <v>A surveiller</v>
      </c>
      <c r="M555" s="6" t="str">
        <f t="shared" si="35"/>
        <v>Hors Data</v>
      </c>
      <c r="N555" s="8" t="str" cm="1">
        <f t="array" ref="N555">_xlfn.IFS(H555&gt;=16,"Excellent",H555&gt;=14,"Très bien",H555&gt;=12,"Bien",H555&gt;=10,"Passable",TRUE,"Insuffisant")</f>
        <v>Insuffisant</v>
      </c>
      <c r="O555">
        <v>0.88370000000000004</v>
      </c>
      <c r="P555">
        <v>130000</v>
      </c>
      <c r="Q555" s="2">
        <v>45675</v>
      </c>
    </row>
    <row r="556" spans="1:17" x14ac:dyDescent="0.45">
      <c r="A556" t="s">
        <v>845</v>
      </c>
      <c r="B556" t="s">
        <v>370</v>
      </c>
      <c r="C556" t="s">
        <v>19</v>
      </c>
      <c r="D556" t="s">
        <v>47</v>
      </c>
      <c r="E556" t="s">
        <v>42</v>
      </c>
      <c r="F556">
        <v>4.3099999999999996</v>
      </c>
      <c r="G556">
        <v>6.79</v>
      </c>
      <c r="H556">
        <v>2.1800000000000002</v>
      </c>
      <c r="I556" s="4" t="str">
        <f t="shared" si="32"/>
        <v>Non admis</v>
      </c>
      <c r="J556" s="4" t="str">
        <f t="shared" si="33"/>
        <v>Non eligible</v>
      </c>
      <c r="K556">
        <v>8.39</v>
      </c>
      <c r="L556" s="6" t="str">
        <f t="shared" si="34"/>
        <v>A surveiller</v>
      </c>
      <c r="M556" s="6" t="str">
        <f t="shared" si="35"/>
        <v>Hors Data</v>
      </c>
      <c r="N556" s="8" t="str" cm="1">
        <f t="array" ref="N556">_xlfn.IFS(H556&gt;=16,"Excellent",H556&gt;=14,"Très bien",H556&gt;=12,"Bien",H556&gt;=10,"Passable",TRUE,"Insuffisant")</f>
        <v>Insuffisant</v>
      </c>
      <c r="O556">
        <v>0.89329999999999998</v>
      </c>
      <c r="P556">
        <v>75000</v>
      </c>
      <c r="Q556" s="2">
        <v>45728</v>
      </c>
    </row>
    <row r="557" spans="1:17" x14ac:dyDescent="0.45">
      <c r="A557" t="s">
        <v>846</v>
      </c>
      <c r="B557" t="s">
        <v>847</v>
      </c>
      <c r="C557" t="s">
        <v>19</v>
      </c>
      <c r="D557" t="s">
        <v>15</v>
      </c>
      <c r="E557" t="s">
        <v>42</v>
      </c>
      <c r="F557">
        <v>13.97</v>
      </c>
      <c r="G557">
        <v>10.91</v>
      </c>
      <c r="H557">
        <v>11.12</v>
      </c>
      <c r="I557" s="4" t="str">
        <f t="shared" si="32"/>
        <v>Admis</v>
      </c>
      <c r="J557" s="4" t="str">
        <f t="shared" si="33"/>
        <v>Non eligible</v>
      </c>
      <c r="K557">
        <v>14.14</v>
      </c>
      <c r="L557" s="6" t="str">
        <f t="shared" si="34"/>
        <v>RAS</v>
      </c>
      <c r="M557" s="6" t="str">
        <f t="shared" si="35"/>
        <v>Hors Data</v>
      </c>
      <c r="N557" s="8" t="str" cm="1">
        <f t="array" ref="N557">_xlfn.IFS(H557&gt;=16,"Excellent",H557&gt;=14,"Très bien",H557&gt;=12,"Bien",H557&gt;=10,"Passable",TRUE,"Insuffisant")</f>
        <v>Passable</v>
      </c>
      <c r="O557">
        <v>0.80640000000000001</v>
      </c>
      <c r="P557">
        <v>85000</v>
      </c>
      <c r="Q557" s="2">
        <v>45740</v>
      </c>
    </row>
    <row r="558" spans="1:17" x14ac:dyDescent="0.45">
      <c r="A558" t="s">
        <v>848</v>
      </c>
      <c r="B558" t="s">
        <v>256</v>
      </c>
      <c r="C558" t="s">
        <v>19</v>
      </c>
      <c r="D558" t="s">
        <v>15</v>
      </c>
      <c r="E558" t="s">
        <v>16</v>
      </c>
      <c r="F558">
        <v>13.54</v>
      </c>
      <c r="G558">
        <v>11.43</v>
      </c>
      <c r="H558">
        <v>13.07</v>
      </c>
      <c r="I558" s="4" t="str">
        <f t="shared" si="32"/>
        <v>Admis</v>
      </c>
      <c r="J558" s="4" t="str">
        <f t="shared" si="33"/>
        <v>Eligible</v>
      </c>
      <c r="K558">
        <v>10.62</v>
      </c>
      <c r="L558" s="6" t="str">
        <f t="shared" si="34"/>
        <v>RAS</v>
      </c>
      <c r="M558" s="6" t="str">
        <f t="shared" si="35"/>
        <v>Data</v>
      </c>
      <c r="N558" s="8" t="str" cm="1">
        <f t="array" ref="N558">_xlfn.IFS(H558&gt;=16,"Excellent",H558&gt;=14,"Très bien",H558&gt;=12,"Bien",H558&gt;=10,"Passable",TRUE,"Insuffisant")</f>
        <v>Bien</v>
      </c>
      <c r="O558">
        <v>0.85580000000000001</v>
      </c>
      <c r="P558">
        <v>85000</v>
      </c>
      <c r="Q558" s="2">
        <v>45671</v>
      </c>
    </row>
    <row r="559" spans="1:17" x14ac:dyDescent="0.45">
      <c r="A559" t="s">
        <v>849</v>
      </c>
      <c r="B559" t="s">
        <v>386</v>
      </c>
      <c r="C559" t="s">
        <v>19</v>
      </c>
      <c r="D559" t="s">
        <v>15</v>
      </c>
      <c r="E559" t="s">
        <v>16</v>
      </c>
      <c r="F559">
        <v>11.17</v>
      </c>
      <c r="G559">
        <v>14.11</v>
      </c>
      <c r="H559">
        <v>7.88</v>
      </c>
      <c r="I559" s="4" t="str">
        <f t="shared" si="32"/>
        <v>Non admis</v>
      </c>
      <c r="J559" s="4" t="str">
        <f t="shared" si="33"/>
        <v>Non eligible</v>
      </c>
      <c r="K559">
        <v>12.61</v>
      </c>
      <c r="L559" s="6" t="str">
        <f t="shared" si="34"/>
        <v>A surveiller</v>
      </c>
      <c r="M559" s="6" t="str">
        <f t="shared" si="35"/>
        <v>Data</v>
      </c>
      <c r="N559" s="8" t="str" cm="1">
        <f t="array" ref="N559">_xlfn.IFS(H559&gt;=16,"Excellent",H559&gt;=14,"Très bien",H559&gt;=12,"Bien",H559&gt;=10,"Passable",TRUE,"Insuffisant")</f>
        <v>Insuffisant</v>
      </c>
      <c r="O559">
        <v>0.93220000000000003</v>
      </c>
      <c r="P559">
        <v>120000</v>
      </c>
      <c r="Q559" s="2">
        <v>46216</v>
      </c>
    </row>
    <row r="560" spans="1:17" x14ac:dyDescent="0.45">
      <c r="A560" t="s">
        <v>850</v>
      </c>
      <c r="B560" t="s">
        <v>693</v>
      </c>
      <c r="C560" t="s">
        <v>19</v>
      </c>
      <c r="D560" t="s">
        <v>28</v>
      </c>
      <c r="E560" t="s">
        <v>42</v>
      </c>
      <c r="F560">
        <v>18.190000000000001</v>
      </c>
      <c r="G560">
        <v>18.87</v>
      </c>
      <c r="H560">
        <v>15.52</v>
      </c>
      <c r="I560" s="4" t="str">
        <f t="shared" si="32"/>
        <v>Admis</v>
      </c>
      <c r="J560" s="4" t="str">
        <f t="shared" si="33"/>
        <v>Eligible</v>
      </c>
      <c r="K560">
        <v>11.2</v>
      </c>
      <c r="L560" s="6" t="str">
        <f t="shared" si="34"/>
        <v>RAS</v>
      </c>
      <c r="M560" s="6" t="str">
        <f t="shared" si="35"/>
        <v>Hors Data</v>
      </c>
      <c r="N560" s="8" t="str" cm="1">
        <f t="array" ref="N560">_xlfn.IFS(H560&gt;=16,"Excellent",H560&gt;=14,"Très bien",H560&gt;=12,"Bien",H560&gt;=10,"Passable",TRUE,"Insuffisant")</f>
        <v>Très bien</v>
      </c>
      <c r="O560">
        <v>0.86670000000000003</v>
      </c>
      <c r="P560">
        <v>130000</v>
      </c>
      <c r="Q560" s="2">
        <v>45651</v>
      </c>
    </row>
    <row r="561" spans="1:17" x14ac:dyDescent="0.45">
      <c r="A561" t="s">
        <v>851</v>
      </c>
      <c r="B561" t="s">
        <v>852</v>
      </c>
      <c r="C561" t="s">
        <v>19</v>
      </c>
      <c r="D561" t="s">
        <v>20</v>
      </c>
      <c r="E561" t="s">
        <v>29</v>
      </c>
      <c r="F561">
        <v>17.71</v>
      </c>
      <c r="G561">
        <v>15.09</v>
      </c>
      <c r="H561">
        <v>16.510000000000002</v>
      </c>
      <c r="I561" s="4" t="str">
        <f t="shared" si="32"/>
        <v>Admis</v>
      </c>
      <c r="J561" s="4" t="str">
        <f t="shared" si="33"/>
        <v>Eligible</v>
      </c>
      <c r="K561">
        <v>15.49</v>
      </c>
      <c r="L561" s="6" t="str">
        <f t="shared" si="34"/>
        <v>RAS</v>
      </c>
      <c r="M561" s="6" t="str">
        <f t="shared" si="35"/>
        <v>Hors Data</v>
      </c>
      <c r="N561" s="8" t="str" cm="1">
        <f t="array" ref="N561">_xlfn.IFS(H561&gt;=16,"Excellent",H561&gt;=14,"Très bien",H561&gt;=12,"Bien",H561&gt;=10,"Passable",TRUE,"Insuffisant")</f>
        <v>Excellent</v>
      </c>
      <c r="O561">
        <v>0.8669</v>
      </c>
      <c r="P561">
        <v>100000</v>
      </c>
      <c r="Q561" s="2">
        <v>46031</v>
      </c>
    </row>
    <row r="562" spans="1:17" x14ac:dyDescent="0.45">
      <c r="A562" t="s">
        <v>853</v>
      </c>
      <c r="B562" t="s">
        <v>250</v>
      </c>
      <c r="C562" t="s">
        <v>19</v>
      </c>
      <c r="D562" t="s">
        <v>20</v>
      </c>
      <c r="E562" t="s">
        <v>16</v>
      </c>
      <c r="F562">
        <v>13.5</v>
      </c>
      <c r="G562">
        <v>14.9</v>
      </c>
      <c r="H562">
        <v>12.75</v>
      </c>
      <c r="I562" s="4" t="str">
        <f t="shared" si="32"/>
        <v>Admis</v>
      </c>
      <c r="J562" s="4" t="str">
        <f t="shared" si="33"/>
        <v>Eligible</v>
      </c>
      <c r="K562">
        <v>15.04</v>
      </c>
      <c r="L562" s="6" t="str">
        <f t="shared" si="34"/>
        <v>RAS</v>
      </c>
      <c r="M562" s="6" t="str">
        <f t="shared" si="35"/>
        <v>Data</v>
      </c>
      <c r="N562" s="8" t="str" cm="1">
        <f t="array" ref="N562">_xlfn.IFS(H562&gt;=16,"Excellent",H562&gt;=14,"Très bien",H562&gt;=12,"Bien",H562&gt;=10,"Passable",TRUE,"Insuffisant")</f>
        <v>Bien</v>
      </c>
      <c r="O562">
        <v>0.91290000000000004</v>
      </c>
      <c r="P562">
        <v>120000</v>
      </c>
      <c r="Q562" s="2">
        <v>45946</v>
      </c>
    </row>
    <row r="563" spans="1:17" x14ac:dyDescent="0.45">
      <c r="A563" t="s">
        <v>854</v>
      </c>
      <c r="B563" t="s">
        <v>634</v>
      </c>
      <c r="C563" t="s">
        <v>14</v>
      </c>
      <c r="D563" t="s">
        <v>28</v>
      </c>
      <c r="E563" t="s">
        <v>16</v>
      </c>
      <c r="F563">
        <v>7.43</v>
      </c>
      <c r="G563">
        <v>6.75</v>
      </c>
      <c r="H563">
        <v>6.27</v>
      </c>
      <c r="I563" s="4" t="str">
        <f t="shared" si="32"/>
        <v>Non admis</v>
      </c>
      <c r="J563" s="4" t="str">
        <f t="shared" si="33"/>
        <v>Non eligible</v>
      </c>
      <c r="K563">
        <v>7.15</v>
      </c>
      <c r="L563" s="6" t="str">
        <f t="shared" si="34"/>
        <v>A surveiller</v>
      </c>
      <c r="M563" s="6" t="str">
        <f t="shared" si="35"/>
        <v>Data</v>
      </c>
      <c r="N563" s="8" t="str" cm="1">
        <f t="array" ref="N563">_xlfn.IFS(H563&gt;=16,"Excellent",H563&gt;=14,"Très bien",H563&gt;=12,"Bien",H563&gt;=10,"Passable",TRUE,"Insuffisant")</f>
        <v>Insuffisant</v>
      </c>
      <c r="O563">
        <v>0.7671</v>
      </c>
      <c r="P563">
        <v>50000</v>
      </c>
      <c r="Q563" s="2">
        <v>45963</v>
      </c>
    </row>
    <row r="564" spans="1:17" x14ac:dyDescent="0.45">
      <c r="A564" t="s">
        <v>855</v>
      </c>
      <c r="B564" t="s">
        <v>656</v>
      </c>
      <c r="C564" t="s">
        <v>14</v>
      </c>
      <c r="D564" t="s">
        <v>28</v>
      </c>
      <c r="E564" t="s">
        <v>21</v>
      </c>
      <c r="F564">
        <v>16.18</v>
      </c>
      <c r="G564">
        <v>15.66</v>
      </c>
      <c r="H564">
        <v>14.68</v>
      </c>
      <c r="I564" s="4" t="str">
        <f t="shared" si="32"/>
        <v>Admis</v>
      </c>
      <c r="J564" s="4" t="str">
        <f t="shared" si="33"/>
        <v>Non eligible</v>
      </c>
      <c r="K564">
        <v>15.39</v>
      </c>
      <c r="L564" s="6" t="str">
        <f t="shared" si="34"/>
        <v>RAS</v>
      </c>
      <c r="M564" s="6" t="str">
        <f t="shared" si="35"/>
        <v>Hors Data</v>
      </c>
      <c r="N564" s="8" t="str" cm="1">
        <f t="array" ref="N564">_xlfn.IFS(H564&gt;=16,"Excellent",H564&gt;=14,"Très bien",H564&gt;=12,"Bien",H564&gt;=10,"Passable",TRUE,"Insuffisant")</f>
        <v>Très bien</v>
      </c>
      <c r="O564">
        <v>0.76170000000000004</v>
      </c>
      <c r="P564">
        <v>110000</v>
      </c>
      <c r="Q564" s="2">
        <v>45686</v>
      </c>
    </row>
    <row r="565" spans="1:17" x14ac:dyDescent="0.45">
      <c r="A565" t="s">
        <v>856</v>
      </c>
      <c r="B565" t="s">
        <v>731</v>
      </c>
      <c r="C565" t="s">
        <v>14</v>
      </c>
      <c r="D565" t="s">
        <v>15</v>
      </c>
      <c r="E565" t="s">
        <v>16</v>
      </c>
      <c r="F565">
        <v>15.56</v>
      </c>
      <c r="G565">
        <v>18.57</v>
      </c>
      <c r="H565">
        <v>19.05</v>
      </c>
      <c r="I565" s="4" t="str">
        <f t="shared" si="32"/>
        <v>Admis</v>
      </c>
      <c r="J565" s="4" t="str">
        <f t="shared" si="33"/>
        <v>Eligible</v>
      </c>
      <c r="K565">
        <v>8.32</v>
      </c>
      <c r="L565" s="6" t="str">
        <f t="shared" si="34"/>
        <v>RAS</v>
      </c>
      <c r="M565" s="6" t="str">
        <f t="shared" si="35"/>
        <v>Data</v>
      </c>
      <c r="N565" s="8" t="str" cm="1">
        <f t="array" ref="N565">_xlfn.IFS(H565&gt;=16,"Excellent",H565&gt;=14,"Très bien",H565&gt;=12,"Bien",H565&gt;=10,"Passable",TRUE,"Insuffisant")</f>
        <v>Excellent</v>
      </c>
      <c r="O565">
        <v>0.90059999999999996</v>
      </c>
      <c r="P565">
        <v>110000</v>
      </c>
      <c r="Q565" s="2">
        <v>45751</v>
      </c>
    </row>
    <row r="566" spans="1:17" x14ac:dyDescent="0.45">
      <c r="A566" t="s">
        <v>857</v>
      </c>
      <c r="B566" t="s">
        <v>309</v>
      </c>
      <c r="C566" t="s">
        <v>19</v>
      </c>
      <c r="D566" t="s">
        <v>32</v>
      </c>
      <c r="E566" t="s">
        <v>16</v>
      </c>
      <c r="F566">
        <v>14.5</v>
      </c>
      <c r="G566">
        <v>16.54</v>
      </c>
      <c r="H566">
        <v>16.02</v>
      </c>
      <c r="I566" s="4" t="str">
        <f t="shared" si="32"/>
        <v>Admis</v>
      </c>
      <c r="J566" s="4" t="str">
        <f t="shared" si="33"/>
        <v>Non eligible</v>
      </c>
      <c r="K566">
        <v>13.4</v>
      </c>
      <c r="L566" s="6" t="str">
        <f t="shared" si="34"/>
        <v>RAS</v>
      </c>
      <c r="M566" s="6" t="str">
        <f t="shared" si="35"/>
        <v>Data</v>
      </c>
      <c r="N566" s="8" t="str" cm="1">
        <f t="array" ref="N566">_xlfn.IFS(H566&gt;=16,"Excellent",H566&gt;=14,"Très bien",H566&gt;=12,"Bien",H566&gt;=10,"Passable",TRUE,"Insuffisant")</f>
        <v>Excellent</v>
      </c>
      <c r="O566">
        <v>0.76729999999999998</v>
      </c>
      <c r="P566">
        <v>100000</v>
      </c>
      <c r="Q566" s="2">
        <v>45960</v>
      </c>
    </row>
    <row r="567" spans="1:17" x14ac:dyDescent="0.45">
      <c r="A567" t="s">
        <v>858</v>
      </c>
      <c r="B567" t="s">
        <v>859</v>
      </c>
      <c r="C567" t="s">
        <v>14</v>
      </c>
      <c r="D567" t="s">
        <v>15</v>
      </c>
      <c r="E567" t="s">
        <v>42</v>
      </c>
      <c r="F567">
        <v>14.84</v>
      </c>
      <c r="G567">
        <v>18.399999999999999</v>
      </c>
      <c r="H567">
        <v>15.22</v>
      </c>
      <c r="I567" s="4" t="str">
        <f t="shared" si="32"/>
        <v>Admis</v>
      </c>
      <c r="J567" s="4" t="str">
        <f t="shared" si="33"/>
        <v>Eligible</v>
      </c>
      <c r="K567">
        <v>16.89</v>
      </c>
      <c r="L567" s="6" t="str">
        <f t="shared" si="34"/>
        <v>RAS</v>
      </c>
      <c r="M567" s="6" t="str">
        <f t="shared" si="35"/>
        <v>Hors Data</v>
      </c>
      <c r="N567" s="8" t="str" cm="1">
        <f t="array" ref="N567">_xlfn.IFS(H567&gt;=16,"Excellent",H567&gt;=14,"Très bien",H567&gt;=12,"Bien",H567&gt;=10,"Passable",TRUE,"Insuffisant")</f>
        <v>Très bien</v>
      </c>
      <c r="O567">
        <v>0.89539999999999997</v>
      </c>
      <c r="P567">
        <v>90000</v>
      </c>
      <c r="Q567" s="2">
        <v>45745</v>
      </c>
    </row>
    <row r="568" spans="1:17" x14ac:dyDescent="0.45">
      <c r="A568" t="s">
        <v>860</v>
      </c>
      <c r="B568" t="s">
        <v>323</v>
      </c>
      <c r="C568" t="s">
        <v>14</v>
      </c>
      <c r="D568" t="s">
        <v>47</v>
      </c>
      <c r="E568" t="s">
        <v>16</v>
      </c>
      <c r="F568">
        <v>13.96</v>
      </c>
      <c r="G568">
        <v>14.84</v>
      </c>
      <c r="H568">
        <v>10.29</v>
      </c>
      <c r="I568" s="4" t="str">
        <f t="shared" si="32"/>
        <v>Admis</v>
      </c>
      <c r="J568" s="4" t="str">
        <f t="shared" si="33"/>
        <v>Non eligible</v>
      </c>
      <c r="K568">
        <v>11.16</v>
      </c>
      <c r="L568" s="6" t="str">
        <f t="shared" si="34"/>
        <v>RAS</v>
      </c>
      <c r="M568" s="6" t="str">
        <f t="shared" si="35"/>
        <v>Data</v>
      </c>
      <c r="N568" s="8" t="str" cm="1">
        <f t="array" ref="N568">_xlfn.IFS(H568&gt;=16,"Excellent",H568&gt;=14,"Très bien",H568&gt;=12,"Bien",H568&gt;=10,"Passable",TRUE,"Insuffisant")</f>
        <v>Passable</v>
      </c>
      <c r="O568">
        <v>0.91439999999999999</v>
      </c>
      <c r="P568">
        <v>120000</v>
      </c>
      <c r="Q568" s="2">
        <v>46021</v>
      </c>
    </row>
    <row r="569" spans="1:17" x14ac:dyDescent="0.45">
      <c r="A569" t="s">
        <v>861</v>
      </c>
      <c r="B569" t="s">
        <v>522</v>
      </c>
      <c r="C569" t="s">
        <v>14</v>
      </c>
      <c r="D569" t="s">
        <v>35</v>
      </c>
      <c r="E569" t="s">
        <v>42</v>
      </c>
      <c r="F569">
        <v>16.809999999999999</v>
      </c>
      <c r="G569">
        <v>17.98</v>
      </c>
      <c r="H569">
        <v>19.260000000000002</v>
      </c>
      <c r="I569" s="4" t="str">
        <f t="shared" si="32"/>
        <v>Admis</v>
      </c>
      <c r="J569" s="4" t="str">
        <f t="shared" si="33"/>
        <v>Non eligible</v>
      </c>
      <c r="K569">
        <v>20</v>
      </c>
      <c r="L569" s="6" t="str">
        <f t="shared" si="34"/>
        <v>RAS</v>
      </c>
      <c r="M569" s="6" t="str">
        <f t="shared" si="35"/>
        <v>Hors Data</v>
      </c>
      <c r="N569" s="8" t="str" cm="1">
        <f t="array" ref="N569">_xlfn.IFS(H569&gt;=16,"Excellent",H569&gt;=14,"Très bien",H569&gt;=12,"Bien",H569&gt;=10,"Passable",TRUE,"Insuffisant")</f>
        <v>Excellent</v>
      </c>
      <c r="O569">
        <v>0.6361</v>
      </c>
      <c r="P569">
        <v>100000</v>
      </c>
      <c r="Q569" s="2">
        <v>45563</v>
      </c>
    </row>
    <row r="570" spans="1:17" x14ac:dyDescent="0.45">
      <c r="A570" t="s">
        <v>862</v>
      </c>
      <c r="B570" t="s">
        <v>96</v>
      </c>
      <c r="C570" t="s">
        <v>19</v>
      </c>
      <c r="D570" t="s">
        <v>15</v>
      </c>
      <c r="E570" t="s">
        <v>42</v>
      </c>
      <c r="F570">
        <v>11.75</v>
      </c>
      <c r="G570">
        <v>9.0399999999999991</v>
      </c>
      <c r="H570">
        <v>9.32</v>
      </c>
      <c r="I570" s="4" t="str">
        <f t="shared" si="32"/>
        <v>Non admis</v>
      </c>
      <c r="J570" s="4" t="str">
        <f t="shared" si="33"/>
        <v>Non eligible</v>
      </c>
      <c r="K570">
        <v>10.25</v>
      </c>
      <c r="L570" s="6" t="str">
        <f t="shared" si="34"/>
        <v>A surveiller</v>
      </c>
      <c r="M570" s="6" t="str">
        <f t="shared" si="35"/>
        <v>Hors Data</v>
      </c>
      <c r="N570" s="8" t="str" cm="1">
        <f t="array" ref="N570">_xlfn.IFS(H570&gt;=16,"Excellent",H570&gt;=14,"Très bien",H570&gt;=12,"Bien",H570&gt;=10,"Passable",TRUE,"Insuffisant")</f>
        <v>Insuffisant</v>
      </c>
      <c r="O570">
        <v>0.79779999999999995</v>
      </c>
      <c r="P570">
        <v>120000</v>
      </c>
      <c r="Q570" s="2">
        <v>45586</v>
      </c>
    </row>
    <row r="571" spans="1:17" x14ac:dyDescent="0.45">
      <c r="A571" t="s">
        <v>863</v>
      </c>
      <c r="B571" t="s">
        <v>819</v>
      </c>
      <c r="C571" t="s">
        <v>19</v>
      </c>
      <c r="D571" t="s">
        <v>20</v>
      </c>
      <c r="E571" t="s">
        <v>42</v>
      </c>
      <c r="F571">
        <v>14.89</v>
      </c>
      <c r="G571">
        <v>14.41</v>
      </c>
      <c r="H571">
        <v>14.11</v>
      </c>
      <c r="I571" s="4" t="str">
        <f t="shared" si="32"/>
        <v>Admis</v>
      </c>
      <c r="J571" s="4" t="str">
        <f t="shared" si="33"/>
        <v>Eligible</v>
      </c>
      <c r="K571">
        <v>15.13</v>
      </c>
      <c r="L571" s="6" t="str">
        <f t="shared" si="34"/>
        <v>RAS</v>
      </c>
      <c r="M571" s="6" t="str">
        <f t="shared" si="35"/>
        <v>Hors Data</v>
      </c>
      <c r="N571" s="8" t="str" cm="1">
        <f t="array" ref="N571">_xlfn.IFS(H571&gt;=16,"Excellent",H571&gt;=14,"Très bien",H571&gt;=12,"Bien",H571&gt;=10,"Passable",TRUE,"Insuffisant")</f>
        <v>Très bien</v>
      </c>
      <c r="O571">
        <v>0.91149999999999998</v>
      </c>
      <c r="P571">
        <v>60000</v>
      </c>
      <c r="Q571" s="2">
        <v>46045</v>
      </c>
    </row>
    <row r="572" spans="1:17" x14ac:dyDescent="0.45">
      <c r="A572" t="s">
        <v>864</v>
      </c>
      <c r="B572" t="s">
        <v>605</v>
      </c>
      <c r="C572" t="s">
        <v>19</v>
      </c>
      <c r="D572" t="s">
        <v>35</v>
      </c>
      <c r="E572" t="s">
        <v>29</v>
      </c>
      <c r="F572">
        <v>12.65</v>
      </c>
      <c r="G572">
        <v>8.6199999999999992</v>
      </c>
      <c r="H572">
        <v>11.2</v>
      </c>
      <c r="I572" s="4" t="str">
        <f t="shared" si="32"/>
        <v>Admis</v>
      </c>
      <c r="J572" s="4" t="str">
        <f t="shared" si="33"/>
        <v>Non eligible</v>
      </c>
      <c r="K572">
        <v>5.74</v>
      </c>
      <c r="L572" s="6" t="str">
        <f t="shared" si="34"/>
        <v>RAS</v>
      </c>
      <c r="M572" s="6" t="str">
        <f t="shared" si="35"/>
        <v>Hors Data</v>
      </c>
      <c r="N572" s="8" t="str" cm="1">
        <f t="array" ref="N572">_xlfn.IFS(H572&gt;=16,"Excellent",H572&gt;=14,"Très bien",H572&gt;=12,"Bien",H572&gt;=10,"Passable",TRUE,"Insuffisant")</f>
        <v>Passable</v>
      </c>
      <c r="O572">
        <v>0.67059999999999997</v>
      </c>
      <c r="P572">
        <v>100000</v>
      </c>
      <c r="Q572" s="2">
        <v>45967</v>
      </c>
    </row>
    <row r="573" spans="1:17" x14ac:dyDescent="0.45">
      <c r="A573" t="s">
        <v>865</v>
      </c>
      <c r="B573" t="s">
        <v>866</v>
      </c>
      <c r="C573" t="s">
        <v>14</v>
      </c>
      <c r="D573" t="s">
        <v>15</v>
      </c>
      <c r="E573" t="s">
        <v>21</v>
      </c>
      <c r="F573">
        <v>8.91</v>
      </c>
      <c r="G573">
        <v>6.12</v>
      </c>
      <c r="H573">
        <v>10.17</v>
      </c>
      <c r="I573" s="4" t="str">
        <f t="shared" si="32"/>
        <v>Admis</v>
      </c>
      <c r="J573" s="4" t="str">
        <f t="shared" si="33"/>
        <v>Non eligible</v>
      </c>
      <c r="K573">
        <v>10.35</v>
      </c>
      <c r="L573" s="6" t="str">
        <f t="shared" si="34"/>
        <v>A surveiller</v>
      </c>
      <c r="M573" s="6" t="str">
        <f t="shared" si="35"/>
        <v>Hors Data</v>
      </c>
      <c r="N573" s="8" t="str" cm="1">
        <f t="array" ref="N573">_xlfn.IFS(H573&gt;=16,"Excellent",H573&gt;=14,"Très bien",H573&gt;=12,"Bien",H573&gt;=10,"Passable",TRUE,"Insuffisant")</f>
        <v>Passable</v>
      </c>
      <c r="O573">
        <v>0.97309999999999997</v>
      </c>
      <c r="P573">
        <v>80000</v>
      </c>
      <c r="Q573" s="2">
        <v>45566</v>
      </c>
    </row>
    <row r="574" spans="1:17" x14ac:dyDescent="0.45">
      <c r="A574" t="s">
        <v>867</v>
      </c>
      <c r="B574" t="s">
        <v>103</v>
      </c>
      <c r="C574" t="s">
        <v>14</v>
      </c>
      <c r="D574" t="s">
        <v>35</v>
      </c>
      <c r="E574" t="s">
        <v>42</v>
      </c>
      <c r="F574">
        <v>16.13</v>
      </c>
      <c r="G574">
        <v>17.690000000000001</v>
      </c>
      <c r="H574">
        <v>15.54</v>
      </c>
      <c r="I574" s="4" t="str">
        <f t="shared" si="32"/>
        <v>Admis</v>
      </c>
      <c r="J574" s="4" t="str">
        <f t="shared" si="33"/>
        <v>Eligible</v>
      </c>
      <c r="K574">
        <v>14.87</v>
      </c>
      <c r="L574" s="6" t="str">
        <f t="shared" si="34"/>
        <v>RAS</v>
      </c>
      <c r="M574" s="6" t="str">
        <f t="shared" si="35"/>
        <v>Hors Data</v>
      </c>
      <c r="N574" s="8" t="str" cm="1">
        <f t="array" ref="N574">_xlfn.IFS(H574&gt;=16,"Excellent",H574&gt;=14,"Très bien",H574&gt;=12,"Bien",H574&gt;=10,"Passable",TRUE,"Insuffisant")</f>
        <v>Très bien</v>
      </c>
      <c r="O574">
        <v>0.84619999999999995</v>
      </c>
      <c r="P574">
        <v>120000</v>
      </c>
      <c r="Q574" s="2">
        <v>46165</v>
      </c>
    </row>
    <row r="575" spans="1:17" x14ac:dyDescent="0.45">
      <c r="A575" t="s">
        <v>868</v>
      </c>
      <c r="B575" t="s">
        <v>869</v>
      </c>
      <c r="C575" t="s">
        <v>14</v>
      </c>
      <c r="D575" t="s">
        <v>15</v>
      </c>
      <c r="E575" t="s">
        <v>29</v>
      </c>
      <c r="F575">
        <v>10.64</v>
      </c>
      <c r="G575">
        <v>11.97</v>
      </c>
      <c r="H575">
        <v>12.87</v>
      </c>
      <c r="I575" s="4" t="str">
        <f t="shared" si="32"/>
        <v>Admis</v>
      </c>
      <c r="J575" s="4" t="str">
        <f t="shared" si="33"/>
        <v>Non eligible</v>
      </c>
      <c r="K575">
        <v>8.6</v>
      </c>
      <c r="L575" s="6" t="str">
        <f t="shared" si="34"/>
        <v>RAS</v>
      </c>
      <c r="M575" s="6" t="str">
        <f t="shared" si="35"/>
        <v>Hors Data</v>
      </c>
      <c r="N575" s="8" t="str" cm="1">
        <f t="array" ref="N575">_xlfn.IFS(H575&gt;=16,"Excellent",H575&gt;=14,"Très bien",H575&gt;=12,"Bien",H575&gt;=10,"Passable",TRUE,"Insuffisant")</f>
        <v>Bien</v>
      </c>
      <c r="O575">
        <v>0.78520000000000001</v>
      </c>
      <c r="P575">
        <v>120000</v>
      </c>
      <c r="Q575" s="2">
        <v>45539</v>
      </c>
    </row>
    <row r="576" spans="1:17" x14ac:dyDescent="0.45">
      <c r="A576" t="s">
        <v>870</v>
      </c>
      <c r="B576" t="s">
        <v>476</v>
      </c>
      <c r="C576" t="s">
        <v>14</v>
      </c>
      <c r="D576" t="s">
        <v>47</v>
      </c>
      <c r="E576" t="s">
        <v>16</v>
      </c>
      <c r="F576">
        <v>16.559999999999999</v>
      </c>
      <c r="G576">
        <v>17.98</v>
      </c>
      <c r="H576">
        <v>16.309999999999999</v>
      </c>
      <c r="I576" s="4" t="str">
        <f t="shared" si="32"/>
        <v>Admis</v>
      </c>
      <c r="J576" s="4" t="str">
        <f t="shared" si="33"/>
        <v>Non eligible</v>
      </c>
      <c r="K576">
        <v>13.36</v>
      </c>
      <c r="L576" s="6" t="str">
        <f t="shared" si="34"/>
        <v>RAS</v>
      </c>
      <c r="M576" s="6" t="str">
        <f t="shared" si="35"/>
        <v>Data</v>
      </c>
      <c r="N576" s="8" t="str" cm="1">
        <f t="array" ref="N576">_xlfn.IFS(H576&gt;=16,"Excellent",H576&gt;=14,"Très bien",H576&gt;=12,"Bien",H576&gt;=10,"Passable",TRUE,"Insuffisant")</f>
        <v>Excellent</v>
      </c>
      <c r="O576">
        <v>0.72130000000000005</v>
      </c>
      <c r="P576">
        <v>120000</v>
      </c>
      <c r="Q576" s="2">
        <v>46204</v>
      </c>
    </row>
    <row r="577" spans="1:17" x14ac:dyDescent="0.45">
      <c r="A577" t="s">
        <v>871</v>
      </c>
      <c r="B577" t="s">
        <v>872</v>
      </c>
      <c r="C577" t="s">
        <v>14</v>
      </c>
      <c r="D577" t="s">
        <v>47</v>
      </c>
      <c r="E577" t="s">
        <v>29</v>
      </c>
      <c r="F577">
        <v>11.14</v>
      </c>
      <c r="G577">
        <v>15.34</v>
      </c>
      <c r="H577">
        <v>10.02</v>
      </c>
      <c r="I577" s="4" t="str">
        <f t="shared" si="32"/>
        <v>Admis</v>
      </c>
      <c r="J577" s="4" t="str">
        <f t="shared" si="33"/>
        <v>Non eligible</v>
      </c>
      <c r="K577">
        <v>17.38</v>
      </c>
      <c r="L577" s="6" t="str">
        <f t="shared" si="34"/>
        <v>RAS</v>
      </c>
      <c r="M577" s="6" t="str">
        <f t="shared" si="35"/>
        <v>Hors Data</v>
      </c>
      <c r="N577" s="8" t="str" cm="1">
        <f t="array" ref="N577">_xlfn.IFS(H577&gt;=16,"Excellent",H577&gt;=14,"Très bien",H577&gt;=12,"Bien",H577&gt;=10,"Passable",TRUE,"Insuffisant")</f>
        <v>Passable</v>
      </c>
      <c r="O577">
        <v>0.72009999999999996</v>
      </c>
      <c r="P577">
        <v>70000</v>
      </c>
      <c r="Q577" s="2">
        <v>46046</v>
      </c>
    </row>
    <row r="578" spans="1:17" x14ac:dyDescent="0.45">
      <c r="A578" t="s">
        <v>873</v>
      </c>
      <c r="B578" t="s">
        <v>874</v>
      </c>
      <c r="C578" t="s">
        <v>19</v>
      </c>
      <c r="D578" t="s">
        <v>47</v>
      </c>
      <c r="E578" t="s">
        <v>16</v>
      </c>
      <c r="F578">
        <v>12.15</v>
      </c>
      <c r="G578">
        <v>12.28</v>
      </c>
      <c r="H578">
        <v>13.32</v>
      </c>
      <c r="I578" s="4" t="str">
        <f t="shared" si="32"/>
        <v>Admis</v>
      </c>
      <c r="J578" s="4" t="str">
        <f t="shared" si="33"/>
        <v>Non eligible</v>
      </c>
      <c r="K578">
        <v>12.51</v>
      </c>
      <c r="L578" s="6" t="str">
        <f t="shared" si="34"/>
        <v>RAS</v>
      </c>
      <c r="M578" s="6" t="str">
        <f t="shared" si="35"/>
        <v>Data</v>
      </c>
      <c r="N578" s="8" t="str" cm="1">
        <f t="array" ref="N578">_xlfn.IFS(H578&gt;=16,"Excellent",H578&gt;=14,"Très bien",H578&gt;=12,"Bien",H578&gt;=10,"Passable",TRUE,"Insuffisant")</f>
        <v>Bien</v>
      </c>
      <c r="O578">
        <v>0.61860000000000004</v>
      </c>
      <c r="P578">
        <v>85000</v>
      </c>
      <c r="Q578" s="2">
        <v>46227</v>
      </c>
    </row>
    <row r="579" spans="1:17" x14ac:dyDescent="0.45">
      <c r="A579" t="s">
        <v>875</v>
      </c>
      <c r="B579" t="s">
        <v>484</v>
      </c>
      <c r="C579" t="s">
        <v>19</v>
      </c>
      <c r="D579" t="s">
        <v>35</v>
      </c>
      <c r="E579" t="s">
        <v>16</v>
      </c>
      <c r="F579">
        <v>12.58</v>
      </c>
      <c r="G579">
        <v>19.02</v>
      </c>
      <c r="H579">
        <v>19.43</v>
      </c>
      <c r="I579" s="4" t="str">
        <f t="shared" ref="I579:I642" si="36">IF(H579&gt;=10,"Admis","Non admis")</f>
        <v>Admis</v>
      </c>
      <c r="J579" s="4" t="str">
        <f t="shared" ref="J579:J642" si="37">IF(AND(F579&gt;=12,H579&gt;=12,O579&gt;=0.8),"Eligible","Non eligible")</f>
        <v>Eligible</v>
      </c>
      <c r="K579">
        <v>17.7</v>
      </c>
      <c r="L579" s="6" t="str">
        <f t="shared" ref="L579:L642" si="38">IF(OR(F579&lt;10,H579&lt;10),"A surveiller","RAS")</f>
        <v>RAS</v>
      </c>
      <c r="M579" s="6" t="str">
        <f t="shared" ref="M579:M642" si="39">IF(NOT(E579="Data"),"Hors Data","Data")</f>
        <v>Data</v>
      </c>
      <c r="N579" s="8" t="str" cm="1">
        <f t="array" ref="N579">_xlfn.IFS(H579&gt;=16,"Excellent",H579&gt;=14,"Très bien",H579&gt;=12,"Bien",H579&gt;=10,"Passable",TRUE,"Insuffisant")</f>
        <v>Excellent</v>
      </c>
      <c r="O579">
        <v>0.88939999999999997</v>
      </c>
      <c r="P579">
        <v>50000</v>
      </c>
      <c r="Q579" s="2">
        <v>46200</v>
      </c>
    </row>
    <row r="580" spans="1:17" x14ac:dyDescent="0.45">
      <c r="A580" t="s">
        <v>876</v>
      </c>
      <c r="B580" t="s">
        <v>194</v>
      </c>
      <c r="C580" t="s">
        <v>19</v>
      </c>
      <c r="D580" t="s">
        <v>15</v>
      </c>
      <c r="E580" t="s">
        <v>29</v>
      </c>
      <c r="F580">
        <v>13.37</v>
      </c>
      <c r="G580">
        <v>14.83</v>
      </c>
      <c r="H580">
        <v>14.03</v>
      </c>
      <c r="I580" s="4" t="str">
        <f t="shared" si="36"/>
        <v>Admis</v>
      </c>
      <c r="J580" s="4" t="str">
        <f t="shared" si="37"/>
        <v>Eligible</v>
      </c>
      <c r="K580">
        <v>11.61</v>
      </c>
      <c r="L580" s="6" t="str">
        <f t="shared" si="38"/>
        <v>RAS</v>
      </c>
      <c r="M580" s="6" t="str">
        <f t="shared" si="39"/>
        <v>Hors Data</v>
      </c>
      <c r="N580" s="8" t="str" cm="1">
        <f t="array" ref="N580">_xlfn.IFS(H580&gt;=16,"Excellent",H580&gt;=14,"Très bien",H580&gt;=12,"Bien",H580&gt;=10,"Passable",TRUE,"Insuffisant")</f>
        <v>Très bien</v>
      </c>
      <c r="O580">
        <v>0.99139999999999995</v>
      </c>
      <c r="P580">
        <v>130000</v>
      </c>
      <c r="Q580" s="2">
        <v>45755</v>
      </c>
    </row>
    <row r="581" spans="1:17" x14ac:dyDescent="0.45">
      <c r="A581" t="s">
        <v>877</v>
      </c>
      <c r="B581" t="s">
        <v>526</v>
      </c>
      <c r="C581" t="s">
        <v>14</v>
      </c>
      <c r="D581" t="s">
        <v>32</v>
      </c>
      <c r="E581" t="s">
        <v>16</v>
      </c>
      <c r="F581">
        <v>7.41</v>
      </c>
      <c r="G581">
        <v>7.22</v>
      </c>
      <c r="H581">
        <v>13.62</v>
      </c>
      <c r="I581" s="4" t="str">
        <f t="shared" si="36"/>
        <v>Admis</v>
      </c>
      <c r="J581" s="4" t="str">
        <f t="shared" si="37"/>
        <v>Non eligible</v>
      </c>
      <c r="K581">
        <v>4.47</v>
      </c>
      <c r="L581" s="6" t="str">
        <f t="shared" si="38"/>
        <v>A surveiller</v>
      </c>
      <c r="M581" s="6" t="str">
        <f t="shared" si="39"/>
        <v>Data</v>
      </c>
      <c r="N581" s="8" t="str" cm="1">
        <f t="array" ref="N581">_xlfn.IFS(H581&gt;=16,"Excellent",H581&gt;=14,"Très bien",H581&gt;=12,"Bien",H581&gt;=10,"Passable",TRUE,"Insuffisant")</f>
        <v>Bien</v>
      </c>
      <c r="O581">
        <v>0.75329999999999997</v>
      </c>
      <c r="P581">
        <v>70000</v>
      </c>
      <c r="Q581" s="2">
        <v>46065</v>
      </c>
    </row>
    <row r="582" spans="1:17" x14ac:dyDescent="0.45">
      <c r="A582" t="s">
        <v>878</v>
      </c>
      <c r="B582" t="s">
        <v>425</v>
      </c>
      <c r="C582" t="s">
        <v>14</v>
      </c>
      <c r="D582" t="s">
        <v>15</v>
      </c>
      <c r="E582" t="s">
        <v>16</v>
      </c>
      <c r="F582">
        <v>7.98</v>
      </c>
      <c r="G582">
        <v>10.57</v>
      </c>
      <c r="H582">
        <v>14.2</v>
      </c>
      <c r="I582" s="4" t="str">
        <f t="shared" si="36"/>
        <v>Admis</v>
      </c>
      <c r="J582" s="4" t="str">
        <f t="shared" si="37"/>
        <v>Non eligible</v>
      </c>
      <c r="K582">
        <v>13.21</v>
      </c>
      <c r="L582" s="6" t="str">
        <f t="shared" si="38"/>
        <v>A surveiller</v>
      </c>
      <c r="M582" s="6" t="str">
        <f t="shared" si="39"/>
        <v>Data</v>
      </c>
      <c r="N582" s="8" t="str" cm="1">
        <f t="array" ref="N582">_xlfn.IFS(H582&gt;=16,"Excellent",H582&gt;=14,"Très bien",H582&gt;=12,"Bien",H582&gt;=10,"Passable",TRUE,"Insuffisant")</f>
        <v>Très bien</v>
      </c>
      <c r="O582">
        <v>0.68700000000000006</v>
      </c>
      <c r="P582">
        <v>90000</v>
      </c>
      <c r="Q582" s="2">
        <v>45683</v>
      </c>
    </row>
    <row r="583" spans="1:17" x14ac:dyDescent="0.45">
      <c r="A583" t="s">
        <v>879</v>
      </c>
      <c r="B583" t="s">
        <v>44</v>
      </c>
      <c r="C583" t="s">
        <v>19</v>
      </c>
      <c r="D583" t="s">
        <v>32</v>
      </c>
      <c r="E583" t="s">
        <v>29</v>
      </c>
      <c r="F583">
        <v>17.43</v>
      </c>
      <c r="G583">
        <v>10.55</v>
      </c>
      <c r="H583">
        <v>18.43</v>
      </c>
      <c r="I583" s="4" t="str">
        <f t="shared" si="36"/>
        <v>Admis</v>
      </c>
      <c r="J583" s="4" t="str">
        <f t="shared" si="37"/>
        <v>Non eligible</v>
      </c>
      <c r="K583">
        <v>10.16</v>
      </c>
      <c r="L583" s="6" t="str">
        <f t="shared" si="38"/>
        <v>RAS</v>
      </c>
      <c r="M583" s="6" t="str">
        <f t="shared" si="39"/>
        <v>Hors Data</v>
      </c>
      <c r="N583" s="8" t="str" cm="1">
        <f t="array" ref="N583">_xlfn.IFS(H583&gt;=16,"Excellent",H583&gt;=14,"Très bien",H583&gt;=12,"Bien",H583&gt;=10,"Passable",TRUE,"Insuffisant")</f>
        <v>Excellent</v>
      </c>
      <c r="O583">
        <v>0.61609999999999998</v>
      </c>
      <c r="P583">
        <v>85000</v>
      </c>
      <c r="Q583" s="2">
        <v>45866</v>
      </c>
    </row>
    <row r="584" spans="1:17" x14ac:dyDescent="0.45">
      <c r="A584" t="s">
        <v>880</v>
      </c>
      <c r="B584" t="s">
        <v>351</v>
      </c>
      <c r="C584" t="s">
        <v>14</v>
      </c>
      <c r="D584" t="s">
        <v>35</v>
      </c>
      <c r="E584" t="s">
        <v>42</v>
      </c>
      <c r="F584">
        <v>11.73</v>
      </c>
      <c r="G584">
        <v>12.61</v>
      </c>
      <c r="H584">
        <v>20</v>
      </c>
      <c r="I584" s="4" t="str">
        <f t="shared" si="36"/>
        <v>Admis</v>
      </c>
      <c r="J584" s="4" t="str">
        <f t="shared" si="37"/>
        <v>Non eligible</v>
      </c>
      <c r="K584">
        <v>13.29</v>
      </c>
      <c r="L584" s="6" t="str">
        <f t="shared" si="38"/>
        <v>RAS</v>
      </c>
      <c r="M584" s="6" t="str">
        <f t="shared" si="39"/>
        <v>Hors Data</v>
      </c>
      <c r="N584" s="8" t="str" cm="1">
        <f t="array" ref="N584">_xlfn.IFS(H584&gt;=16,"Excellent",H584&gt;=14,"Très bien",H584&gt;=12,"Bien",H584&gt;=10,"Passable",TRUE,"Insuffisant")</f>
        <v>Excellent</v>
      </c>
      <c r="O584">
        <v>0.71809999999999996</v>
      </c>
      <c r="P584">
        <v>120000</v>
      </c>
      <c r="Q584" s="2">
        <v>45704</v>
      </c>
    </row>
    <row r="585" spans="1:17" x14ac:dyDescent="0.45">
      <c r="A585" t="s">
        <v>881</v>
      </c>
      <c r="B585" t="s">
        <v>100</v>
      </c>
      <c r="C585" t="s">
        <v>14</v>
      </c>
      <c r="D585" t="s">
        <v>35</v>
      </c>
      <c r="E585" t="s">
        <v>16</v>
      </c>
      <c r="F585">
        <v>10.87</v>
      </c>
      <c r="G585">
        <v>7.88</v>
      </c>
      <c r="H585">
        <v>10.98</v>
      </c>
      <c r="I585" s="4" t="str">
        <f t="shared" si="36"/>
        <v>Admis</v>
      </c>
      <c r="J585" s="4" t="str">
        <f t="shared" si="37"/>
        <v>Non eligible</v>
      </c>
      <c r="K585">
        <v>8.89</v>
      </c>
      <c r="L585" s="6" t="str">
        <f t="shared" si="38"/>
        <v>RAS</v>
      </c>
      <c r="M585" s="6" t="str">
        <f t="shared" si="39"/>
        <v>Data</v>
      </c>
      <c r="N585" s="8" t="str" cm="1">
        <f t="array" ref="N585">_xlfn.IFS(H585&gt;=16,"Excellent",H585&gt;=14,"Très bien",H585&gt;=12,"Bien",H585&gt;=10,"Passable",TRUE,"Insuffisant")</f>
        <v>Passable</v>
      </c>
      <c r="O585">
        <v>0.78890000000000005</v>
      </c>
      <c r="P585">
        <v>120000</v>
      </c>
      <c r="Q585" s="2">
        <v>45876</v>
      </c>
    </row>
    <row r="586" spans="1:17" x14ac:dyDescent="0.45">
      <c r="A586" t="s">
        <v>882</v>
      </c>
      <c r="B586" t="s">
        <v>522</v>
      </c>
      <c r="C586" t="s">
        <v>14</v>
      </c>
      <c r="D586" t="s">
        <v>47</v>
      </c>
      <c r="E586" t="s">
        <v>29</v>
      </c>
      <c r="F586">
        <v>9.93</v>
      </c>
      <c r="G586">
        <v>12.04</v>
      </c>
      <c r="H586">
        <v>12.03</v>
      </c>
      <c r="I586" s="4" t="str">
        <f t="shared" si="36"/>
        <v>Admis</v>
      </c>
      <c r="J586" s="4" t="str">
        <f t="shared" si="37"/>
        <v>Non eligible</v>
      </c>
      <c r="K586">
        <v>11.88</v>
      </c>
      <c r="L586" s="6" t="str">
        <f t="shared" si="38"/>
        <v>A surveiller</v>
      </c>
      <c r="M586" s="6" t="str">
        <f t="shared" si="39"/>
        <v>Hors Data</v>
      </c>
      <c r="N586" s="8" t="str" cm="1">
        <f t="array" ref="N586">_xlfn.IFS(H586&gt;=16,"Excellent",H586&gt;=14,"Très bien",H586&gt;=12,"Bien",H586&gt;=10,"Passable",TRUE,"Insuffisant")</f>
        <v>Bien</v>
      </c>
      <c r="O586">
        <v>0.79039999999999999</v>
      </c>
      <c r="P586">
        <v>110000</v>
      </c>
      <c r="Q586" s="2">
        <v>46146</v>
      </c>
    </row>
    <row r="587" spans="1:17" x14ac:dyDescent="0.45">
      <c r="A587" t="s">
        <v>883</v>
      </c>
      <c r="B587" t="s">
        <v>535</v>
      </c>
      <c r="C587" t="s">
        <v>19</v>
      </c>
      <c r="D587" t="s">
        <v>20</v>
      </c>
      <c r="E587" t="s">
        <v>16</v>
      </c>
      <c r="F587">
        <v>15.39</v>
      </c>
      <c r="G587">
        <v>10.19</v>
      </c>
      <c r="H587">
        <v>14.21</v>
      </c>
      <c r="I587" s="4" t="str">
        <f t="shared" si="36"/>
        <v>Admis</v>
      </c>
      <c r="J587" s="4" t="str">
        <f t="shared" si="37"/>
        <v>Non eligible</v>
      </c>
      <c r="K587">
        <v>10.17</v>
      </c>
      <c r="L587" s="6" t="str">
        <f t="shared" si="38"/>
        <v>RAS</v>
      </c>
      <c r="M587" s="6" t="str">
        <f t="shared" si="39"/>
        <v>Data</v>
      </c>
      <c r="N587" s="8" t="str" cm="1">
        <f t="array" ref="N587">_xlfn.IFS(H587&gt;=16,"Excellent",H587&gt;=14,"Très bien",H587&gt;=12,"Bien",H587&gt;=10,"Passable",TRUE,"Insuffisant")</f>
        <v>Très bien</v>
      </c>
      <c r="O587">
        <v>0.66379999999999995</v>
      </c>
      <c r="P587">
        <v>100000</v>
      </c>
      <c r="Q587" s="2">
        <v>45841</v>
      </c>
    </row>
    <row r="588" spans="1:17" x14ac:dyDescent="0.45">
      <c r="A588" t="s">
        <v>884</v>
      </c>
      <c r="B588" t="s">
        <v>73</v>
      </c>
      <c r="C588" t="s">
        <v>19</v>
      </c>
      <c r="D588" t="s">
        <v>15</v>
      </c>
      <c r="E588" t="s">
        <v>16</v>
      </c>
      <c r="F588">
        <v>14.13</v>
      </c>
      <c r="G588">
        <v>11.75</v>
      </c>
      <c r="H588">
        <v>11.45</v>
      </c>
      <c r="I588" s="4" t="str">
        <f t="shared" si="36"/>
        <v>Admis</v>
      </c>
      <c r="J588" s="4" t="str">
        <f t="shared" si="37"/>
        <v>Non eligible</v>
      </c>
      <c r="K588">
        <v>8.33</v>
      </c>
      <c r="L588" s="6" t="str">
        <f t="shared" si="38"/>
        <v>RAS</v>
      </c>
      <c r="M588" s="6" t="str">
        <f t="shared" si="39"/>
        <v>Data</v>
      </c>
      <c r="N588" s="8" t="str" cm="1">
        <f t="array" ref="N588">_xlfn.IFS(H588&gt;=16,"Excellent",H588&gt;=14,"Très bien",H588&gt;=12,"Bien",H588&gt;=10,"Passable",TRUE,"Insuffisant")</f>
        <v>Passable</v>
      </c>
      <c r="O588">
        <v>0.94240000000000002</v>
      </c>
      <c r="P588">
        <v>60000</v>
      </c>
      <c r="Q588" s="2">
        <v>45600</v>
      </c>
    </row>
    <row r="589" spans="1:17" x14ac:dyDescent="0.45">
      <c r="A589" t="s">
        <v>885</v>
      </c>
      <c r="B589" t="s">
        <v>445</v>
      </c>
      <c r="C589" t="s">
        <v>14</v>
      </c>
      <c r="D589" t="s">
        <v>47</v>
      </c>
      <c r="E589" t="s">
        <v>16</v>
      </c>
      <c r="F589">
        <v>7.43</v>
      </c>
      <c r="G589">
        <v>7.35</v>
      </c>
      <c r="H589">
        <v>10.08</v>
      </c>
      <c r="I589" s="4" t="str">
        <f t="shared" si="36"/>
        <v>Admis</v>
      </c>
      <c r="J589" s="4" t="str">
        <f t="shared" si="37"/>
        <v>Non eligible</v>
      </c>
      <c r="K589">
        <v>7.79</v>
      </c>
      <c r="L589" s="6" t="str">
        <f t="shared" si="38"/>
        <v>A surveiller</v>
      </c>
      <c r="M589" s="6" t="str">
        <f t="shared" si="39"/>
        <v>Data</v>
      </c>
      <c r="N589" s="8" t="str" cm="1">
        <f t="array" ref="N589">_xlfn.IFS(H589&gt;=16,"Excellent",H589&gt;=14,"Très bien",H589&gt;=12,"Bien",H589&gt;=10,"Passable",TRUE,"Insuffisant")</f>
        <v>Passable</v>
      </c>
      <c r="O589">
        <v>0.86570000000000003</v>
      </c>
      <c r="P589">
        <v>130000</v>
      </c>
      <c r="Q589" s="2">
        <v>45763</v>
      </c>
    </row>
    <row r="590" spans="1:17" x14ac:dyDescent="0.45">
      <c r="A590" t="s">
        <v>886</v>
      </c>
      <c r="B590" t="s">
        <v>71</v>
      </c>
      <c r="C590" t="s">
        <v>19</v>
      </c>
      <c r="D590" t="s">
        <v>35</v>
      </c>
      <c r="E590" t="s">
        <v>29</v>
      </c>
      <c r="F590">
        <v>9.7200000000000006</v>
      </c>
      <c r="G590">
        <v>12.52</v>
      </c>
      <c r="H590">
        <v>10.52</v>
      </c>
      <c r="I590" s="4" t="str">
        <f t="shared" si="36"/>
        <v>Admis</v>
      </c>
      <c r="J590" s="4" t="str">
        <f t="shared" si="37"/>
        <v>Non eligible</v>
      </c>
      <c r="K590">
        <v>9.99</v>
      </c>
      <c r="L590" s="6" t="str">
        <f t="shared" si="38"/>
        <v>A surveiller</v>
      </c>
      <c r="M590" s="6" t="str">
        <f t="shared" si="39"/>
        <v>Hors Data</v>
      </c>
      <c r="N590" s="8" t="str" cm="1">
        <f t="array" ref="N590">_xlfn.IFS(H590&gt;=16,"Excellent",H590&gt;=14,"Très bien",H590&gt;=12,"Bien",H590&gt;=10,"Passable",TRUE,"Insuffisant")</f>
        <v>Passable</v>
      </c>
      <c r="O590">
        <v>0.62649999999999995</v>
      </c>
      <c r="P590">
        <v>50000</v>
      </c>
      <c r="Q590" s="2">
        <v>46086</v>
      </c>
    </row>
    <row r="591" spans="1:17" x14ac:dyDescent="0.45">
      <c r="A591" t="s">
        <v>887</v>
      </c>
      <c r="B591" t="s">
        <v>669</v>
      </c>
      <c r="C591" t="s">
        <v>19</v>
      </c>
      <c r="D591" t="s">
        <v>47</v>
      </c>
      <c r="E591" t="s">
        <v>42</v>
      </c>
      <c r="F591">
        <v>12.79</v>
      </c>
      <c r="G591">
        <v>12.8</v>
      </c>
      <c r="H591">
        <v>12.54</v>
      </c>
      <c r="I591" s="4" t="str">
        <f t="shared" si="36"/>
        <v>Admis</v>
      </c>
      <c r="J591" s="4" t="str">
        <f t="shared" si="37"/>
        <v>Eligible</v>
      </c>
      <c r="K591">
        <v>9.66</v>
      </c>
      <c r="L591" s="6" t="str">
        <f t="shared" si="38"/>
        <v>RAS</v>
      </c>
      <c r="M591" s="6" t="str">
        <f t="shared" si="39"/>
        <v>Hors Data</v>
      </c>
      <c r="N591" s="8" t="str" cm="1">
        <f t="array" ref="N591">_xlfn.IFS(H591&gt;=16,"Excellent",H591&gt;=14,"Très bien",H591&gt;=12,"Bien",H591&gt;=10,"Passable",TRUE,"Insuffisant")</f>
        <v>Bien</v>
      </c>
      <c r="O591">
        <v>0.91310000000000002</v>
      </c>
      <c r="P591">
        <v>85000</v>
      </c>
      <c r="Q591" s="2">
        <v>45901</v>
      </c>
    </row>
    <row r="592" spans="1:17" x14ac:dyDescent="0.45">
      <c r="A592" t="s">
        <v>888</v>
      </c>
      <c r="B592" t="s">
        <v>207</v>
      </c>
      <c r="C592" t="s">
        <v>19</v>
      </c>
      <c r="D592" t="s">
        <v>32</v>
      </c>
      <c r="E592" t="s">
        <v>21</v>
      </c>
      <c r="F592">
        <v>15.08</v>
      </c>
      <c r="G592">
        <v>16.95</v>
      </c>
      <c r="H592">
        <v>14.43</v>
      </c>
      <c r="I592" s="4" t="str">
        <f t="shared" si="36"/>
        <v>Admis</v>
      </c>
      <c r="J592" s="4" t="str">
        <f t="shared" si="37"/>
        <v>Non eligible</v>
      </c>
      <c r="K592">
        <v>17.690000000000001</v>
      </c>
      <c r="L592" s="6" t="str">
        <f t="shared" si="38"/>
        <v>RAS</v>
      </c>
      <c r="M592" s="6" t="str">
        <f t="shared" si="39"/>
        <v>Hors Data</v>
      </c>
      <c r="N592" s="8" t="str" cm="1">
        <f t="array" ref="N592">_xlfn.IFS(H592&gt;=16,"Excellent",H592&gt;=14,"Très bien",H592&gt;=12,"Bien",H592&gt;=10,"Passable",TRUE,"Insuffisant")</f>
        <v>Très bien</v>
      </c>
      <c r="O592">
        <v>0.75449999999999995</v>
      </c>
      <c r="P592">
        <v>80000</v>
      </c>
      <c r="Q592" s="2">
        <v>45928</v>
      </c>
    </row>
    <row r="593" spans="1:17" x14ac:dyDescent="0.45">
      <c r="A593" t="s">
        <v>889</v>
      </c>
      <c r="B593" t="s">
        <v>630</v>
      </c>
      <c r="C593" t="s">
        <v>19</v>
      </c>
      <c r="D593" t="s">
        <v>47</v>
      </c>
      <c r="E593" t="s">
        <v>42</v>
      </c>
      <c r="F593">
        <v>15.39</v>
      </c>
      <c r="G593">
        <v>16.190000000000001</v>
      </c>
      <c r="H593">
        <v>14.45</v>
      </c>
      <c r="I593" s="4" t="str">
        <f t="shared" si="36"/>
        <v>Admis</v>
      </c>
      <c r="J593" s="4" t="str">
        <f t="shared" si="37"/>
        <v>Eligible</v>
      </c>
      <c r="K593">
        <v>13</v>
      </c>
      <c r="L593" s="6" t="str">
        <f t="shared" si="38"/>
        <v>RAS</v>
      </c>
      <c r="M593" s="6" t="str">
        <f t="shared" si="39"/>
        <v>Hors Data</v>
      </c>
      <c r="N593" s="8" t="str" cm="1">
        <f t="array" ref="N593">_xlfn.IFS(H593&gt;=16,"Excellent",H593&gt;=14,"Très bien",H593&gt;=12,"Bien",H593&gt;=10,"Passable",TRUE,"Insuffisant")</f>
        <v>Très bien</v>
      </c>
      <c r="O593">
        <v>0.8861</v>
      </c>
      <c r="P593">
        <v>80000</v>
      </c>
      <c r="Q593" s="2">
        <v>45837</v>
      </c>
    </row>
    <row r="594" spans="1:17" x14ac:dyDescent="0.45">
      <c r="A594" t="s">
        <v>890</v>
      </c>
      <c r="B594" t="s">
        <v>872</v>
      </c>
      <c r="C594" t="s">
        <v>14</v>
      </c>
      <c r="D594" t="s">
        <v>15</v>
      </c>
      <c r="E594" t="s">
        <v>42</v>
      </c>
      <c r="F594">
        <v>15.89</v>
      </c>
      <c r="G594">
        <v>10.1</v>
      </c>
      <c r="H594">
        <v>14.2</v>
      </c>
      <c r="I594" s="4" t="str">
        <f t="shared" si="36"/>
        <v>Admis</v>
      </c>
      <c r="J594" s="4" t="str">
        <f t="shared" si="37"/>
        <v>Non eligible</v>
      </c>
      <c r="K594">
        <v>13.65</v>
      </c>
      <c r="L594" s="6" t="str">
        <f t="shared" si="38"/>
        <v>RAS</v>
      </c>
      <c r="M594" s="6" t="str">
        <f t="shared" si="39"/>
        <v>Hors Data</v>
      </c>
      <c r="N594" s="8" t="str" cm="1">
        <f t="array" ref="N594">_xlfn.IFS(H594&gt;=16,"Excellent",H594&gt;=14,"Très bien",H594&gt;=12,"Bien",H594&gt;=10,"Passable",TRUE,"Insuffisant")</f>
        <v>Très bien</v>
      </c>
      <c r="O594">
        <v>0.6996</v>
      </c>
      <c r="P594">
        <v>130000</v>
      </c>
      <c r="Q594" s="2">
        <v>45740</v>
      </c>
    </row>
    <row r="595" spans="1:17" x14ac:dyDescent="0.45">
      <c r="A595" t="s">
        <v>891</v>
      </c>
      <c r="B595" t="s">
        <v>892</v>
      </c>
      <c r="C595" t="s">
        <v>19</v>
      </c>
      <c r="D595" t="s">
        <v>28</v>
      </c>
      <c r="E595" t="s">
        <v>21</v>
      </c>
      <c r="F595">
        <v>10.76</v>
      </c>
      <c r="G595">
        <v>11.44</v>
      </c>
      <c r="H595">
        <v>12.3</v>
      </c>
      <c r="I595" s="4" t="str">
        <f t="shared" si="36"/>
        <v>Admis</v>
      </c>
      <c r="J595" s="4" t="str">
        <f t="shared" si="37"/>
        <v>Non eligible</v>
      </c>
      <c r="K595">
        <v>12.65</v>
      </c>
      <c r="L595" s="6" t="str">
        <f t="shared" si="38"/>
        <v>RAS</v>
      </c>
      <c r="M595" s="6" t="str">
        <f t="shared" si="39"/>
        <v>Hors Data</v>
      </c>
      <c r="N595" s="8" t="str" cm="1">
        <f t="array" ref="N595">_xlfn.IFS(H595&gt;=16,"Excellent",H595&gt;=14,"Très bien",H595&gt;=12,"Bien",H595&gt;=10,"Passable",TRUE,"Insuffisant")</f>
        <v>Bien</v>
      </c>
      <c r="O595">
        <v>0.80689999999999995</v>
      </c>
      <c r="P595">
        <v>70000</v>
      </c>
      <c r="Q595" s="2">
        <v>45954</v>
      </c>
    </row>
    <row r="596" spans="1:17" x14ac:dyDescent="0.45">
      <c r="A596" t="s">
        <v>893</v>
      </c>
      <c r="B596" t="s">
        <v>268</v>
      </c>
      <c r="C596" t="s">
        <v>14</v>
      </c>
      <c r="D596" t="s">
        <v>32</v>
      </c>
      <c r="E596" t="s">
        <v>29</v>
      </c>
      <c r="F596">
        <v>14.09</v>
      </c>
      <c r="G596">
        <v>13.4</v>
      </c>
      <c r="H596">
        <v>9.85</v>
      </c>
      <c r="I596" s="4" t="str">
        <f t="shared" si="36"/>
        <v>Non admis</v>
      </c>
      <c r="J596" s="4" t="str">
        <f t="shared" si="37"/>
        <v>Non eligible</v>
      </c>
      <c r="K596">
        <v>15.9</v>
      </c>
      <c r="L596" s="6" t="str">
        <f t="shared" si="38"/>
        <v>A surveiller</v>
      </c>
      <c r="M596" s="6" t="str">
        <f t="shared" si="39"/>
        <v>Hors Data</v>
      </c>
      <c r="N596" s="8" t="str" cm="1">
        <f t="array" ref="N596">_xlfn.IFS(H596&gt;=16,"Excellent",H596&gt;=14,"Très bien",H596&gt;=12,"Bien",H596&gt;=10,"Passable",TRUE,"Insuffisant")</f>
        <v>Insuffisant</v>
      </c>
      <c r="O596">
        <v>0.94950000000000001</v>
      </c>
      <c r="P596">
        <v>90000</v>
      </c>
      <c r="Q596" s="2">
        <v>45979</v>
      </c>
    </row>
    <row r="597" spans="1:17" x14ac:dyDescent="0.45">
      <c r="A597" t="s">
        <v>894</v>
      </c>
      <c r="B597" t="s">
        <v>406</v>
      </c>
      <c r="C597" t="s">
        <v>19</v>
      </c>
      <c r="D597" t="s">
        <v>47</v>
      </c>
      <c r="E597" t="s">
        <v>21</v>
      </c>
      <c r="F597">
        <v>13.31</v>
      </c>
      <c r="G597">
        <v>10.73</v>
      </c>
      <c r="H597">
        <v>8.2100000000000009</v>
      </c>
      <c r="I597" s="4" t="str">
        <f t="shared" si="36"/>
        <v>Non admis</v>
      </c>
      <c r="J597" s="4" t="str">
        <f t="shared" si="37"/>
        <v>Non eligible</v>
      </c>
      <c r="K597">
        <v>10.82</v>
      </c>
      <c r="L597" s="6" t="str">
        <f t="shared" si="38"/>
        <v>A surveiller</v>
      </c>
      <c r="M597" s="6" t="str">
        <f t="shared" si="39"/>
        <v>Hors Data</v>
      </c>
      <c r="N597" s="8" t="str" cm="1">
        <f t="array" ref="N597">_xlfn.IFS(H597&gt;=16,"Excellent",H597&gt;=14,"Très bien",H597&gt;=12,"Bien",H597&gt;=10,"Passable",TRUE,"Insuffisant")</f>
        <v>Insuffisant</v>
      </c>
      <c r="O597">
        <v>0.86019999999999996</v>
      </c>
      <c r="P597">
        <v>70000</v>
      </c>
      <c r="Q597" s="2">
        <v>46164</v>
      </c>
    </row>
    <row r="598" spans="1:17" x14ac:dyDescent="0.45">
      <c r="A598" t="s">
        <v>895</v>
      </c>
      <c r="B598" t="s">
        <v>704</v>
      </c>
      <c r="C598" t="s">
        <v>19</v>
      </c>
      <c r="D598" t="s">
        <v>47</v>
      </c>
      <c r="E598" t="s">
        <v>21</v>
      </c>
      <c r="F598">
        <v>12.07</v>
      </c>
      <c r="G598">
        <v>10.85</v>
      </c>
      <c r="H598">
        <v>7.96</v>
      </c>
      <c r="I598" s="4" t="str">
        <f t="shared" si="36"/>
        <v>Non admis</v>
      </c>
      <c r="J598" s="4" t="str">
        <f t="shared" si="37"/>
        <v>Non eligible</v>
      </c>
      <c r="K598">
        <v>11.93</v>
      </c>
      <c r="L598" s="6" t="str">
        <f t="shared" si="38"/>
        <v>A surveiller</v>
      </c>
      <c r="M598" s="6" t="str">
        <f t="shared" si="39"/>
        <v>Hors Data</v>
      </c>
      <c r="N598" s="8" t="str" cm="1">
        <f t="array" ref="N598">_xlfn.IFS(H598&gt;=16,"Excellent",H598&gt;=14,"Très bien",H598&gt;=12,"Bien",H598&gt;=10,"Passable",TRUE,"Insuffisant")</f>
        <v>Insuffisant</v>
      </c>
      <c r="O598">
        <v>0.59350000000000003</v>
      </c>
      <c r="P598">
        <v>130000</v>
      </c>
      <c r="Q598" s="2">
        <v>45968</v>
      </c>
    </row>
    <row r="599" spans="1:17" x14ac:dyDescent="0.45">
      <c r="A599" t="s">
        <v>896</v>
      </c>
      <c r="B599" t="s">
        <v>799</v>
      </c>
      <c r="C599" t="s">
        <v>19</v>
      </c>
      <c r="D599" t="s">
        <v>35</v>
      </c>
      <c r="E599" t="s">
        <v>42</v>
      </c>
      <c r="F599">
        <v>10.52</v>
      </c>
      <c r="G599">
        <v>14.4</v>
      </c>
      <c r="H599">
        <v>9.1199999999999992</v>
      </c>
      <c r="I599" s="4" t="str">
        <f t="shared" si="36"/>
        <v>Non admis</v>
      </c>
      <c r="J599" s="4" t="str">
        <f t="shared" si="37"/>
        <v>Non eligible</v>
      </c>
      <c r="K599">
        <v>10.39</v>
      </c>
      <c r="L599" s="6" t="str">
        <f t="shared" si="38"/>
        <v>A surveiller</v>
      </c>
      <c r="M599" s="6" t="str">
        <f t="shared" si="39"/>
        <v>Hors Data</v>
      </c>
      <c r="N599" s="8" t="str" cm="1">
        <f t="array" ref="N599">_xlfn.IFS(H599&gt;=16,"Excellent",H599&gt;=14,"Très bien",H599&gt;=12,"Bien",H599&gt;=10,"Passable",TRUE,"Insuffisant")</f>
        <v>Insuffisant</v>
      </c>
      <c r="O599">
        <v>0.87170000000000003</v>
      </c>
      <c r="P599">
        <v>110000</v>
      </c>
      <c r="Q599" s="2">
        <v>46232</v>
      </c>
    </row>
    <row r="600" spans="1:17" x14ac:dyDescent="0.45">
      <c r="A600" t="s">
        <v>897</v>
      </c>
      <c r="B600" t="s">
        <v>55</v>
      </c>
      <c r="C600" t="s">
        <v>19</v>
      </c>
      <c r="D600" t="s">
        <v>20</v>
      </c>
      <c r="E600" t="s">
        <v>21</v>
      </c>
      <c r="F600">
        <v>11.09</v>
      </c>
      <c r="G600">
        <v>13.91</v>
      </c>
      <c r="H600">
        <v>12.83</v>
      </c>
      <c r="I600" s="4" t="str">
        <f t="shared" si="36"/>
        <v>Admis</v>
      </c>
      <c r="J600" s="4" t="str">
        <f t="shared" si="37"/>
        <v>Non eligible</v>
      </c>
      <c r="K600">
        <v>12.58</v>
      </c>
      <c r="L600" s="6" t="str">
        <f t="shared" si="38"/>
        <v>RAS</v>
      </c>
      <c r="M600" s="6" t="str">
        <f t="shared" si="39"/>
        <v>Hors Data</v>
      </c>
      <c r="N600" s="8" t="str" cm="1">
        <f t="array" ref="N600">_xlfn.IFS(H600&gt;=16,"Excellent",H600&gt;=14,"Très bien",H600&gt;=12,"Bien",H600&gt;=10,"Passable",TRUE,"Insuffisant")</f>
        <v>Bien</v>
      </c>
      <c r="O600">
        <v>0.76070000000000004</v>
      </c>
      <c r="P600">
        <v>80000</v>
      </c>
      <c r="Q600" s="2">
        <v>46114</v>
      </c>
    </row>
    <row r="601" spans="1:17" x14ac:dyDescent="0.45">
      <c r="A601" t="s">
        <v>898</v>
      </c>
      <c r="B601" t="s">
        <v>386</v>
      </c>
      <c r="C601" t="s">
        <v>19</v>
      </c>
      <c r="D601" t="s">
        <v>35</v>
      </c>
      <c r="E601" t="s">
        <v>16</v>
      </c>
      <c r="F601">
        <v>6.42</v>
      </c>
      <c r="G601">
        <v>8.4700000000000006</v>
      </c>
      <c r="H601">
        <v>10.92</v>
      </c>
      <c r="I601" s="4" t="str">
        <f t="shared" si="36"/>
        <v>Admis</v>
      </c>
      <c r="J601" s="4" t="str">
        <f t="shared" si="37"/>
        <v>Non eligible</v>
      </c>
      <c r="K601">
        <v>6.84</v>
      </c>
      <c r="L601" s="6" t="str">
        <f t="shared" si="38"/>
        <v>A surveiller</v>
      </c>
      <c r="M601" s="6" t="str">
        <f t="shared" si="39"/>
        <v>Data</v>
      </c>
      <c r="N601" s="8" t="str" cm="1">
        <f t="array" ref="N601">_xlfn.IFS(H601&gt;=16,"Excellent",H601&gt;=14,"Très bien",H601&gt;=12,"Bien",H601&gt;=10,"Passable",TRUE,"Insuffisant")</f>
        <v>Passable</v>
      </c>
      <c r="O601">
        <v>0.94220000000000004</v>
      </c>
      <c r="P601">
        <v>50000</v>
      </c>
      <c r="Q601" s="2">
        <v>45591</v>
      </c>
    </row>
    <row r="602" spans="1:17" x14ac:dyDescent="0.45">
      <c r="A602" t="s">
        <v>899</v>
      </c>
      <c r="B602" t="s">
        <v>295</v>
      </c>
      <c r="C602" t="s">
        <v>19</v>
      </c>
      <c r="D602" t="s">
        <v>28</v>
      </c>
      <c r="E602" t="s">
        <v>21</v>
      </c>
      <c r="F602">
        <v>11.63</v>
      </c>
      <c r="G602">
        <v>15.85</v>
      </c>
      <c r="H602">
        <v>16.5</v>
      </c>
      <c r="I602" s="4" t="str">
        <f t="shared" si="36"/>
        <v>Admis</v>
      </c>
      <c r="J602" s="4" t="str">
        <f t="shared" si="37"/>
        <v>Non eligible</v>
      </c>
      <c r="K602">
        <v>8.0500000000000007</v>
      </c>
      <c r="L602" s="6" t="str">
        <f t="shared" si="38"/>
        <v>RAS</v>
      </c>
      <c r="M602" s="6" t="str">
        <f t="shared" si="39"/>
        <v>Hors Data</v>
      </c>
      <c r="N602" s="8" t="str" cm="1">
        <f t="array" ref="N602">_xlfn.IFS(H602&gt;=16,"Excellent",H602&gt;=14,"Très bien",H602&gt;=12,"Bien",H602&gt;=10,"Passable",TRUE,"Insuffisant")</f>
        <v>Excellent</v>
      </c>
      <c r="O602">
        <v>0.89649999999999996</v>
      </c>
      <c r="P602">
        <v>60000</v>
      </c>
      <c r="Q602" s="2">
        <v>45810</v>
      </c>
    </row>
    <row r="603" spans="1:17" x14ac:dyDescent="0.45">
      <c r="A603" t="s">
        <v>900</v>
      </c>
      <c r="B603" t="s">
        <v>583</v>
      </c>
      <c r="C603" t="s">
        <v>19</v>
      </c>
      <c r="D603" t="s">
        <v>28</v>
      </c>
      <c r="E603" t="s">
        <v>42</v>
      </c>
      <c r="F603">
        <v>16.239999999999998</v>
      </c>
      <c r="G603">
        <v>17.350000000000001</v>
      </c>
      <c r="H603">
        <v>17.399999999999999</v>
      </c>
      <c r="I603" s="4" t="str">
        <f t="shared" si="36"/>
        <v>Admis</v>
      </c>
      <c r="J603" s="4" t="str">
        <f t="shared" si="37"/>
        <v>Eligible</v>
      </c>
      <c r="K603">
        <v>16.27</v>
      </c>
      <c r="L603" s="6" t="str">
        <f t="shared" si="38"/>
        <v>RAS</v>
      </c>
      <c r="M603" s="6" t="str">
        <f t="shared" si="39"/>
        <v>Hors Data</v>
      </c>
      <c r="N603" s="8" t="str" cm="1">
        <f t="array" ref="N603">_xlfn.IFS(H603&gt;=16,"Excellent",H603&gt;=14,"Très bien",H603&gt;=12,"Bien",H603&gt;=10,"Passable",TRUE,"Insuffisant")</f>
        <v>Excellent</v>
      </c>
      <c r="O603">
        <v>0.9133</v>
      </c>
      <c r="P603">
        <v>70000</v>
      </c>
      <c r="Q603" s="2">
        <v>45805</v>
      </c>
    </row>
    <row r="604" spans="1:17" x14ac:dyDescent="0.45">
      <c r="A604" t="s">
        <v>901</v>
      </c>
      <c r="B604" t="s">
        <v>902</v>
      </c>
      <c r="C604" t="s">
        <v>19</v>
      </c>
      <c r="D604" t="s">
        <v>20</v>
      </c>
      <c r="E604" t="s">
        <v>16</v>
      </c>
      <c r="F604">
        <v>8.75</v>
      </c>
      <c r="G604">
        <v>7.68</v>
      </c>
      <c r="H604">
        <v>11.61</v>
      </c>
      <c r="I604" s="4" t="str">
        <f t="shared" si="36"/>
        <v>Admis</v>
      </c>
      <c r="J604" s="4" t="str">
        <f t="shared" si="37"/>
        <v>Non eligible</v>
      </c>
      <c r="K604">
        <v>9.9</v>
      </c>
      <c r="L604" s="6" t="str">
        <f t="shared" si="38"/>
        <v>A surveiller</v>
      </c>
      <c r="M604" s="6" t="str">
        <f t="shared" si="39"/>
        <v>Data</v>
      </c>
      <c r="N604" s="8" t="str" cm="1">
        <f t="array" ref="N604">_xlfn.IFS(H604&gt;=16,"Excellent",H604&gt;=14,"Très bien",H604&gt;=12,"Bien",H604&gt;=10,"Passable",TRUE,"Insuffisant")</f>
        <v>Passable</v>
      </c>
      <c r="O604">
        <v>0.73009999999999997</v>
      </c>
      <c r="P604">
        <v>80000</v>
      </c>
      <c r="Q604" s="2">
        <v>45538</v>
      </c>
    </row>
    <row r="605" spans="1:17" x14ac:dyDescent="0.45">
      <c r="A605" t="s">
        <v>903</v>
      </c>
      <c r="B605" t="s">
        <v>109</v>
      </c>
      <c r="C605" t="s">
        <v>14</v>
      </c>
      <c r="D605" t="s">
        <v>28</v>
      </c>
      <c r="E605" t="s">
        <v>16</v>
      </c>
      <c r="F605">
        <v>13.74</v>
      </c>
      <c r="G605">
        <v>15.84</v>
      </c>
      <c r="H605">
        <v>15.11</v>
      </c>
      <c r="I605" s="4" t="str">
        <f t="shared" si="36"/>
        <v>Admis</v>
      </c>
      <c r="J605" s="4" t="str">
        <f t="shared" si="37"/>
        <v>Eligible</v>
      </c>
      <c r="K605">
        <v>14.52</v>
      </c>
      <c r="L605" s="6" t="str">
        <f t="shared" si="38"/>
        <v>RAS</v>
      </c>
      <c r="M605" s="6" t="str">
        <f t="shared" si="39"/>
        <v>Data</v>
      </c>
      <c r="N605" s="8" t="str" cm="1">
        <f t="array" ref="N605">_xlfn.IFS(H605&gt;=16,"Excellent",H605&gt;=14,"Très bien",H605&gt;=12,"Bien",H605&gt;=10,"Passable",TRUE,"Insuffisant")</f>
        <v>Très bien</v>
      </c>
      <c r="O605">
        <v>0.91159999999999997</v>
      </c>
      <c r="P605">
        <v>120000</v>
      </c>
      <c r="Q605" s="2">
        <v>45662</v>
      </c>
    </row>
    <row r="606" spans="1:17" x14ac:dyDescent="0.45">
      <c r="A606" t="s">
        <v>904</v>
      </c>
      <c r="B606" t="s">
        <v>233</v>
      </c>
      <c r="C606" t="s">
        <v>19</v>
      </c>
      <c r="D606" t="s">
        <v>15</v>
      </c>
      <c r="E606" t="s">
        <v>42</v>
      </c>
      <c r="F606">
        <v>15.17</v>
      </c>
      <c r="G606">
        <v>12.93</v>
      </c>
      <c r="H606">
        <v>13.55</v>
      </c>
      <c r="I606" s="4" t="str">
        <f t="shared" si="36"/>
        <v>Admis</v>
      </c>
      <c r="J606" s="4" t="str">
        <f t="shared" si="37"/>
        <v>Non eligible</v>
      </c>
      <c r="K606">
        <v>11.63</v>
      </c>
      <c r="L606" s="6" t="str">
        <f t="shared" si="38"/>
        <v>RAS</v>
      </c>
      <c r="M606" s="6" t="str">
        <f t="shared" si="39"/>
        <v>Hors Data</v>
      </c>
      <c r="N606" s="8" t="str" cm="1">
        <f t="array" ref="N606">_xlfn.IFS(H606&gt;=16,"Excellent",H606&gt;=14,"Très bien",H606&gt;=12,"Bien",H606&gt;=10,"Passable",TRUE,"Insuffisant")</f>
        <v>Bien</v>
      </c>
      <c r="O606">
        <v>0.55000000000000004</v>
      </c>
      <c r="P606">
        <v>60000</v>
      </c>
      <c r="Q606" s="2">
        <v>46069</v>
      </c>
    </row>
    <row r="607" spans="1:17" x14ac:dyDescent="0.45">
      <c r="A607" t="s">
        <v>905</v>
      </c>
      <c r="B607" t="s">
        <v>906</v>
      </c>
      <c r="C607" t="s">
        <v>19</v>
      </c>
      <c r="D607" t="s">
        <v>32</v>
      </c>
      <c r="E607" t="s">
        <v>29</v>
      </c>
      <c r="F607">
        <v>11.84</v>
      </c>
      <c r="G607">
        <v>11.75</v>
      </c>
      <c r="H607">
        <v>17.07</v>
      </c>
      <c r="I607" s="4" t="str">
        <f t="shared" si="36"/>
        <v>Admis</v>
      </c>
      <c r="J607" s="4" t="str">
        <f t="shared" si="37"/>
        <v>Non eligible</v>
      </c>
      <c r="K607">
        <v>17.63</v>
      </c>
      <c r="L607" s="6" t="str">
        <f t="shared" si="38"/>
        <v>RAS</v>
      </c>
      <c r="M607" s="6" t="str">
        <f t="shared" si="39"/>
        <v>Hors Data</v>
      </c>
      <c r="N607" s="8" t="str" cm="1">
        <f t="array" ref="N607">_xlfn.IFS(H607&gt;=16,"Excellent",H607&gt;=14,"Très bien",H607&gt;=12,"Bien",H607&gt;=10,"Passable",TRUE,"Insuffisant")</f>
        <v>Excellent</v>
      </c>
      <c r="O607">
        <v>0.9637</v>
      </c>
      <c r="P607">
        <v>90000</v>
      </c>
      <c r="Q607" s="2">
        <v>45782</v>
      </c>
    </row>
    <row r="608" spans="1:17" x14ac:dyDescent="0.45">
      <c r="A608" t="s">
        <v>907</v>
      </c>
      <c r="B608" t="s">
        <v>827</v>
      </c>
      <c r="C608" t="s">
        <v>14</v>
      </c>
      <c r="D608" t="s">
        <v>15</v>
      </c>
      <c r="E608" t="s">
        <v>29</v>
      </c>
      <c r="F608">
        <v>12.94</v>
      </c>
      <c r="G608">
        <v>14.87</v>
      </c>
      <c r="H608">
        <v>15.69</v>
      </c>
      <c r="I608" s="4" t="str">
        <f t="shared" si="36"/>
        <v>Admis</v>
      </c>
      <c r="J608" s="4" t="str">
        <f t="shared" si="37"/>
        <v>Non eligible</v>
      </c>
      <c r="K608">
        <v>12.35</v>
      </c>
      <c r="L608" s="6" t="str">
        <f t="shared" si="38"/>
        <v>RAS</v>
      </c>
      <c r="M608" s="6" t="str">
        <f t="shared" si="39"/>
        <v>Hors Data</v>
      </c>
      <c r="N608" s="8" t="str" cm="1">
        <f t="array" ref="N608">_xlfn.IFS(H608&gt;=16,"Excellent",H608&gt;=14,"Très bien",H608&gt;=12,"Bien",H608&gt;=10,"Passable",TRUE,"Insuffisant")</f>
        <v>Très bien</v>
      </c>
      <c r="O608">
        <v>0.66120000000000001</v>
      </c>
      <c r="P608">
        <v>75000</v>
      </c>
      <c r="Q608" s="2">
        <v>45639</v>
      </c>
    </row>
    <row r="609" spans="1:17" x14ac:dyDescent="0.45">
      <c r="A609" t="s">
        <v>908</v>
      </c>
      <c r="B609" t="s">
        <v>909</v>
      </c>
      <c r="C609" t="s">
        <v>19</v>
      </c>
      <c r="D609" t="s">
        <v>47</v>
      </c>
      <c r="E609" t="s">
        <v>29</v>
      </c>
      <c r="F609">
        <v>9.85</v>
      </c>
      <c r="G609">
        <v>10.31</v>
      </c>
      <c r="H609">
        <v>10.46</v>
      </c>
      <c r="I609" s="4" t="str">
        <f t="shared" si="36"/>
        <v>Admis</v>
      </c>
      <c r="J609" s="4" t="str">
        <f t="shared" si="37"/>
        <v>Non eligible</v>
      </c>
      <c r="K609">
        <v>10.26</v>
      </c>
      <c r="L609" s="6" t="str">
        <f t="shared" si="38"/>
        <v>A surveiller</v>
      </c>
      <c r="M609" s="6" t="str">
        <f t="shared" si="39"/>
        <v>Hors Data</v>
      </c>
      <c r="N609" s="8" t="str" cm="1">
        <f t="array" ref="N609">_xlfn.IFS(H609&gt;=16,"Excellent",H609&gt;=14,"Très bien",H609&gt;=12,"Bien",H609&gt;=10,"Passable",TRUE,"Insuffisant")</f>
        <v>Passable</v>
      </c>
      <c r="O609">
        <v>0.84309999999999996</v>
      </c>
      <c r="P609">
        <v>50000</v>
      </c>
      <c r="Q609" s="2">
        <v>45737</v>
      </c>
    </row>
    <row r="610" spans="1:17" x14ac:dyDescent="0.45">
      <c r="A610" t="s">
        <v>910</v>
      </c>
      <c r="B610" t="s">
        <v>647</v>
      </c>
      <c r="C610" t="s">
        <v>19</v>
      </c>
      <c r="D610" t="s">
        <v>32</v>
      </c>
      <c r="E610" t="s">
        <v>21</v>
      </c>
      <c r="F610">
        <v>8.42</v>
      </c>
      <c r="G610">
        <v>9.86</v>
      </c>
      <c r="H610">
        <v>12.96</v>
      </c>
      <c r="I610" s="4" t="str">
        <f t="shared" si="36"/>
        <v>Admis</v>
      </c>
      <c r="J610" s="4" t="str">
        <f t="shared" si="37"/>
        <v>Non eligible</v>
      </c>
      <c r="K610">
        <v>11.17</v>
      </c>
      <c r="L610" s="6" t="str">
        <f t="shared" si="38"/>
        <v>A surveiller</v>
      </c>
      <c r="M610" s="6" t="str">
        <f t="shared" si="39"/>
        <v>Hors Data</v>
      </c>
      <c r="N610" s="8" t="str" cm="1">
        <f t="array" ref="N610">_xlfn.IFS(H610&gt;=16,"Excellent",H610&gt;=14,"Très bien",H610&gt;=12,"Bien",H610&gt;=10,"Passable",TRUE,"Insuffisant")</f>
        <v>Bien</v>
      </c>
      <c r="O610">
        <v>0.75800000000000001</v>
      </c>
      <c r="P610">
        <v>90000</v>
      </c>
      <c r="Q610" s="2">
        <v>45728</v>
      </c>
    </row>
    <row r="611" spans="1:17" x14ac:dyDescent="0.45">
      <c r="A611" t="s">
        <v>911</v>
      </c>
      <c r="B611" t="s">
        <v>317</v>
      </c>
      <c r="C611" t="s">
        <v>19</v>
      </c>
      <c r="D611" t="s">
        <v>20</v>
      </c>
      <c r="E611" t="s">
        <v>29</v>
      </c>
      <c r="F611">
        <v>16.73</v>
      </c>
      <c r="G611">
        <v>13.9</v>
      </c>
      <c r="H611">
        <v>8.6199999999999992</v>
      </c>
      <c r="I611" s="4" t="str">
        <f t="shared" si="36"/>
        <v>Non admis</v>
      </c>
      <c r="J611" s="4" t="str">
        <f t="shared" si="37"/>
        <v>Non eligible</v>
      </c>
      <c r="K611">
        <v>17.260000000000002</v>
      </c>
      <c r="L611" s="6" t="str">
        <f t="shared" si="38"/>
        <v>A surveiller</v>
      </c>
      <c r="M611" s="6" t="str">
        <f t="shared" si="39"/>
        <v>Hors Data</v>
      </c>
      <c r="N611" s="8" t="str" cm="1">
        <f t="array" ref="N611">_xlfn.IFS(H611&gt;=16,"Excellent",H611&gt;=14,"Très bien",H611&gt;=12,"Bien",H611&gt;=10,"Passable",TRUE,"Insuffisant")</f>
        <v>Insuffisant</v>
      </c>
      <c r="O611">
        <v>0.86609999999999998</v>
      </c>
      <c r="P611">
        <v>100000</v>
      </c>
      <c r="Q611" s="2">
        <v>45658</v>
      </c>
    </row>
    <row r="612" spans="1:17" x14ac:dyDescent="0.45">
      <c r="A612" t="s">
        <v>912</v>
      </c>
      <c r="B612" t="s">
        <v>374</v>
      </c>
      <c r="C612" t="s">
        <v>19</v>
      </c>
      <c r="D612" t="s">
        <v>35</v>
      </c>
      <c r="E612" t="s">
        <v>16</v>
      </c>
      <c r="F612">
        <v>18.38</v>
      </c>
      <c r="G612">
        <v>15.2</v>
      </c>
      <c r="H612">
        <v>15.94</v>
      </c>
      <c r="I612" s="4" t="str">
        <f t="shared" si="36"/>
        <v>Admis</v>
      </c>
      <c r="J612" s="4" t="str">
        <f t="shared" si="37"/>
        <v>Non eligible</v>
      </c>
      <c r="K612">
        <v>15.58</v>
      </c>
      <c r="L612" s="6" t="str">
        <f t="shared" si="38"/>
        <v>RAS</v>
      </c>
      <c r="M612" s="6" t="str">
        <f t="shared" si="39"/>
        <v>Data</v>
      </c>
      <c r="N612" s="8" t="str" cm="1">
        <f t="array" ref="N612">_xlfn.IFS(H612&gt;=16,"Excellent",H612&gt;=14,"Très bien",H612&gt;=12,"Bien",H612&gt;=10,"Passable",TRUE,"Insuffisant")</f>
        <v>Très bien</v>
      </c>
      <c r="O612">
        <v>0.55000000000000004</v>
      </c>
      <c r="P612">
        <v>130000</v>
      </c>
      <c r="Q612" s="2">
        <v>45606</v>
      </c>
    </row>
    <row r="613" spans="1:17" x14ac:dyDescent="0.45">
      <c r="A613" t="s">
        <v>913</v>
      </c>
      <c r="B613" t="s">
        <v>63</v>
      </c>
      <c r="C613" t="s">
        <v>14</v>
      </c>
      <c r="D613" t="s">
        <v>47</v>
      </c>
      <c r="E613" t="s">
        <v>29</v>
      </c>
      <c r="F613">
        <v>7.94</v>
      </c>
      <c r="G613">
        <v>9.0399999999999991</v>
      </c>
      <c r="H613">
        <v>6.83</v>
      </c>
      <c r="I613" s="4" t="str">
        <f t="shared" si="36"/>
        <v>Non admis</v>
      </c>
      <c r="J613" s="4" t="str">
        <f t="shared" si="37"/>
        <v>Non eligible</v>
      </c>
      <c r="K613">
        <v>5.76</v>
      </c>
      <c r="L613" s="6" t="str">
        <f t="shared" si="38"/>
        <v>A surveiller</v>
      </c>
      <c r="M613" s="6" t="str">
        <f t="shared" si="39"/>
        <v>Hors Data</v>
      </c>
      <c r="N613" s="8" t="str" cm="1">
        <f t="array" ref="N613">_xlfn.IFS(H613&gt;=16,"Excellent",H613&gt;=14,"Très bien",H613&gt;=12,"Bien",H613&gt;=10,"Passable",TRUE,"Insuffisant")</f>
        <v>Insuffisant</v>
      </c>
      <c r="O613">
        <v>0.74650000000000005</v>
      </c>
      <c r="P613">
        <v>85000</v>
      </c>
      <c r="Q613" s="2">
        <v>46070</v>
      </c>
    </row>
    <row r="614" spans="1:17" x14ac:dyDescent="0.45">
      <c r="A614" t="s">
        <v>914</v>
      </c>
      <c r="B614" t="s">
        <v>691</v>
      </c>
      <c r="C614" t="s">
        <v>19</v>
      </c>
      <c r="D614" t="s">
        <v>47</v>
      </c>
      <c r="E614" t="s">
        <v>16</v>
      </c>
      <c r="F614">
        <v>18.420000000000002</v>
      </c>
      <c r="G614">
        <v>14.77</v>
      </c>
      <c r="H614">
        <v>17.2</v>
      </c>
      <c r="I614" s="4" t="str">
        <f t="shared" si="36"/>
        <v>Admis</v>
      </c>
      <c r="J614" s="4" t="str">
        <f t="shared" si="37"/>
        <v>Non eligible</v>
      </c>
      <c r="K614">
        <v>11.07</v>
      </c>
      <c r="L614" s="6" t="str">
        <f t="shared" si="38"/>
        <v>RAS</v>
      </c>
      <c r="M614" s="6" t="str">
        <f t="shared" si="39"/>
        <v>Data</v>
      </c>
      <c r="N614" s="8" t="str" cm="1">
        <f t="array" ref="N614">_xlfn.IFS(H614&gt;=16,"Excellent",H614&gt;=14,"Très bien",H614&gt;=12,"Bien",H614&gt;=10,"Passable",TRUE,"Insuffisant")</f>
        <v>Excellent</v>
      </c>
      <c r="O614">
        <v>0.55000000000000004</v>
      </c>
      <c r="P614">
        <v>75000</v>
      </c>
      <c r="Q614" s="2">
        <v>46113</v>
      </c>
    </row>
    <row r="615" spans="1:17" x14ac:dyDescent="0.45">
      <c r="A615" t="s">
        <v>915</v>
      </c>
      <c r="B615" t="s">
        <v>155</v>
      </c>
      <c r="C615" t="s">
        <v>14</v>
      </c>
      <c r="D615" t="s">
        <v>47</v>
      </c>
      <c r="E615" t="s">
        <v>42</v>
      </c>
      <c r="F615">
        <v>13.53</v>
      </c>
      <c r="G615">
        <v>17.600000000000001</v>
      </c>
      <c r="H615">
        <v>20</v>
      </c>
      <c r="I615" s="4" t="str">
        <f t="shared" si="36"/>
        <v>Admis</v>
      </c>
      <c r="J615" s="4" t="str">
        <f t="shared" si="37"/>
        <v>Eligible</v>
      </c>
      <c r="K615">
        <v>20</v>
      </c>
      <c r="L615" s="6" t="str">
        <f t="shared" si="38"/>
        <v>RAS</v>
      </c>
      <c r="M615" s="6" t="str">
        <f t="shared" si="39"/>
        <v>Hors Data</v>
      </c>
      <c r="N615" s="8" t="str" cm="1">
        <f t="array" ref="N615">_xlfn.IFS(H615&gt;=16,"Excellent",H615&gt;=14,"Très bien",H615&gt;=12,"Bien",H615&gt;=10,"Passable",TRUE,"Insuffisant")</f>
        <v>Excellent</v>
      </c>
      <c r="O615">
        <v>0.96399999999999997</v>
      </c>
      <c r="P615">
        <v>120000</v>
      </c>
      <c r="Q615" s="2">
        <v>45883</v>
      </c>
    </row>
    <row r="616" spans="1:17" x14ac:dyDescent="0.45">
      <c r="A616" t="s">
        <v>916</v>
      </c>
      <c r="B616" t="s">
        <v>917</v>
      </c>
      <c r="C616" t="s">
        <v>19</v>
      </c>
      <c r="D616" t="s">
        <v>20</v>
      </c>
      <c r="E616" t="s">
        <v>21</v>
      </c>
      <c r="F616">
        <v>13.05</v>
      </c>
      <c r="G616">
        <v>14.26</v>
      </c>
      <c r="H616">
        <v>10.08</v>
      </c>
      <c r="I616" s="4" t="str">
        <f t="shared" si="36"/>
        <v>Admis</v>
      </c>
      <c r="J616" s="4" t="str">
        <f t="shared" si="37"/>
        <v>Non eligible</v>
      </c>
      <c r="K616">
        <v>13.9</v>
      </c>
      <c r="L616" s="6" t="str">
        <f t="shared" si="38"/>
        <v>RAS</v>
      </c>
      <c r="M616" s="6" t="str">
        <f t="shared" si="39"/>
        <v>Hors Data</v>
      </c>
      <c r="N616" s="8" t="str" cm="1">
        <f t="array" ref="N616">_xlfn.IFS(H616&gt;=16,"Excellent",H616&gt;=14,"Très bien",H616&gt;=12,"Bien",H616&gt;=10,"Passable",TRUE,"Insuffisant")</f>
        <v>Passable</v>
      </c>
      <c r="O616">
        <v>0.73899999999999999</v>
      </c>
      <c r="P616">
        <v>70000</v>
      </c>
      <c r="Q616" s="2">
        <v>45966</v>
      </c>
    </row>
    <row r="617" spans="1:17" x14ac:dyDescent="0.45">
      <c r="A617" t="s">
        <v>918</v>
      </c>
      <c r="B617" t="s">
        <v>771</v>
      </c>
      <c r="C617" t="s">
        <v>19</v>
      </c>
      <c r="D617" t="s">
        <v>32</v>
      </c>
      <c r="E617" t="s">
        <v>21</v>
      </c>
      <c r="F617">
        <v>15.85</v>
      </c>
      <c r="G617">
        <v>12.9</v>
      </c>
      <c r="H617">
        <v>18.350000000000001</v>
      </c>
      <c r="I617" s="4" t="str">
        <f t="shared" si="36"/>
        <v>Admis</v>
      </c>
      <c r="J617" s="4" t="str">
        <f t="shared" si="37"/>
        <v>Eligible</v>
      </c>
      <c r="K617">
        <v>15.94</v>
      </c>
      <c r="L617" s="6" t="str">
        <f t="shared" si="38"/>
        <v>RAS</v>
      </c>
      <c r="M617" s="6" t="str">
        <f t="shared" si="39"/>
        <v>Hors Data</v>
      </c>
      <c r="N617" s="8" t="str" cm="1">
        <f t="array" ref="N617">_xlfn.IFS(H617&gt;=16,"Excellent",H617&gt;=14,"Très bien",H617&gt;=12,"Bien",H617&gt;=10,"Passable",TRUE,"Insuffisant")</f>
        <v>Excellent</v>
      </c>
      <c r="O617">
        <v>0.80759999999999998</v>
      </c>
      <c r="P617">
        <v>100000</v>
      </c>
      <c r="Q617" s="2">
        <v>46179</v>
      </c>
    </row>
    <row r="618" spans="1:17" x14ac:dyDescent="0.45">
      <c r="A618" t="s">
        <v>919</v>
      </c>
      <c r="B618" t="s">
        <v>920</v>
      </c>
      <c r="C618" t="s">
        <v>14</v>
      </c>
      <c r="D618" t="s">
        <v>32</v>
      </c>
      <c r="E618" t="s">
        <v>42</v>
      </c>
      <c r="F618">
        <v>9.52</v>
      </c>
      <c r="G618">
        <v>9.9600000000000009</v>
      </c>
      <c r="H618">
        <v>9.15</v>
      </c>
      <c r="I618" s="4" t="str">
        <f t="shared" si="36"/>
        <v>Non admis</v>
      </c>
      <c r="J618" s="4" t="str">
        <f t="shared" si="37"/>
        <v>Non eligible</v>
      </c>
      <c r="K618">
        <v>18.29</v>
      </c>
      <c r="L618" s="6" t="str">
        <f t="shared" si="38"/>
        <v>A surveiller</v>
      </c>
      <c r="M618" s="6" t="str">
        <f t="shared" si="39"/>
        <v>Hors Data</v>
      </c>
      <c r="N618" s="8" t="str" cm="1">
        <f t="array" ref="N618">_xlfn.IFS(H618&gt;=16,"Excellent",H618&gt;=14,"Très bien",H618&gt;=12,"Bien",H618&gt;=10,"Passable",TRUE,"Insuffisant")</f>
        <v>Insuffisant</v>
      </c>
      <c r="O618">
        <v>0.85309999999999997</v>
      </c>
      <c r="P618">
        <v>130000</v>
      </c>
      <c r="Q618" s="2">
        <v>46125</v>
      </c>
    </row>
    <row r="619" spans="1:17" x14ac:dyDescent="0.45">
      <c r="A619" t="s">
        <v>921</v>
      </c>
      <c r="B619" t="s">
        <v>922</v>
      </c>
      <c r="C619" t="s">
        <v>14</v>
      </c>
      <c r="D619" t="s">
        <v>47</v>
      </c>
      <c r="E619" t="s">
        <v>21</v>
      </c>
      <c r="F619">
        <v>13.83</v>
      </c>
      <c r="G619">
        <v>8.6999999999999993</v>
      </c>
      <c r="H619">
        <v>10.86</v>
      </c>
      <c r="I619" s="4" t="str">
        <f t="shared" si="36"/>
        <v>Admis</v>
      </c>
      <c r="J619" s="4" t="str">
        <f t="shared" si="37"/>
        <v>Non eligible</v>
      </c>
      <c r="K619">
        <v>13.78</v>
      </c>
      <c r="L619" s="6" t="str">
        <f t="shared" si="38"/>
        <v>RAS</v>
      </c>
      <c r="M619" s="6" t="str">
        <f t="shared" si="39"/>
        <v>Hors Data</v>
      </c>
      <c r="N619" s="8" t="str" cm="1">
        <f t="array" ref="N619">_xlfn.IFS(H619&gt;=16,"Excellent",H619&gt;=14,"Très bien",H619&gt;=12,"Bien",H619&gt;=10,"Passable",TRUE,"Insuffisant")</f>
        <v>Passable</v>
      </c>
      <c r="O619">
        <v>0.77849999999999997</v>
      </c>
      <c r="P619">
        <v>50000</v>
      </c>
      <c r="Q619" s="2">
        <v>45558</v>
      </c>
    </row>
    <row r="620" spans="1:17" x14ac:dyDescent="0.45">
      <c r="A620" t="s">
        <v>923</v>
      </c>
      <c r="B620" t="s">
        <v>924</v>
      </c>
      <c r="C620" t="s">
        <v>14</v>
      </c>
      <c r="D620" t="s">
        <v>35</v>
      </c>
      <c r="E620" t="s">
        <v>29</v>
      </c>
      <c r="F620">
        <v>6.53</v>
      </c>
      <c r="G620">
        <v>10.6</v>
      </c>
      <c r="H620">
        <v>8.65</v>
      </c>
      <c r="I620" s="4" t="str">
        <f t="shared" si="36"/>
        <v>Non admis</v>
      </c>
      <c r="J620" s="4" t="str">
        <f t="shared" si="37"/>
        <v>Non eligible</v>
      </c>
      <c r="K620">
        <v>6</v>
      </c>
      <c r="L620" s="6" t="str">
        <f t="shared" si="38"/>
        <v>A surveiller</v>
      </c>
      <c r="M620" s="6" t="str">
        <f t="shared" si="39"/>
        <v>Hors Data</v>
      </c>
      <c r="N620" s="8" t="str" cm="1">
        <f t="array" ref="N620">_xlfn.IFS(H620&gt;=16,"Excellent",H620&gt;=14,"Très bien",H620&gt;=12,"Bien",H620&gt;=10,"Passable",TRUE,"Insuffisant")</f>
        <v>Insuffisant</v>
      </c>
      <c r="O620">
        <v>0.64100000000000001</v>
      </c>
      <c r="P620">
        <v>130000</v>
      </c>
      <c r="Q620" s="2">
        <v>46203</v>
      </c>
    </row>
    <row r="621" spans="1:17" x14ac:dyDescent="0.45">
      <c r="A621" t="s">
        <v>925</v>
      </c>
      <c r="B621" t="s">
        <v>180</v>
      </c>
      <c r="C621" t="s">
        <v>14</v>
      </c>
      <c r="D621" t="s">
        <v>15</v>
      </c>
      <c r="E621" t="s">
        <v>42</v>
      </c>
      <c r="F621">
        <v>8.4600000000000009</v>
      </c>
      <c r="G621">
        <v>4.67</v>
      </c>
      <c r="H621">
        <v>6.44</v>
      </c>
      <c r="I621" s="4" t="str">
        <f t="shared" si="36"/>
        <v>Non admis</v>
      </c>
      <c r="J621" s="4" t="str">
        <f t="shared" si="37"/>
        <v>Non eligible</v>
      </c>
      <c r="K621">
        <v>6.4</v>
      </c>
      <c r="L621" s="6" t="str">
        <f t="shared" si="38"/>
        <v>A surveiller</v>
      </c>
      <c r="M621" s="6" t="str">
        <f t="shared" si="39"/>
        <v>Hors Data</v>
      </c>
      <c r="N621" s="8" t="str" cm="1">
        <f t="array" ref="N621">_xlfn.IFS(H621&gt;=16,"Excellent",H621&gt;=14,"Très bien",H621&gt;=12,"Bien",H621&gt;=10,"Passable",TRUE,"Insuffisant")</f>
        <v>Insuffisant</v>
      </c>
      <c r="O621">
        <v>0.92290000000000005</v>
      </c>
      <c r="P621">
        <v>70000</v>
      </c>
      <c r="Q621" s="2">
        <v>45582</v>
      </c>
    </row>
    <row r="622" spans="1:17" x14ac:dyDescent="0.45">
      <c r="A622" t="s">
        <v>926</v>
      </c>
      <c r="B622" t="s">
        <v>425</v>
      </c>
      <c r="C622" t="s">
        <v>14</v>
      </c>
      <c r="D622" t="s">
        <v>20</v>
      </c>
      <c r="E622" t="s">
        <v>16</v>
      </c>
      <c r="F622">
        <v>18.47</v>
      </c>
      <c r="G622">
        <v>16.829999999999998</v>
      </c>
      <c r="H622">
        <v>12.91</v>
      </c>
      <c r="I622" s="4" t="str">
        <f t="shared" si="36"/>
        <v>Admis</v>
      </c>
      <c r="J622" s="4" t="str">
        <f t="shared" si="37"/>
        <v>Eligible</v>
      </c>
      <c r="K622">
        <v>13.9</v>
      </c>
      <c r="L622" s="6" t="str">
        <f t="shared" si="38"/>
        <v>RAS</v>
      </c>
      <c r="M622" s="6" t="str">
        <f t="shared" si="39"/>
        <v>Data</v>
      </c>
      <c r="N622" s="8" t="str" cm="1">
        <f t="array" ref="N622">_xlfn.IFS(H622&gt;=16,"Excellent",H622&gt;=14,"Très bien",H622&gt;=12,"Bien",H622&gt;=10,"Passable",TRUE,"Insuffisant")</f>
        <v>Bien</v>
      </c>
      <c r="O622">
        <v>0.88260000000000005</v>
      </c>
      <c r="P622">
        <v>85000</v>
      </c>
      <c r="Q622" s="2">
        <v>45554</v>
      </c>
    </row>
    <row r="623" spans="1:17" x14ac:dyDescent="0.45">
      <c r="A623" t="s">
        <v>927</v>
      </c>
      <c r="B623" t="s">
        <v>204</v>
      </c>
      <c r="C623" t="s">
        <v>14</v>
      </c>
      <c r="D623" t="s">
        <v>20</v>
      </c>
      <c r="E623" t="s">
        <v>42</v>
      </c>
      <c r="F623">
        <v>11.34</v>
      </c>
      <c r="G623">
        <v>11.96</v>
      </c>
      <c r="H623">
        <v>12.37</v>
      </c>
      <c r="I623" s="4" t="str">
        <f t="shared" si="36"/>
        <v>Admis</v>
      </c>
      <c r="J623" s="4" t="str">
        <f t="shared" si="37"/>
        <v>Non eligible</v>
      </c>
      <c r="K623">
        <v>9.77</v>
      </c>
      <c r="L623" s="6" t="str">
        <f t="shared" si="38"/>
        <v>RAS</v>
      </c>
      <c r="M623" s="6" t="str">
        <f t="shared" si="39"/>
        <v>Hors Data</v>
      </c>
      <c r="N623" s="8" t="str" cm="1">
        <f t="array" ref="N623">_xlfn.IFS(H623&gt;=16,"Excellent",H623&gt;=14,"Très bien",H623&gt;=12,"Bien",H623&gt;=10,"Passable",TRUE,"Insuffisant")</f>
        <v>Bien</v>
      </c>
      <c r="O623">
        <v>0.9829</v>
      </c>
      <c r="P623">
        <v>70000</v>
      </c>
      <c r="Q623" s="2">
        <v>45818</v>
      </c>
    </row>
    <row r="624" spans="1:17" x14ac:dyDescent="0.45">
      <c r="A624" t="s">
        <v>928</v>
      </c>
      <c r="B624" t="s">
        <v>364</v>
      </c>
      <c r="C624" t="s">
        <v>14</v>
      </c>
      <c r="D624" t="s">
        <v>47</v>
      </c>
      <c r="E624" t="s">
        <v>42</v>
      </c>
      <c r="F624">
        <v>8.15</v>
      </c>
      <c r="G624">
        <v>13.95</v>
      </c>
      <c r="H624">
        <v>13.92</v>
      </c>
      <c r="I624" s="4" t="str">
        <f t="shared" si="36"/>
        <v>Admis</v>
      </c>
      <c r="J624" s="4" t="str">
        <f t="shared" si="37"/>
        <v>Non eligible</v>
      </c>
      <c r="K624">
        <v>11.24</v>
      </c>
      <c r="L624" s="6" t="str">
        <f t="shared" si="38"/>
        <v>A surveiller</v>
      </c>
      <c r="M624" s="6" t="str">
        <f t="shared" si="39"/>
        <v>Hors Data</v>
      </c>
      <c r="N624" s="8" t="str" cm="1">
        <f t="array" ref="N624">_xlfn.IFS(H624&gt;=16,"Excellent",H624&gt;=14,"Très bien",H624&gt;=12,"Bien",H624&gt;=10,"Passable",TRUE,"Insuffisant")</f>
        <v>Bien</v>
      </c>
      <c r="O624">
        <v>0.95050000000000001</v>
      </c>
      <c r="P624">
        <v>60000</v>
      </c>
      <c r="Q624" s="2">
        <v>46058</v>
      </c>
    </row>
    <row r="625" spans="1:17" x14ac:dyDescent="0.45">
      <c r="A625" t="s">
        <v>929</v>
      </c>
      <c r="B625" t="s">
        <v>158</v>
      </c>
      <c r="C625" t="s">
        <v>14</v>
      </c>
      <c r="D625" t="s">
        <v>20</v>
      </c>
      <c r="E625" t="s">
        <v>16</v>
      </c>
      <c r="F625">
        <v>7.49</v>
      </c>
      <c r="G625">
        <v>7.37</v>
      </c>
      <c r="H625">
        <v>12.14</v>
      </c>
      <c r="I625" s="4" t="str">
        <f t="shared" si="36"/>
        <v>Admis</v>
      </c>
      <c r="J625" s="4" t="str">
        <f t="shared" si="37"/>
        <v>Non eligible</v>
      </c>
      <c r="K625">
        <v>8.23</v>
      </c>
      <c r="L625" s="6" t="str">
        <f t="shared" si="38"/>
        <v>A surveiller</v>
      </c>
      <c r="M625" s="6" t="str">
        <f t="shared" si="39"/>
        <v>Data</v>
      </c>
      <c r="N625" s="8" t="str" cm="1">
        <f t="array" ref="N625">_xlfn.IFS(H625&gt;=16,"Excellent",H625&gt;=14,"Très bien",H625&gt;=12,"Bien",H625&gt;=10,"Passable",TRUE,"Insuffisant")</f>
        <v>Bien</v>
      </c>
      <c r="O625">
        <v>0.87350000000000005</v>
      </c>
      <c r="P625">
        <v>100000</v>
      </c>
      <c r="Q625" s="2">
        <v>45592</v>
      </c>
    </row>
    <row r="626" spans="1:17" x14ac:dyDescent="0.45">
      <c r="A626" t="s">
        <v>930</v>
      </c>
      <c r="B626" t="s">
        <v>53</v>
      </c>
      <c r="C626" t="s">
        <v>19</v>
      </c>
      <c r="D626" t="s">
        <v>28</v>
      </c>
      <c r="E626" t="s">
        <v>42</v>
      </c>
      <c r="F626">
        <v>10.79</v>
      </c>
      <c r="G626">
        <v>9.81</v>
      </c>
      <c r="H626">
        <v>8.8000000000000007</v>
      </c>
      <c r="I626" s="4" t="str">
        <f t="shared" si="36"/>
        <v>Non admis</v>
      </c>
      <c r="J626" s="4" t="str">
        <f t="shared" si="37"/>
        <v>Non eligible</v>
      </c>
      <c r="K626">
        <v>6.39</v>
      </c>
      <c r="L626" s="6" t="str">
        <f t="shared" si="38"/>
        <v>A surveiller</v>
      </c>
      <c r="M626" s="6" t="str">
        <f t="shared" si="39"/>
        <v>Hors Data</v>
      </c>
      <c r="N626" s="8" t="str" cm="1">
        <f t="array" ref="N626">_xlfn.IFS(H626&gt;=16,"Excellent",H626&gt;=14,"Très bien",H626&gt;=12,"Bien",H626&gt;=10,"Passable",TRUE,"Insuffisant")</f>
        <v>Insuffisant</v>
      </c>
      <c r="O626">
        <v>0.75249999999999995</v>
      </c>
      <c r="P626">
        <v>85000</v>
      </c>
      <c r="Q626" s="2">
        <v>45741</v>
      </c>
    </row>
    <row r="627" spans="1:17" x14ac:dyDescent="0.45">
      <c r="A627" t="s">
        <v>931</v>
      </c>
      <c r="B627" t="s">
        <v>731</v>
      </c>
      <c r="C627" t="s">
        <v>14</v>
      </c>
      <c r="D627" t="s">
        <v>28</v>
      </c>
      <c r="E627" t="s">
        <v>42</v>
      </c>
      <c r="F627">
        <v>13.06</v>
      </c>
      <c r="G627">
        <v>17.09</v>
      </c>
      <c r="H627">
        <v>13.13</v>
      </c>
      <c r="I627" s="4" t="str">
        <f t="shared" si="36"/>
        <v>Admis</v>
      </c>
      <c r="J627" s="4" t="str">
        <f t="shared" si="37"/>
        <v>Eligible</v>
      </c>
      <c r="K627">
        <v>16.420000000000002</v>
      </c>
      <c r="L627" s="6" t="str">
        <f t="shared" si="38"/>
        <v>RAS</v>
      </c>
      <c r="M627" s="6" t="str">
        <f t="shared" si="39"/>
        <v>Hors Data</v>
      </c>
      <c r="N627" s="8" t="str" cm="1">
        <f t="array" ref="N627">_xlfn.IFS(H627&gt;=16,"Excellent",H627&gt;=14,"Très bien",H627&gt;=12,"Bien",H627&gt;=10,"Passable",TRUE,"Insuffisant")</f>
        <v>Bien</v>
      </c>
      <c r="O627">
        <v>0.98350000000000004</v>
      </c>
      <c r="P627">
        <v>85000</v>
      </c>
      <c r="Q627" s="2">
        <v>45719</v>
      </c>
    </row>
    <row r="628" spans="1:17" x14ac:dyDescent="0.45">
      <c r="A628" t="s">
        <v>932</v>
      </c>
      <c r="B628" t="s">
        <v>933</v>
      </c>
      <c r="C628" t="s">
        <v>14</v>
      </c>
      <c r="D628" t="s">
        <v>32</v>
      </c>
      <c r="E628" t="s">
        <v>29</v>
      </c>
      <c r="F628">
        <v>5.53</v>
      </c>
      <c r="G628">
        <v>15.63</v>
      </c>
      <c r="H628">
        <v>11.59</v>
      </c>
      <c r="I628" s="4" t="str">
        <f t="shared" si="36"/>
        <v>Admis</v>
      </c>
      <c r="J628" s="4" t="str">
        <f t="shared" si="37"/>
        <v>Non eligible</v>
      </c>
      <c r="K628">
        <v>12.01</v>
      </c>
      <c r="L628" s="6" t="str">
        <f t="shared" si="38"/>
        <v>A surveiller</v>
      </c>
      <c r="M628" s="6" t="str">
        <f t="shared" si="39"/>
        <v>Hors Data</v>
      </c>
      <c r="N628" s="8" t="str" cm="1">
        <f t="array" ref="N628">_xlfn.IFS(H628&gt;=16,"Excellent",H628&gt;=14,"Très bien",H628&gt;=12,"Bien",H628&gt;=10,"Passable",TRUE,"Insuffisant")</f>
        <v>Passable</v>
      </c>
      <c r="O628">
        <v>0.90610000000000002</v>
      </c>
      <c r="P628">
        <v>85000</v>
      </c>
      <c r="Q628" s="2">
        <v>45814</v>
      </c>
    </row>
    <row r="629" spans="1:17" x14ac:dyDescent="0.45">
      <c r="A629" t="s">
        <v>934</v>
      </c>
      <c r="B629" t="s">
        <v>454</v>
      </c>
      <c r="C629" t="s">
        <v>14</v>
      </c>
      <c r="D629" t="s">
        <v>35</v>
      </c>
      <c r="E629" t="s">
        <v>42</v>
      </c>
      <c r="F629">
        <v>17.29</v>
      </c>
      <c r="G629">
        <v>17.13</v>
      </c>
      <c r="H629">
        <v>18.47</v>
      </c>
      <c r="I629" s="4" t="str">
        <f t="shared" si="36"/>
        <v>Admis</v>
      </c>
      <c r="J629" s="4" t="str">
        <f t="shared" si="37"/>
        <v>Eligible</v>
      </c>
      <c r="K629">
        <v>13.96</v>
      </c>
      <c r="L629" s="6" t="str">
        <f t="shared" si="38"/>
        <v>RAS</v>
      </c>
      <c r="M629" s="6" t="str">
        <f t="shared" si="39"/>
        <v>Hors Data</v>
      </c>
      <c r="N629" s="8" t="str" cm="1">
        <f t="array" ref="N629">_xlfn.IFS(H629&gt;=16,"Excellent",H629&gt;=14,"Très bien",H629&gt;=12,"Bien",H629&gt;=10,"Passable",TRUE,"Insuffisant")</f>
        <v>Excellent</v>
      </c>
      <c r="O629">
        <v>0.93130000000000002</v>
      </c>
      <c r="P629">
        <v>110000</v>
      </c>
      <c r="Q629" s="2">
        <v>46226</v>
      </c>
    </row>
    <row r="630" spans="1:17" x14ac:dyDescent="0.45">
      <c r="A630" t="s">
        <v>935</v>
      </c>
      <c r="B630" t="s">
        <v>612</v>
      </c>
      <c r="C630" t="s">
        <v>19</v>
      </c>
      <c r="D630" t="s">
        <v>35</v>
      </c>
      <c r="E630" t="s">
        <v>29</v>
      </c>
      <c r="F630">
        <v>15.07</v>
      </c>
      <c r="G630">
        <v>15.91</v>
      </c>
      <c r="H630">
        <v>8.73</v>
      </c>
      <c r="I630" s="4" t="str">
        <f t="shared" si="36"/>
        <v>Non admis</v>
      </c>
      <c r="J630" s="4" t="str">
        <f t="shared" si="37"/>
        <v>Non eligible</v>
      </c>
      <c r="K630">
        <v>16.329999999999998</v>
      </c>
      <c r="L630" s="6" t="str">
        <f t="shared" si="38"/>
        <v>A surveiller</v>
      </c>
      <c r="M630" s="6" t="str">
        <f t="shared" si="39"/>
        <v>Hors Data</v>
      </c>
      <c r="N630" s="8" t="str" cm="1">
        <f t="array" ref="N630">_xlfn.IFS(H630&gt;=16,"Excellent",H630&gt;=14,"Très bien",H630&gt;=12,"Bien",H630&gt;=10,"Passable",TRUE,"Insuffisant")</f>
        <v>Insuffisant</v>
      </c>
      <c r="O630">
        <v>0.73860000000000003</v>
      </c>
      <c r="P630">
        <v>130000</v>
      </c>
      <c r="Q630" s="2">
        <v>45767</v>
      </c>
    </row>
    <row r="631" spans="1:17" x14ac:dyDescent="0.45">
      <c r="A631" t="s">
        <v>936</v>
      </c>
      <c r="B631" t="s">
        <v>827</v>
      </c>
      <c r="C631" t="s">
        <v>14</v>
      </c>
      <c r="D631" t="s">
        <v>15</v>
      </c>
      <c r="E631" t="s">
        <v>29</v>
      </c>
      <c r="F631">
        <v>12.6</v>
      </c>
      <c r="G631">
        <v>12.59</v>
      </c>
      <c r="H631">
        <v>12.49</v>
      </c>
      <c r="I631" s="4" t="str">
        <f t="shared" si="36"/>
        <v>Admis</v>
      </c>
      <c r="J631" s="4" t="str">
        <f t="shared" si="37"/>
        <v>Eligible</v>
      </c>
      <c r="K631">
        <v>15.33</v>
      </c>
      <c r="L631" s="6" t="str">
        <f t="shared" si="38"/>
        <v>RAS</v>
      </c>
      <c r="M631" s="6" t="str">
        <f t="shared" si="39"/>
        <v>Hors Data</v>
      </c>
      <c r="N631" s="8" t="str" cm="1">
        <f t="array" ref="N631">_xlfn.IFS(H631&gt;=16,"Excellent",H631&gt;=14,"Très bien",H631&gt;=12,"Bien",H631&gt;=10,"Passable",TRUE,"Insuffisant")</f>
        <v>Bien</v>
      </c>
      <c r="O631">
        <v>0.80720000000000003</v>
      </c>
      <c r="P631">
        <v>85000</v>
      </c>
      <c r="Q631" s="2">
        <v>45682</v>
      </c>
    </row>
    <row r="632" spans="1:17" x14ac:dyDescent="0.45">
      <c r="A632" t="s">
        <v>937</v>
      </c>
      <c r="B632" t="s">
        <v>512</v>
      </c>
      <c r="C632" t="s">
        <v>19</v>
      </c>
      <c r="D632" t="s">
        <v>47</v>
      </c>
      <c r="E632" t="s">
        <v>16</v>
      </c>
      <c r="F632">
        <v>16.36</v>
      </c>
      <c r="G632">
        <v>16.149999999999999</v>
      </c>
      <c r="H632">
        <v>14.38</v>
      </c>
      <c r="I632" s="4" t="str">
        <f t="shared" si="36"/>
        <v>Admis</v>
      </c>
      <c r="J632" s="4" t="str">
        <f t="shared" si="37"/>
        <v>Non eligible</v>
      </c>
      <c r="K632">
        <v>14.67</v>
      </c>
      <c r="L632" s="6" t="str">
        <f t="shared" si="38"/>
        <v>RAS</v>
      </c>
      <c r="M632" s="6" t="str">
        <f t="shared" si="39"/>
        <v>Data</v>
      </c>
      <c r="N632" s="8" t="str" cm="1">
        <f t="array" ref="N632">_xlfn.IFS(H632&gt;=16,"Excellent",H632&gt;=14,"Très bien",H632&gt;=12,"Bien",H632&gt;=10,"Passable",TRUE,"Insuffisant")</f>
        <v>Très bien</v>
      </c>
      <c r="O632">
        <v>0.70789999999999997</v>
      </c>
      <c r="P632">
        <v>60000</v>
      </c>
      <c r="Q632" s="2">
        <v>45621</v>
      </c>
    </row>
    <row r="633" spans="1:17" x14ac:dyDescent="0.45">
      <c r="A633" t="s">
        <v>938</v>
      </c>
      <c r="B633" t="s">
        <v>285</v>
      </c>
      <c r="C633" t="s">
        <v>14</v>
      </c>
      <c r="D633" t="s">
        <v>35</v>
      </c>
      <c r="E633" t="s">
        <v>29</v>
      </c>
      <c r="F633">
        <v>16.43</v>
      </c>
      <c r="G633">
        <v>17.97</v>
      </c>
      <c r="H633">
        <v>15.73</v>
      </c>
      <c r="I633" s="4" t="str">
        <f t="shared" si="36"/>
        <v>Admis</v>
      </c>
      <c r="J633" s="4" t="str">
        <f t="shared" si="37"/>
        <v>Eligible</v>
      </c>
      <c r="K633">
        <v>19.32</v>
      </c>
      <c r="L633" s="6" t="str">
        <f t="shared" si="38"/>
        <v>RAS</v>
      </c>
      <c r="M633" s="6" t="str">
        <f t="shared" si="39"/>
        <v>Hors Data</v>
      </c>
      <c r="N633" s="8" t="str" cm="1">
        <f t="array" ref="N633">_xlfn.IFS(H633&gt;=16,"Excellent",H633&gt;=14,"Très bien",H633&gt;=12,"Bien",H633&gt;=10,"Passable",TRUE,"Insuffisant")</f>
        <v>Très bien</v>
      </c>
      <c r="O633">
        <v>0.83879999999999999</v>
      </c>
      <c r="P633">
        <v>75000</v>
      </c>
      <c r="Q633" s="2">
        <v>45674</v>
      </c>
    </row>
    <row r="634" spans="1:17" x14ac:dyDescent="0.45">
      <c r="A634" t="s">
        <v>939</v>
      </c>
      <c r="B634" t="s">
        <v>468</v>
      </c>
      <c r="C634" t="s">
        <v>14</v>
      </c>
      <c r="D634" t="s">
        <v>35</v>
      </c>
      <c r="E634" t="s">
        <v>21</v>
      </c>
      <c r="F634">
        <v>9</v>
      </c>
      <c r="G634">
        <v>12.14</v>
      </c>
      <c r="H634">
        <v>10.14</v>
      </c>
      <c r="I634" s="4" t="str">
        <f t="shared" si="36"/>
        <v>Admis</v>
      </c>
      <c r="J634" s="4" t="str">
        <f t="shared" si="37"/>
        <v>Non eligible</v>
      </c>
      <c r="K634">
        <v>10.71</v>
      </c>
      <c r="L634" s="6" t="str">
        <f t="shared" si="38"/>
        <v>A surveiller</v>
      </c>
      <c r="M634" s="6" t="str">
        <f t="shared" si="39"/>
        <v>Hors Data</v>
      </c>
      <c r="N634" s="8" t="str" cm="1">
        <f t="array" ref="N634">_xlfn.IFS(H634&gt;=16,"Excellent",H634&gt;=14,"Très bien",H634&gt;=12,"Bien",H634&gt;=10,"Passable",TRUE,"Insuffisant")</f>
        <v>Passable</v>
      </c>
      <c r="O634">
        <v>0.59550000000000003</v>
      </c>
      <c r="P634">
        <v>85000</v>
      </c>
      <c r="Q634" s="2">
        <v>45629</v>
      </c>
    </row>
    <row r="635" spans="1:17" x14ac:dyDescent="0.45">
      <c r="A635" t="s">
        <v>940</v>
      </c>
      <c r="B635" t="s">
        <v>13</v>
      </c>
      <c r="C635" t="s">
        <v>14</v>
      </c>
      <c r="D635" t="s">
        <v>28</v>
      </c>
      <c r="E635" t="s">
        <v>21</v>
      </c>
      <c r="F635">
        <v>14.13</v>
      </c>
      <c r="G635">
        <v>12.35</v>
      </c>
      <c r="H635">
        <v>13.27</v>
      </c>
      <c r="I635" s="4" t="str">
        <f t="shared" si="36"/>
        <v>Admis</v>
      </c>
      <c r="J635" s="4" t="str">
        <f t="shared" si="37"/>
        <v>Eligible</v>
      </c>
      <c r="K635">
        <v>14.72</v>
      </c>
      <c r="L635" s="6" t="str">
        <f t="shared" si="38"/>
        <v>RAS</v>
      </c>
      <c r="M635" s="6" t="str">
        <f t="shared" si="39"/>
        <v>Hors Data</v>
      </c>
      <c r="N635" s="8" t="str" cm="1">
        <f t="array" ref="N635">_xlfn.IFS(H635&gt;=16,"Excellent",H635&gt;=14,"Très bien",H635&gt;=12,"Bien",H635&gt;=10,"Passable",TRUE,"Insuffisant")</f>
        <v>Bien</v>
      </c>
      <c r="O635">
        <v>0.87860000000000005</v>
      </c>
      <c r="P635">
        <v>60000</v>
      </c>
      <c r="Q635" s="2">
        <v>45937</v>
      </c>
    </row>
    <row r="636" spans="1:17" x14ac:dyDescent="0.45">
      <c r="A636" t="s">
        <v>941</v>
      </c>
      <c r="B636" t="s">
        <v>245</v>
      </c>
      <c r="C636" t="s">
        <v>14</v>
      </c>
      <c r="D636" t="s">
        <v>28</v>
      </c>
      <c r="E636" t="s">
        <v>42</v>
      </c>
      <c r="F636">
        <v>20</v>
      </c>
      <c r="G636">
        <v>16.690000000000001</v>
      </c>
      <c r="H636">
        <v>15.42</v>
      </c>
      <c r="I636" s="4" t="str">
        <f t="shared" si="36"/>
        <v>Admis</v>
      </c>
      <c r="J636" s="4" t="str">
        <f t="shared" si="37"/>
        <v>Non eligible</v>
      </c>
      <c r="K636">
        <v>18.23</v>
      </c>
      <c r="L636" s="6" t="str">
        <f t="shared" si="38"/>
        <v>RAS</v>
      </c>
      <c r="M636" s="6" t="str">
        <f t="shared" si="39"/>
        <v>Hors Data</v>
      </c>
      <c r="N636" s="8" t="str" cm="1">
        <f t="array" ref="N636">_xlfn.IFS(H636&gt;=16,"Excellent",H636&gt;=14,"Très bien",H636&gt;=12,"Bien",H636&gt;=10,"Passable",TRUE,"Insuffisant")</f>
        <v>Très bien</v>
      </c>
      <c r="O636">
        <v>0.71719999999999995</v>
      </c>
      <c r="P636">
        <v>70000</v>
      </c>
      <c r="Q636" s="2">
        <v>45830</v>
      </c>
    </row>
    <row r="637" spans="1:17" x14ac:dyDescent="0.45">
      <c r="A637" t="s">
        <v>942</v>
      </c>
      <c r="B637" t="s">
        <v>943</v>
      </c>
      <c r="C637" t="s">
        <v>19</v>
      </c>
      <c r="D637" t="s">
        <v>32</v>
      </c>
      <c r="E637" t="s">
        <v>42</v>
      </c>
      <c r="F637">
        <v>20</v>
      </c>
      <c r="G637">
        <v>17.8</v>
      </c>
      <c r="H637">
        <v>17.38</v>
      </c>
      <c r="I637" s="4" t="str">
        <f t="shared" si="36"/>
        <v>Admis</v>
      </c>
      <c r="J637" s="4" t="str">
        <f t="shared" si="37"/>
        <v>Eligible</v>
      </c>
      <c r="K637">
        <v>17.3</v>
      </c>
      <c r="L637" s="6" t="str">
        <f t="shared" si="38"/>
        <v>RAS</v>
      </c>
      <c r="M637" s="6" t="str">
        <f t="shared" si="39"/>
        <v>Hors Data</v>
      </c>
      <c r="N637" s="8" t="str" cm="1">
        <f t="array" ref="N637">_xlfn.IFS(H637&gt;=16,"Excellent",H637&gt;=14,"Très bien",H637&gt;=12,"Bien",H637&gt;=10,"Passable",TRUE,"Insuffisant")</f>
        <v>Excellent</v>
      </c>
      <c r="O637">
        <v>0.87719999999999998</v>
      </c>
      <c r="P637">
        <v>70000</v>
      </c>
      <c r="Q637" s="2">
        <v>45884</v>
      </c>
    </row>
    <row r="638" spans="1:17" x14ac:dyDescent="0.45">
      <c r="A638" t="s">
        <v>944</v>
      </c>
      <c r="B638" t="s">
        <v>575</v>
      </c>
      <c r="C638" t="s">
        <v>14</v>
      </c>
      <c r="D638" t="s">
        <v>47</v>
      </c>
      <c r="E638" t="s">
        <v>42</v>
      </c>
      <c r="F638">
        <v>10.31</v>
      </c>
      <c r="G638">
        <v>10.46</v>
      </c>
      <c r="H638">
        <v>11.1</v>
      </c>
      <c r="I638" s="4" t="str">
        <f t="shared" si="36"/>
        <v>Admis</v>
      </c>
      <c r="J638" s="4" t="str">
        <f t="shared" si="37"/>
        <v>Non eligible</v>
      </c>
      <c r="K638">
        <v>8.93</v>
      </c>
      <c r="L638" s="6" t="str">
        <f t="shared" si="38"/>
        <v>RAS</v>
      </c>
      <c r="M638" s="6" t="str">
        <f t="shared" si="39"/>
        <v>Hors Data</v>
      </c>
      <c r="N638" s="8" t="str" cm="1">
        <f t="array" ref="N638">_xlfn.IFS(H638&gt;=16,"Excellent",H638&gt;=14,"Très bien",H638&gt;=12,"Bien",H638&gt;=10,"Passable",TRUE,"Insuffisant")</f>
        <v>Passable</v>
      </c>
      <c r="O638">
        <v>0.86419999999999997</v>
      </c>
      <c r="P638">
        <v>130000</v>
      </c>
      <c r="Q638" s="2">
        <v>46118</v>
      </c>
    </row>
    <row r="639" spans="1:17" x14ac:dyDescent="0.45">
      <c r="A639" t="s">
        <v>945</v>
      </c>
      <c r="B639" t="s">
        <v>556</v>
      </c>
      <c r="C639" t="s">
        <v>14</v>
      </c>
      <c r="D639" t="s">
        <v>35</v>
      </c>
      <c r="E639" t="s">
        <v>29</v>
      </c>
      <c r="F639">
        <v>13.64</v>
      </c>
      <c r="G639">
        <v>14.11</v>
      </c>
      <c r="H639">
        <v>12.31</v>
      </c>
      <c r="I639" s="4" t="str">
        <f t="shared" si="36"/>
        <v>Admis</v>
      </c>
      <c r="J639" s="4" t="str">
        <f t="shared" si="37"/>
        <v>Non eligible</v>
      </c>
      <c r="K639">
        <v>15.89</v>
      </c>
      <c r="L639" s="6" t="str">
        <f t="shared" si="38"/>
        <v>RAS</v>
      </c>
      <c r="M639" s="6" t="str">
        <f t="shared" si="39"/>
        <v>Hors Data</v>
      </c>
      <c r="N639" s="8" t="str" cm="1">
        <f t="array" ref="N639">_xlfn.IFS(H639&gt;=16,"Excellent",H639&gt;=14,"Très bien",H639&gt;=12,"Bien",H639&gt;=10,"Passable",TRUE,"Insuffisant")</f>
        <v>Bien</v>
      </c>
      <c r="O639">
        <v>0.76659999999999995</v>
      </c>
      <c r="P639">
        <v>80000</v>
      </c>
      <c r="Q639" s="2">
        <v>45942</v>
      </c>
    </row>
    <row r="640" spans="1:17" x14ac:dyDescent="0.45">
      <c r="A640" t="s">
        <v>946</v>
      </c>
      <c r="B640" t="s">
        <v>665</v>
      </c>
      <c r="C640" t="s">
        <v>19</v>
      </c>
      <c r="D640" t="s">
        <v>15</v>
      </c>
      <c r="E640" t="s">
        <v>29</v>
      </c>
      <c r="F640">
        <v>19.04</v>
      </c>
      <c r="G640">
        <v>16.43</v>
      </c>
      <c r="H640">
        <v>16.510000000000002</v>
      </c>
      <c r="I640" s="4" t="str">
        <f t="shared" si="36"/>
        <v>Admis</v>
      </c>
      <c r="J640" s="4" t="str">
        <f t="shared" si="37"/>
        <v>Eligible</v>
      </c>
      <c r="K640">
        <v>16.149999999999999</v>
      </c>
      <c r="L640" s="6" t="str">
        <f t="shared" si="38"/>
        <v>RAS</v>
      </c>
      <c r="M640" s="6" t="str">
        <f t="shared" si="39"/>
        <v>Hors Data</v>
      </c>
      <c r="N640" s="8" t="str" cm="1">
        <f t="array" ref="N640">_xlfn.IFS(H640&gt;=16,"Excellent",H640&gt;=14,"Très bien",H640&gt;=12,"Bien",H640&gt;=10,"Passable",TRUE,"Insuffisant")</f>
        <v>Excellent</v>
      </c>
      <c r="O640">
        <v>0.85640000000000005</v>
      </c>
      <c r="P640">
        <v>120000</v>
      </c>
      <c r="Q640" s="2">
        <v>45644</v>
      </c>
    </row>
    <row r="641" spans="1:17" x14ac:dyDescent="0.45">
      <c r="A641" t="s">
        <v>947</v>
      </c>
      <c r="B641" t="s">
        <v>250</v>
      </c>
      <c r="C641" t="s">
        <v>19</v>
      </c>
      <c r="D641" t="s">
        <v>32</v>
      </c>
      <c r="E641" t="s">
        <v>42</v>
      </c>
      <c r="F641">
        <v>12.16</v>
      </c>
      <c r="G641">
        <v>12.37</v>
      </c>
      <c r="H641">
        <v>14.76</v>
      </c>
      <c r="I641" s="4" t="str">
        <f t="shared" si="36"/>
        <v>Admis</v>
      </c>
      <c r="J641" s="4" t="str">
        <f t="shared" si="37"/>
        <v>Non eligible</v>
      </c>
      <c r="K641">
        <v>15.68</v>
      </c>
      <c r="L641" s="6" t="str">
        <f t="shared" si="38"/>
        <v>RAS</v>
      </c>
      <c r="M641" s="6" t="str">
        <f t="shared" si="39"/>
        <v>Hors Data</v>
      </c>
      <c r="N641" s="8" t="str" cm="1">
        <f t="array" ref="N641">_xlfn.IFS(H641&gt;=16,"Excellent",H641&gt;=14,"Très bien",H641&gt;=12,"Bien",H641&gt;=10,"Passable",TRUE,"Insuffisant")</f>
        <v>Très bien</v>
      </c>
      <c r="O641">
        <v>0.68010000000000004</v>
      </c>
      <c r="P641">
        <v>90000</v>
      </c>
      <c r="Q641" s="2">
        <v>45799</v>
      </c>
    </row>
    <row r="642" spans="1:17" x14ac:dyDescent="0.45">
      <c r="A642" t="s">
        <v>948</v>
      </c>
      <c r="B642" t="s">
        <v>142</v>
      </c>
      <c r="C642" t="s">
        <v>19</v>
      </c>
      <c r="D642" t="s">
        <v>20</v>
      </c>
      <c r="E642" t="s">
        <v>21</v>
      </c>
      <c r="F642">
        <v>15.46</v>
      </c>
      <c r="G642">
        <v>18.02</v>
      </c>
      <c r="H642">
        <v>14.23</v>
      </c>
      <c r="I642" s="4" t="str">
        <f t="shared" si="36"/>
        <v>Admis</v>
      </c>
      <c r="J642" s="4" t="str">
        <f t="shared" si="37"/>
        <v>Non eligible</v>
      </c>
      <c r="K642">
        <v>14.86</v>
      </c>
      <c r="L642" s="6" t="str">
        <f t="shared" si="38"/>
        <v>RAS</v>
      </c>
      <c r="M642" s="6" t="str">
        <f t="shared" si="39"/>
        <v>Hors Data</v>
      </c>
      <c r="N642" s="8" t="str" cm="1">
        <f t="array" ref="N642">_xlfn.IFS(H642&gt;=16,"Excellent",H642&gt;=14,"Très bien",H642&gt;=12,"Bien",H642&gt;=10,"Passable",TRUE,"Insuffisant")</f>
        <v>Très bien</v>
      </c>
      <c r="O642">
        <v>0.55000000000000004</v>
      </c>
      <c r="P642">
        <v>85000</v>
      </c>
      <c r="Q642" s="2">
        <v>45754</v>
      </c>
    </row>
    <row r="643" spans="1:17" x14ac:dyDescent="0.45">
      <c r="A643" t="s">
        <v>949</v>
      </c>
      <c r="B643" t="s">
        <v>427</v>
      </c>
      <c r="C643" t="s">
        <v>19</v>
      </c>
      <c r="D643" t="s">
        <v>47</v>
      </c>
      <c r="E643" t="s">
        <v>29</v>
      </c>
      <c r="F643">
        <v>11.28</v>
      </c>
      <c r="G643">
        <v>18.77</v>
      </c>
      <c r="H643">
        <v>9.26</v>
      </c>
      <c r="I643" s="4" t="str">
        <f t="shared" ref="I643:I706" si="40">IF(H643&gt;=10,"Admis","Non admis")</f>
        <v>Non admis</v>
      </c>
      <c r="J643" s="4" t="str">
        <f t="shared" ref="J643:J706" si="41">IF(AND(F643&gt;=12,H643&gt;=12,O643&gt;=0.8),"Eligible","Non eligible")</f>
        <v>Non eligible</v>
      </c>
      <c r="K643">
        <v>11.45</v>
      </c>
      <c r="L643" s="6" t="str">
        <f t="shared" ref="L643:L706" si="42">IF(OR(F643&lt;10,H643&lt;10),"A surveiller","RAS")</f>
        <v>A surveiller</v>
      </c>
      <c r="M643" s="6" t="str">
        <f t="shared" ref="M643:M706" si="43">IF(NOT(E643="Data"),"Hors Data","Data")</f>
        <v>Hors Data</v>
      </c>
      <c r="N643" s="8" t="str" cm="1">
        <f t="array" ref="N643">_xlfn.IFS(H643&gt;=16,"Excellent",H643&gt;=14,"Très bien",H643&gt;=12,"Bien",H643&gt;=10,"Passable",TRUE,"Insuffisant")</f>
        <v>Insuffisant</v>
      </c>
      <c r="O643">
        <v>0.91769999999999996</v>
      </c>
      <c r="P643">
        <v>130000</v>
      </c>
      <c r="Q643" s="2">
        <v>46114</v>
      </c>
    </row>
    <row r="644" spans="1:17" x14ac:dyDescent="0.45">
      <c r="A644" t="s">
        <v>950</v>
      </c>
      <c r="B644" t="s">
        <v>174</v>
      </c>
      <c r="C644" t="s">
        <v>19</v>
      </c>
      <c r="D644" t="s">
        <v>47</v>
      </c>
      <c r="E644" t="s">
        <v>42</v>
      </c>
      <c r="F644">
        <v>13.13</v>
      </c>
      <c r="G644">
        <v>13.81</v>
      </c>
      <c r="H644">
        <v>13.64</v>
      </c>
      <c r="I644" s="4" t="str">
        <f t="shared" si="40"/>
        <v>Admis</v>
      </c>
      <c r="J644" s="4" t="str">
        <f t="shared" si="41"/>
        <v>Eligible</v>
      </c>
      <c r="K644">
        <v>10.55</v>
      </c>
      <c r="L644" s="6" t="str">
        <f t="shared" si="42"/>
        <v>RAS</v>
      </c>
      <c r="M644" s="6" t="str">
        <f t="shared" si="43"/>
        <v>Hors Data</v>
      </c>
      <c r="N644" s="8" t="str" cm="1">
        <f t="array" ref="N644">_xlfn.IFS(H644&gt;=16,"Excellent",H644&gt;=14,"Très bien",H644&gt;=12,"Bien",H644&gt;=10,"Passable",TRUE,"Insuffisant")</f>
        <v>Bien</v>
      </c>
      <c r="O644">
        <v>0.85019999999999996</v>
      </c>
      <c r="P644">
        <v>100000</v>
      </c>
      <c r="Q644" s="2">
        <v>45750</v>
      </c>
    </row>
    <row r="645" spans="1:17" x14ac:dyDescent="0.45">
      <c r="A645" t="s">
        <v>951</v>
      </c>
      <c r="B645" t="s">
        <v>279</v>
      </c>
      <c r="C645" t="s">
        <v>14</v>
      </c>
      <c r="D645" t="s">
        <v>32</v>
      </c>
      <c r="E645" t="s">
        <v>29</v>
      </c>
      <c r="F645">
        <v>13.81</v>
      </c>
      <c r="G645">
        <v>11.79</v>
      </c>
      <c r="H645">
        <v>13.51</v>
      </c>
      <c r="I645" s="4" t="str">
        <f t="shared" si="40"/>
        <v>Admis</v>
      </c>
      <c r="J645" s="4" t="str">
        <f t="shared" si="41"/>
        <v>Eligible</v>
      </c>
      <c r="K645">
        <v>13.43</v>
      </c>
      <c r="L645" s="6" t="str">
        <f t="shared" si="42"/>
        <v>RAS</v>
      </c>
      <c r="M645" s="6" t="str">
        <f t="shared" si="43"/>
        <v>Hors Data</v>
      </c>
      <c r="N645" s="8" t="str" cm="1">
        <f t="array" ref="N645">_xlfn.IFS(H645&gt;=16,"Excellent",H645&gt;=14,"Très bien",H645&gt;=12,"Bien",H645&gt;=10,"Passable",TRUE,"Insuffisant")</f>
        <v>Bien</v>
      </c>
      <c r="O645">
        <v>0.92879999999999996</v>
      </c>
      <c r="P645">
        <v>70000</v>
      </c>
      <c r="Q645" s="2">
        <v>45633</v>
      </c>
    </row>
    <row r="646" spans="1:17" x14ac:dyDescent="0.45">
      <c r="A646" t="s">
        <v>952</v>
      </c>
      <c r="B646" t="s">
        <v>121</v>
      </c>
      <c r="C646" t="s">
        <v>19</v>
      </c>
      <c r="D646" t="s">
        <v>15</v>
      </c>
      <c r="E646" t="s">
        <v>29</v>
      </c>
      <c r="F646">
        <v>13.9</v>
      </c>
      <c r="G646">
        <v>11.49</v>
      </c>
      <c r="H646">
        <v>15.77</v>
      </c>
      <c r="I646" s="4" t="str">
        <f t="shared" si="40"/>
        <v>Admis</v>
      </c>
      <c r="J646" s="4" t="str">
        <f t="shared" si="41"/>
        <v>Eligible</v>
      </c>
      <c r="K646">
        <v>11.61</v>
      </c>
      <c r="L646" s="6" t="str">
        <f t="shared" si="42"/>
        <v>RAS</v>
      </c>
      <c r="M646" s="6" t="str">
        <f t="shared" si="43"/>
        <v>Hors Data</v>
      </c>
      <c r="N646" s="8" t="str" cm="1">
        <f t="array" ref="N646">_xlfn.IFS(H646&gt;=16,"Excellent",H646&gt;=14,"Très bien",H646&gt;=12,"Bien",H646&gt;=10,"Passable",TRUE,"Insuffisant")</f>
        <v>Très bien</v>
      </c>
      <c r="O646">
        <v>0.97140000000000004</v>
      </c>
      <c r="P646">
        <v>75000</v>
      </c>
      <c r="Q646" s="2">
        <v>46051</v>
      </c>
    </row>
    <row r="647" spans="1:17" x14ac:dyDescent="0.45">
      <c r="A647" t="s">
        <v>953</v>
      </c>
      <c r="B647" t="s">
        <v>235</v>
      </c>
      <c r="C647" t="s">
        <v>14</v>
      </c>
      <c r="D647" t="s">
        <v>15</v>
      </c>
      <c r="E647" t="s">
        <v>29</v>
      </c>
      <c r="F647">
        <v>13.64</v>
      </c>
      <c r="G647">
        <v>14.9</v>
      </c>
      <c r="H647">
        <v>14.88</v>
      </c>
      <c r="I647" s="4" t="str">
        <f t="shared" si="40"/>
        <v>Admis</v>
      </c>
      <c r="J647" s="4" t="str">
        <f t="shared" si="41"/>
        <v>Eligible</v>
      </c>
      <c r="K647">
        <v>10.07</v>
      </c>
      <c r="L647" s="6" t="str">
        <f t="shared" si="42"/>
        <v>RAS</v>
      </c>
      <c r="M647" s="6" t="str">
        <f t="shared" si="43"/>
        <v>Hors Data</v>
      </c>
      <c r="N647" s="8" t="str" cm="1">
        <f t="array" ref="N647">_xlfn.IFS(H647&gt;=16,"Excellent",H647&gt;=14,"Très bien",H647&gt;=12,"Bien",H647&gt;=10,"Passable",TRUE,"Insuffisant")</f>
        <v>Très bien</v>
      </c>
      <c r="O647">
        <v>0.94579999999999997</v>
      </c>
      <c r="P647">
        <v>100000</v>
      </c>
      <c r="Q647" s="2">
        <v>45835</v>
      </c>
    </row>
    <row r="648" spans="1:17" x14ac:dyDescent="0.45">
      <c r="A648" t="s">
        <v>954</v>
      </c>
      <c r="B648" t="s">
        <v>866</v>
      </c>
      <c r="C648" t="s">
        <v>14</v>
      </c>
      <c r="D648" t="s">
        <v>32</v>
      </c>
      <c r="E648" t="s">
        <v>16</v>
      </c>
      <c r="F648">
        <v>6.96</v>
      </c>
      <c r="G648">
        <v>17.07</v>
      </c>
      <c r="H648">
        <v>16.489999999999998</v>
      </c>
      <c r="I648" s="4" t="str">
        <f t="shared" si="40"/>
        <v>Admis</v>
      </c>
      <c r="J648" s="4" t="str">
        <f t="shared" si="41"/>
        <v>Non eligible</v>
      </c>
      <c r="K648">
        <v>12.19</v>
      </c>
      <c r="L648" s="6" t="str">
        <f t="shared" si="42"/>
        <v>A surveiller</v>
      </c>
      <c r="M648" s="6" t="str">
        <f t="shared" si="43"/>
        <v>Data</v>
      </c>
      <c r="N648" s="8" t="str" cm="1">
        <f t="array" ref="N648">_xlfn.IFS(H648&gt;=16,"Excellent",H648&gt;=14,"Très bien",H648&gt;=12,"Bien",H648&gt;=10,"Passable",TRUE,"Insuffisant")</f>
        <v>Excellent</v>
      </c>
      <c r="O648">
        <v>0.80489999999999995</v>
      </c>
      <c r="P648">
        <v>50000</v>
      </c>
      <c r="Q648" s="2">
        <v>45603</v>
      </c>
    </row>
    <row r="649" spans="1:17" x14ac:dyDescent="0.45">
      <c r="A649" t="s">
        <v>955</v>
      </c>
      <c r="B649" t="s">
        <v>479</v>
      </c>
      <c r="C649" t="s">
        <v>19</v>
      </c>
      <c r="D649" t="s">
        <v>15</v>
      </c>
      <c r="E649" t="s">
        <v>29</v>
      </c>
      <c r="F649">
        <v>11.99</v>
      </c>
      <c r="G649">
        <v>9.33</v>
      </c>
      <c r="H649">
        <v>9.58</v>
      </c>
      <c r="I649" s="4" t="str">
        <f t="shared" si="40"/>
        <v>Non admis</v>
      </c>
      <c r="J649" s="4" t="str">
        <f t="shared" si="41"/>
        <v>Non eligible</v>
      </c>
      <c r="K649">
        <v>12.09</v>
      </c>
      <c r="L649" s="6" t="str">
        <f t="shared" si="42"/>
        <v>A surveiller</v>
      </c>
      <c r="M649" s="6" t="str">
        <f t="shared" si="43"/>
        <v>Hors Data</v>
      </c>
      <c r="N649" s="8" t="str" cm="1">
        <f t="array" ref="N649">_xlfn.IFS(H649&gt;=16,"Excellent",H649&gt;=14,"Très bien",H649&gt;=12,"Bien",H649&gt;=10,"Passable",TRUE,"Insuffisant")</f>
        <v>Insuffisant</v>
      </c>
      <c r="O649">
        <v>0.9093</v>
      </c>
      <c r="P649">
        <v>60000</v>
      </c>
      <c r="Q649" s="2">
        <v>46018</v>
      </c>
    </row>
    <row r="650" spans="1:17" x14ac:dyDescent="0.45">
      <c r="A650" t="s">
        <v>956</v>
      </c>
      <c r="B650" t="s">
        <v>755</v>
      </c>
      <c r="C650" t="s">
        <v>19</v>
      </c>
      <c r="D650" t="s">
        <v>15</v>
      </c>
      <c r="E650" t="s">
        <v>42</v>
      </c>
      <c r="F650">
        <v>16.399999999999999</v>
      </c>
      <c r="G650">
        <v>15.12</v>
      </c>
      <c r="H650">
        <v>14.37</v>
      </c>
      <c r="I650" s="4" t="str">
        <f t="shared" si="40"/>
        <v>Admis</v>
      </c>
      <c r="J650" s="4" t="str">
        <f t="shared" si="41"/>
        <v>Non eligible</v>
      </c>
      <c r="K650">
        <v>17.68</v>
      </c>
      <c r="L650" s="6" t="str">
        <f t="shared" si="42"/>
        <v>RAS</v>
      </c>
      <c r="M650" s="6" t="str">
        <f t="shared" si="43"/>
        <v>Hors Data</v>
      </c>
      <c r="N650" s="8" t="str" cm="1">
        <f t="array" ref="N650">_xlfn.IFS(H650&gt;=16,"Excellent",H650&gt;=14,"Très bien",H650&gt;=12,"Bien",H650&gt;=10,"Passable",TRUE,"Insuffisant")</f>
        <v>Très bien</v>
      </c>
      <c r="O650">
        <v>0.70750000000000002</v>
      </c>
      <c r="P650">
        <v>50000</v>
      </c>
      <c r="Q650" s="2">
        <v>45683</v>
      </c>
    </row>
    <row r="651" spans="1:17" x14ac:dyDescent="0.45">
      <c r="A651" t="s">
        <v>957</v>
      </c>
      <c r="B651" t="s">
        <v>71</v>
      </c>
      <c r="C651" t="s">
        <v>19</v>
      </c>
      <c r="D651" t="s">
        <v>28</v>
      </c>
      <c r="E651" t="s">
        <v>42</v>
      </c>
      <c r="F651">
        <v>20</v>
      </c>
      <c r="G651">
        <v>20</v>
      </c>
      <c r="H651">
        <v>19.13</v>
      </c>
      <c r="I651" s="4" t="str">
        <f t="shared" si="40"/>
        <v>Admis</v>
      </c>
      <c r="J651" s="4" t="str">
        <f t="shared" si="41"/>
        <v>Eligible</v>
      </c>
      <c r="K651">
        <v>20</v>
      </c>
      <c r="L651" s="6" t="str">
        <f t="shared" si="42"/>
        <v>RAS</v>
      </c>
      <c r="M651" s="6" t="str">
        <f t="shared" si="43"/>
        <v>Hors Data</v>
      </c>
      <c r="N651" s="8" t="str" cm="1">
        <f t="array" ref="N651">_xlfn.IFS(H651&gt;=16,"Excellent",H651&gt;=14,"Très bien",H651&gt;=12,"Bien",H651&gt;=10,"Passable",TRUE,"Insuffisant")</f>
        <v>Excellent</v>
      </c>
      <c r="O651">
        <v>0.89190000000000003</v>
      </c>
      <c r="P651">
        <v>100000</v>
      </c>
      <c r="Q651" s="2">
        <v>46143</v>
      </c>
    </row>
    <row r="652" spans="1:17" x14ac:dyDescent="0.45">
      <c r="A652" t="s">
        <v>958</v>
      </c>
      <c r="B652" t="s">
        <v>827</v>
      </c>
      <c r="C652" t="s">
        <v>14</v>
      </c>
      <c r="D652" t="s">
        <v>28</v>
      </c>
      <c r="E652" t="s">
        <v>21</v>
      </c>
      <c r="F652">
        <v>8.3000000000000007</v>
      </c>
      <c r="G652">
        <v>10.83</v>
      </c>
      <c r="H652">
        <v>7.17</v>
      </c>
      <c r="I652" s="4" t="str">
        <f t="shared" si="40"/>
        <v>Non admis</v>
      </c>
      <c r="J652" s="4" t="str">
        <f t="shared" si="41"/>
        <v>Non eligible</v>
      </c>
      <c r="K652">
        <v>2.71</v>
      </c>
      <c r="L652" s="6" t="str">
        <f t="shared" si="42"/>
        <v>A surveiller</v>
      </c>
      <c r="M652" s="6" t="str">
        <f t="shared" si="43"/>
        <v>Hors Data</v>
      </c>
      <c r="N652" s="8" t="str" cm="1">
        <f t="array" ref="N652">_xlfn.IFS(H652&gt;=16,"Excellent",H652&gt;=14,"Très bien",H652&gt;=12,"Bien",H652&gt;=10,"Passable",TRUE,"Insuffisant")</f>
        <v>Insuffisant</v>
      </c>
      <c r="O652">
        <v>0.94720000000000004</v>
      </c>
      <c r="P652">
        <v>80000</v>
      </c>
      <c r="Q652" s="2">
        <v>46118</v>
      </c>
    </row>
    <row r="653" spans="1:17" x14ac:dyDescent="0.45">
      <c r="A653" t="s">
        <v>959</v>
      </c>
      <c r="B653" t="s">
        <v>92</v>
      </c>
      <c r="C653" t="s">
        <v>19</v>
      </c>
      <c r="D653" t="s">
        <v>35</v>
      </c>
      <c r="E653" t="s">
        <v>16</v>
      </c>
      <c r="F653">
        <v>18.02</v>
      </c>
      <c r="G653">
        <v>14.05</v>
      </c>
      <c r="H653">
        <v>17.36</v>
      </c>
      <c r="I653" s="4" t="str">
        <f t="shared" si="40"/>
        <v>Admis</v>
      </c>
      <c r="J653" s="4" t="str">
        <f t="shared" si="41"/>
        <v>Non eligible</v>
      </c>
      <c r="K653">
        <v>15.72</v>
      </c>
      <c r="L653" s="6" t="str">
        <f t="shared" si="42"/>
        <v>RAS</v>
      </c>
      <c r="M653" s="6" t="str">
        <f t="shared" si="43"/>
        <v>Data</v>
      </c>
      <c r="N653" s="8" t="str" cm="1">
        <f t="array" ref="N653">_xlfn.IFS(H653&gt;=16,"Excellent",H653&gt;=14,"Très bien",H653&gt;=12,"Bien",H653&gt;=10,"Passable",TRUE,"Insuffisant")</f>
        <v>Excellent</v>
      </c>
      <c r="O653">
        <v>0.78739999999999999</v>
      </c>
      <c r="P653">
        <v>50000</v>
      </c>
      <c r="Q653" s="2">
        <v>45794</v>
      </c>
    </row>
    <row r="654" spans="1:17" x14ac:dyDescent="0.45">
      <c r="A654" t="s">
        <v>960</v>
      </c>
      <c r="B654" t="s">
        <v>558</v>
      </c>
      <c r="C654" t="s">
        <v>14</v>
      </c>
      <c r="D654" t="s">
        <v>20</v>
      </c>
      <c r="E654" t="s">
        <v>21</v>
      </c>
      <c r="F654">
        <v>12.06</v>
      </c>
      <c r="G654">
        <v>8.33</v>
      </c>
      <c r="H654">
        <v>14.84</v>
      </c>
      <c r="I654" s="4" t="str">
        <f t="shared" si="40"/>
        <v>Admis</v>
      </c>
      <c r="J654" s="4" t="str">
        <f t="shared" si="41"/>
        <v>Eligible</v>
      </c>
      <c r="K654">
        <v>10.039999999999999</v>
      </c>
      <c r="L654" s="6" t="str">
        <f t="shared" si="42"/>
        <v>RAS</v>
      </c>
      <c r="M654" s="6" t="str">
        <f t="shared" si="43"/>
        <v>Hors Data</v>
      </c>
      <c r="N654" s="8" t="str" cm="1">
        <f t="array" ref="N654">_xlfn.IFS(H654&gt;=16,"Excellent",H654&gt;=14,"Très bien",H654&gt;=12,"Bien",H654&gt;=10,"Passable",TRUE,"Insuffisant")</f>
        <v>Très bien</v>
      </c>
      <c r="O654">
        <v>0.85770000000000002</v>
      </c>
      <c r="P654">
        <v>110000</v>
      </c>
      <c r="Q654" s="2">
        <v>45924</v>
      </c>
    </row>
    <row r="655" spans="1:17" x14ac:dyDescent="0.45">
      <c r="A655" t="s">
        <v>961</v>
      </c>
      <c r="B655" t="s">
        <v>874</v>
      </c>
      <c r="C655" t="s">
        <v>19</v>
      </c>
      <c r="D655" t="s">
        <v>32</v>
      </c>
      <c r="E655" t="s">
        <v>21</v>
      </c>
      <c r="F655">
        <v>16.079999999999998</v>
      </c>
      <c r="G655">
        <v>16.88</v>
      </c>
      <c r="H655">
        <v>12.79</v>
      </c>
      <c r="I655" s="4" t="str">
        <f t="shared" si="40"/>
        <v>Admis</v>
      </c>
      <c r="J655" s="4" t="str">
        <f t="shared" si="41"/>
        <v>Eligible</v>
      </c>
      <c r="K655">
        <v>16.010000000000002</v>
      </c>
      <c r="L655" s="6" t="str">
        <f t="shared" si="42"/>
        <v>RAS</v>
      </c>
      <c r="M655" s="6" t="str">
        <f t="shared" si="43"/>
        <v>Hors Data</v>
      </c>
      <c r="N655" s="8" t="str" cm="1">
        <f t="array" ref="N655">_xlfn.IFS(H655&gt;=16,"Excellent",H655&gt;=14,"Très bien",H655&gt;=12,"Bien",H655&gt;=10,"Passable",TRUE,"Insuffisant")</f>
        <v>Bien</v>
      </c>
      <c r="O655">
        <v>0.95340000000000003</v>
      </c>
      <c r="P655">
        <v>100000</v>
      </c>
      <c r="Q655" s="2">
        <v>45933</v>
      </c>
    </row>
    <row r="656" spans="1:17" x14ac:dyDescent="0.45">
      <c r="A656" t="s">
        <v>962</v>
      </c>
      <c r="B656" t="s">
        <v>220</v>
      </c>
      <c r="C656" t="s">
        <v>19</v>
      </c>
      <c r="D656" t="s">
        <v>35</v>
      </c>
      <c r="E656" t="s">
        <v>29</v>
      </c>
      <c r="F656">
        <v>15.93</v>
      </c>
      <c r="G656">
        <v>16.5</v>
      </c>
      <c r="H656">
        <v>12.82</v>
      </c>
      <c r="I656" s="4" t="str">
        <f t="shared" si="40"/>
        <v>Admis</v>
      </c>
      <c r="J656" s="4" t="str">
        <f t="shared" si="41"/>
        <v>Eligible</v>
      </c>
      <c r="K656">
        <v>13.5</v>
      </c>
      <c r="L656" s="6" t="str">
        <f t="shared" si="42"/>
        <v>RAS</v>
      </c>
      <c r="M656" s="6" t="str">
        <f t="shared" si="43"/>
        <v>Hors Data</v>
      </c>
      <c r="N656" s="8" t="str" cm="1">
        <f t="array" ref="N656">_xlfn.IFS(H656&gt;=16,"Excellent",H656&gt;=14,"Très bien",H656&gt;=12,"Bien",H656&gt;=10,"Passable",TRUE,"Insuffisant")</f>
        <v>Bien</v>
      </c>
      <c r="O656">
        <v>0.93410000000000004</v>
      </c>
      <c r="P656">
        <v>100000</v>
      </c>
      <c r="Q656" s="2">
        <v>45993</v>
      </c>
    </row>
    <row r="657" spans="1:17" x14ac:dyDescent="0.45">
      <c r="A657" t="s">
        <v>963</v>
      </c>
      <c r="B657" t="s">
        <v>44</v>
      </c>
      <c r="C657" t="s">
        <v>19</v>
      </c>
      <c r="D657" t="s">
        <v>28</v>
      </c>
      <c r="E657" t="s">
        <v>29</v>
      </c>
      <c r="F657">
        <v>16.43</v>
      </c>
      <c r="G657">
        <v>15.85</v>
      </c>
      <c r="H657">
        <v>15.67</v>
      </c>
      <c r="I657" s="4" t="str">
        <f t="shared" si="40"/>
        <v>Admis</v>
      </c>
      <c r="J657" s="4" t="str">
        <f t="shared" si="41"/>
        <v>Eligible</v>
      </c>
      <c r="K657">
        <v>15.11</v>
      </c>
      <c r="L657" s="6" t="str">
        <f t="shared" si="42"/>
        <v>RAS</v>
      </c>
      <c r="M657" s="6" t="str">
        <f t="shared" si="43"/>
        <v>Hors Data</v>
      </c>
      <c r="N657" s="8" t="str" cm="1">
        <f t="array" ref="N657">_xlfn.IFS(H657&gt;=16,"Excellent",H657&gt;=14,"Très bien",H657&gt;=12,"Bien",H657&gt;=10,"Passable",TRUE,"Insuffisant")</f>
        <v>Très bien</v>
      </c>
      <c r="O657">
        <v>0.88429999999999997</v>
      </c>
      <c r="P657">
        <v>60000</v>
      </c>
      <c r="Q657" s="2">
        <v>45584</v>
      </c>
    </row>
    <row r="658" spans="1:17" x14ac:dyDescent="0.45">
      <c r="A658" t="s">
        <v>964</v>
      </c>
      <c r="B658" t="s">
        <v>55</v>
      </c>
      <c r="C658" t="s">
        <v>19</v>
      </c>
      <c r="D658" t="s">
        <v>32</v>
      </c>
      <c r="E658" t="s">
        <v>29</v>
      </c>
      <c r="F658">
        <v>14.82</v>
      </c>
      <c r="G658">
        <v>18.079999999999998</v>
      </c>
      <c r="H658">
        <v>18.28</v>
      </c>
      <c r="I658" s="4" t="str">
        <f t="shared" si="40"/>
        <v>Admis</v>
      </c>
      <c r="J658" s="4" t="str">
        <f t="shared" si="41"/>
        <v>Eligible</v>
      </c>
      <c r="K658">
        <v>16.47</v>
      </c>
      <c r="L658" s="6" t="str">
        <f t="shared" si="42"/>
        <v>RAS</v>
      </c>
      <c r="M658" s="6" t="str">
        <f t="shared" si="43"/>
        <v>Hors Data</v>
      </c>
      <c r="N658" s="8" t="str" cm="1">
        <f t="array" ref="N658">_xlfn.IFS(H658&gt;=16,"Excellent",H658&gt;=14,"Très bien",H658&gt;=12,"Bien",H658&gt;=10,"Passable",TRUE,"Insuffisant")</f>
        <v>Excellent</v>
      </c>
      <c r="O658">
        <v>0.86040000000000005</v>
      </c>
      <c r="P658">
        <v>120000</v>
      </c>
      <c r="Q658" s="2">
        <v>45763</v>
      </c>
    </row>
    <row r="659" spans="1:17" x14ac:dyDescent="0.45">
      <c r="A659" t="s">
        <v>965</v>
      </c>
      <c r="B659" t="s">
        <v>304</v>
      </c>
      <c r="C659" t="s">
        <v>19</v>
      </c>
      <c r="D659" t="s">
        <v>15</v>
      </c>
      <c r="E659" t="s">
        <v>42</v>
      </c>
      <c r="F659">
        <v>8.67</v>
      </c>
      <c r="G659">
        <v>13.39</v>
      </c>
      <c r="H659">
        <v>10.37</v>
      </c>
      <c r="I659" s="4" t="str">
        <f t="shared" si="40"/>
        <v>Admis</v>
      </c>
      <c r="J659" s="4" t="str">
        <f t="shared" si="41"/>
        <v>Non eligible</v>
      </c>
      <c r="K659">
        <v>13.89</v>
      </c>
      <c r="L659" s="6" t="str">
        <f t="shared" si="42"/>
        <v>A surveiller</v>
      </c>
      <c r="M659" s="6" t="str">
        <f t="shared" si="43"/>
        <v>Hors Data</v>
      </c>
      <c r="N659" s="8" t="str" cm="1">
        <f t="array" ref="N659">_xlfn.IFS(H659&gt;=16,"Excellent",H659&gt;=14,"Très bien",H659&gt;=12,"Bien",H659&gt;=10,"Passable",TRUE,"Insuffisant")</f>
        <v>Passable</v>
      </c>
      <c r="O659">
        <v>0.89090000000000003</v>
      </c>
      <c r="P659">
        <v>60000</v>
      </c>
      <c r="Q659" s="2">
        <v>45655</v>
      </c>
    </row>
    <row r="660" spans="1:17" x14ac:dyDescent="0.45">
      <c r="A660" t="s">
        <v>966</v>
      </c>
      <c r="B660" t="s">
        <v>488</v>
      </c>
      <c r="C660" t="s">
        <v>14</v>
      </c>
      <c r="D660" t="s">
        <v>20</v>
      </c>
      <c r="E660" t="s">
        <v>21</v>
      </c>
      <c r="F660">
        <v>15.62</v>
      </c>
      <c r="G660">
        <v>15.21</v>
      </c>
      <c r="H660">
        <v>13.34</v>
      </c>
      <c r="I660" s="4" t="str">
        <f t="shared" si="40"/>
        <v>Admis</v>
      </c>
      <c r="J660" s="4" t="str">
        <f t="shared" si="41"/>
        <v>Non eligible</v>
      </c>
      <c r="K660">
        <v>19.53</v>
      </c>
      <c r="L660" s="6" t="str">
        <f t="shared" si="42"/>
        <v>RAS</v>
      </c>
      <c r="M660" s="6" t="str">
        <f t="shared" si="43"/>
        <v>Hors Data</v>
      </c>
      <c r="N660" s="8" t="str" cm="1">
        <f t="array" ref="N660">_xlfn.IFS(H660&gt;=16,"Excellent",H660&gt;=14,"Très bien",H660&gt;=12,"Bien",H660&gt;=10,"Passable",TRUE,"Insuffisant")</f>
        <v>Bien</v>
      </c>
      <c r="O660">
        <v>0.69230000000000003</v>
      </c>
      <c r="P660">
        <v>90000</v>
      </c>
      <c r="Q660" s="2">
        <v>46024</v>
      </c>
    </row>
    <row r="661" spans="1:17" x14ac:dyDescent="0.45">
      <c r="A661" t="s">
        <v>967</v>
      </c>
      <c r="B661" t="s">
        <v>549</v>
      </c>
      <c r="C661" t="s">
        <v>14</v>
      </c>
      <c r="D661" t="s">
        <v>20</v>
      </c>
      <c r="E661" t="s">
        <v>42</v>
      </c>
      <c r="F661">
        <v>8.61</v>
      </c>
      <c r="G661">
        <v>9.59</v>
      </c>
      <c r="H661">
        <v>8.2100000000000009</v>
      </c>
      <c r="I661" s="4" t="str">
        <f t="shared" si="40"/>
        <v>Non admis</v>
      </c>
      <c r="J661" s="4" t="str">
        <f t="shared" si="41"/>
        <v>Non eligible</v>
      </c>
      <c r="K661">
        <v>6.79</v>
      </c>
      <c r="L661" s="6" t="str">
        <f t="shared" si="42"/>
        <v>A surveiller</v>
      </c>
      <c r="M661" s="6" t="str">
        <f t="shared" si="43"/>
        <v>Hors Data</v>
      </c>
      <c r="N661" s="8" t="str" cm="1">
        <f t="array" ref="N661">_xlfn.IFS(H661&gt;=16,"Excellent",H661&gt;=14,"Très bien",H661&gt;=12,"Bien",H661&gt;=10,"Passable",TRUE,"Insuffisant")</f>
        <v>Insuffisant</v>
      </c>
      <c r="O661">
        <v>0.60650000000000004</v>
      </c>
      <c r="P661">
        <v>90000</v>
      </c>
      <c r="Q661" s="2">
        <v>45584</v>
      </c>
    </row>
    <row r="662" spans="1:17" x14ac:dyDescent="0.45">
      <c r="A662" t="s">
        <v>968</v>
      </c>
      <c r="B662" t="s">
        <v>969</v>
      </c>
      <c r="C662" t="s">
        <v>14</v>
      </c>
      <c r="D662" t="s">
        <v>15</v>
      </c>
      <c r="E662" t="s">
        <v>42</v>
      </c>
      <c r="F662">
        <v>17.18</v>
      </c>
      <c r="G662">
        <v>19.21</v>
      </c>
      <c r="H662">
        <v>13.87</v>
      </c>
      <c r="I662" s="4" t="str">
        <f t="shared" si="40"/>
        <v>Admis</v>
      </c>
      <c r="J662" s="4" t="str">
        <f t="shared" si="41"/>
        <v>Eligible</v>
      </c>
      <c r="K662">
        <v>20</v>
      </c>
      <c r="L662" s="6" t="str">
        <f t="shared" si="42"/>
        <v>RAS</v>
      </c>
      <c r="M662" s="6" t="str">
        <f t="shared" si="43"/>
        <v>Hors Data</v>
      </c>
      <c r="N662" s="8" t="str" cm="1">
        <f t="array" ref="N662">_xlfn.IFS(H662&gt;=16,"Excellent",H662&gt;=14,"Très bien",H662&gt;=12,"Bien",H662&gt;=10,"Passable",TRUE,"Insuffisant")</f>
        <v>Bien</v>
      </c>
      <c r="O662">
        <v>0.95640000000000003</v>
      </c>
      <c r="P662">
        <v>70000</v>
      </c>
      <c r="Q662" s="2">
        <v>45897</v>
      </c>
    </row>
    <row r="663" spans="1:17" x14ac:dyDescent="0.45">
      <c r="A663" t="s">
        <v>970</v>
      </c>
      <c r="B663" t="s">
        <v>160</v>
      </c>
      <c r="C663" t="s">
        <v>19</v>
      </c>
      <c r="D663" t="s">
        <v>47</v>
      </c>
      <c r="E663" t="s">
        <v>42</v>
      </c>
      <c r="F663">
        <v>16.309999999999999</v>
      </c>
      <c r="G663">
        <v>16.03</v>
      </c>
      <c r="H663">
        <v>13.77</v>
      </c>
      <c r="I663" s="4" t="str">
        <f t="shared" si="40"/>
        <v>Admis</v>
      </c>
      <c r="J663" s="4" t="str">
        <f t="shared" si="41"/>
        <v>Eligible</v>
      </c>
      <c r="K663">
        <v>16.52</v>
      </c>
      <c r="L663" s="6" t="str">
        <f t="shared" si="42"/>
        <v>RAS</v>
      </c>
      <c r="M663" s="6" t="str">
        <f t="shared" si="43"/>
        <v>Hors Data</v>
      </c>
      <c r="N663" s="8" t="str" cm="1">
        <f t="array" ref="N663">_xlfn.IFS(H663&gt;=16,"Excellent",H663&gt;=14,"Très bien",H663&gt;=12,"Bien",H663&gt;=10,"Passable",TRUE,"Insuffisant")</f>
        <v>Bien</v>
      </c>
      <c r="O663">
        <v>0.90159999999999996</v>
      </c>
      <c r="P663">
        <v>80000</v>
      </c>
      <c r="Q663" s="2">
        <v>46045</v>
      </c>
    </row>
    <row r="664" spans="1:17" x14ac:dyDescent="0.45">
      <c r="A664" t="s">
        <v>971</v>
      </c>
      <c r="B664" t="s">
        <v>476</v>
      </c>
      <c r="C664" t="s">
        <v>14</v>
      </c>
      <c r="D664" t="s">
        <v>32</v>
      </c>
      <c r="E664" t="s">
        <v>16</v>
      </c>
      <c r="F664">
        <v>16.850000000000001</v>
      </c>
      <c r="G664">
        <v>20</v>
      </c>
      <c r="H664">
        <v>17.07</v>
      </c>
      <c r="I664" s="4" t="str">
        <f t="shared" si="40"/>
        <v>Admis</v>
      </c>
      <c r="J664" s="4" t="str">
        <f t="shared" si="41"/>
        <v>Eligible</v>
      </c>
      <c r="K664">
        <v>17.89</v>
      </c>
      <c r="L664" s="6" t="str">
        <f t="shared" si="42"/>
        <v>RAS</v>
      </c>
      <c r="M664" s="6" t="str">
        <f t="shared" si="43"/>
        <v>Data</v>
      </c>
      <c r="N664" s="8" t="str" cm="1">
        <f t="array" ref="N664">_xlfn.IFS(H664&gt;=16,"Excellent",H664&gt;=14,"Très bien",H664&gt;=12,"Bien",H664&gt;=10,"Passable",TRUE,"Insuffisant")</f>
        <v>Excellent</v>
      </c>
      <c r="O664">
        <v>0.91339999999999999</v>
      </c>
      <c r="P664">
        <v>50000</v>
      </c>
      <c r="Q664" s="2">
        <v>46199</v>
      </c>
    </row>
    <row r="665" spans="1:17" x14ac:dyDescent="0.45">
      <c r="A665" t="s">
        <v>972</v>
      </c>
      <c r="B665" t="s">
        <v>196</v>
      </c>
      <c r="C665" t="s">
        <v>14</v>
      </c>
      <c r="D665" t="s">
        <v>47</v>
      </c>
      <c r="E665" t="s">
        <v>42</v>
      </c>
      <c r="F665">
        <v>12.92</v>
      </c>
      <c r="G665">
        <v>8.16</v>
      </c>
      <c r="H665">
        <v>11.2</v>
      </c>
      <c r="I665" s="4" t="str">
        <f t="shared" si="40"/>
        <v>Admis</v>
      </c>
      <c r="J665" s="4" t="str">
        <f t="shared" si="41"/>
        <v>Non eligible</v>
      </c>
      <c r="K665">
        <v>6.05</v>
      </c>
      <c r="L665" s="6" t="str">
        <f t="shared" si="42"/>
        <v>RAS</v>
      </c>
      <c r="M665" s="6" t="str">
        <f t="shared" si="43"/>
        <v>Hors Data</v>
      </c>
      <c r="N665" s="8" t="str" cm="1">
        <f t="array" ref="N665">_xlfn.IFS(H665&gt;=16,"Excellent",H665&gt;=14,"Très bien",H665&gt;=12,"Bien",H665&gt;=10,"Passable",TRUE,"Insuffisant")</f>
        <v>Passable</v>
      </c>
      <c r="O665">
        <v>0.94720000000000004</v>
      </c>
      <c r="P665">
        <v>85000</v>
      </c>
      <c r="Q665" s="2">
        <v>45737</v>
      </c>
    </row>
    <row r="666" spans="1:17" x14ac:dyDescent="0.45">
      <c r="A666" t="s">
        <v>973</v>
      </c>
      <c r="B666" t="s">
        <v>309</v>
      </c>
      <c r="C666" t="s">
        <v>19</v>
      </c>
      <c r="D666" t="s">
        <v>20</v>
      </c>
      <c r="E666" t="s">
        <v>16</v>
      </c>
      <c r="F666">
        <v>10.52</v>
      </c>
      <c r="G666">
        <v>10.36</v>
      </c>
      <c r="H666">
        <v>11.06</v>
      </c>
      <c r="I666" s="4" t="str">
        <f t="shared" si="40"/>
        <v>Admis</v>
      </c>
      <c r="J666" s="4" t="str">
        <f t="shared" si="41"/>
        <v>Non eligible</v>
      </c>
      <c r="K666">
        <v>13.53</v>
      </c>
      <c r="L666" s="6" t="str">
        <f t="shared" si="42"/>
        <v>RAS</v>
      </c>
      <c r="M666" s="6" t="str">
        <f t="shared" si="43"/>
        <v>Data</v>
      </c>
      <c r="N666" s="8" t="str" cm="1">
        <f t="array" ref="N666">_xlfn.IFS(H666&gt;=16,"Excellent",H666&gt;=14,"Très bien",H666&gt;=12,"Bien",H666&gt;=10,"Passable",TRUE,"Insuffisant")</f>
        <v>Passable</v>
      </c>
      <c r="O666">
        <v>0.97170000000000001</v>
      </c>
      <c r="P666">
        <v>100000</v>
      </c>
      <c r="Q666" s="2">
        <v>45541</v>
      </c>
    </row>
    <row r="667" spans="1:17" x14ac:dyDescent="0.45">
      <c r="A667" t="s">
        <v>974</v>
      </c>
      <c r="B667" t="s">
        <v>295</v>
      </c>
      <c r="C667" t="s">
        <v>19</v>
      </c>
      <c r="D667" t="s">
        <v>28</v>
      </c>
      <c r="E667" t="s">
        <v>21</v>
      </c>
      <c r="F667">
        <v>14.94</v>
      </c>
      <c r="G667">
        <v>14.66</v>
      </c>
      <c r="H667">
        <v>13.3</v>
      </c>
      <c r="I667" s="4" t="str">
        <f t="shared" si="40"/>
        <v>Admis</v>
      </c>
      <c r="J667" s="4" t="str">
        <f t="shared" si="41"/>
        <v>Eligible</v>
      </c>
      <c r="K667">
        <v>12.8</v>
      </c>
      <c r="L667" s="6" t="str">
        <f t="shared" si="42"/>
        <v>RAS</v>
      </c>
      <c r="M667" s="6" t="str">
        <f t="shared" si="43"/>
        <v>Hors Data</v>
      </c>
      <c r="N667" s="8" t="str" cm="1">
        <f t="array" ref="N667">_xlfn.IFS(H667&gt;=16,"Excellent",H667&gt;=14,"Très bien",H667&gt;=12,"Bien",H667&gt;=10,"Passable",TRUE,"Insuffisant")</f>
        <v>Bien</v>
      </c>
      <c r="O667">
        <v>0.93730000000000002</v>
      </c>
      <c r="P667">
        <v>75000</v>
      </c>
      <c r="Q667" s="2">
        <v>46042</v>
      </c>
    </row>
    <row r="668" spans="1:17" x14ac:dyDescent="0.45">
      <c r="A668" t="s">
        <v>975</v>
      </c>
      <c r="B668" t="s">
        <v>414</v>
      </c>
      <c r="C668" t="s">
        <v>19</v>
      </c>
      <c r="D668" t="s">
        <v>15</v>
      </c>
      <c r="E668" t="s">
        <v>21</v>
      </c>
      <c r="F668">
        <v>14.57</v>
      </c>
      <c r="G668">
        <v>12.61</v>
      </c>
      <c r="H668">
        <v>15.51</v>
      </c>
      <c r="I668" s="4" t="str">
        <f t="shared" si="40"/>
        <v>Admis</v>
      </c>
      <c r="J668" s="4" t="str">
        <f t="shared" si="41"/>
        <v>Eligible</v>
      </c>
      <c r="K668">
        <v>14.93</v>
      </c>
      <c r="L668" s="6" t="str">
        <f t="shared" si="42"/>
        <v>RAS</v>
      </c>
      <c r="M668" s="6" t="str">
        <f t="shared" si="43"/>
        <v>Hors Data</v>
      </c>
      <c r="N668" s="8" t="str" cm="1">
        <f t="array" ref="N668">_xlfn.IFS(H668&gt;=16,"Excellent",H668&gt;=14,"Très bien",H668&gt;=12,"Bien",H668&gt;=10,"Passable",TRUE,"Insuffisant")</f>
        <v>Très bien</v>
      </c>
      <c r="O668">
        <v>0.80459999999999998</v>
      </c>
      <c r="P668">
        <v>85000</v>
      </c>
      <c r="Q668" s="2">
        <v>45537</v>
      </c>
    </row>
    <row r="669" spans="1:17" x14ac:dyDescent="0.45">
      <c r="A669" t="s">
        <v>976</v>
      </c>
      <c r="B669" t="s">
        <v>117</v>
      </c>
      <c r="C669" t="s">
        <v>19</v>
      </c>
      <c r="D669" t="s">
        <v>20</v>
      </c>
      <c r="E669" t="s">
        <v>42</v>
      </c>
      <c r="F669">
        <v>17.600000000000001</v>
      </c>
      <c r="G669">
        <v>16.420000000000002</v>
      </c>
      <c r="H669">
        <v>15.12</v>
      </c>
      <c r="I669" s="4" t="str">
        <f t="shared" si="40"/>
        <v>Admis</v>
      </c>
      <c r="J669" s="4" t="str">
        <f t="shared" si="41"/>
        <v>Eligible</v>
      </c>
      <c r="K669">
        <v>12.05</v>
      </c>
      <c r="L669" s="6" t="str">
        <f t="shared" si="42"/>
        <v>RAS</v>
      </c>
      <c r="M669" s="6" t="str">
        <f t="shared" si="43"/>
        <v>Hors Data</v>
      </c>
      <c r="N669" s="8" t="str" cm="1">
        <f t="array" ref="N669">_xlfn.IFS(H669&gt;=16,"Excellent",H669&gt;=14,"Très bien",H669&gt;=12,"Bien",H669&gt;=10,"Passable",TRUE,"Insuffisant")</f>
        <v>Très bien</v>
      </c>
      <c r="O669">
        <v>0.86370000000000002</v>
      </c>
      <c r="P669">
        <v>130000</v>
      </c>
      <c r="Q669" s="2">
        <v>45582</v>
      </c>
    </row>
    <row r="670" spans="1:17" x14ac:dyDescent="0.45">
      <c r="A670" t="s">
        <v>977</v>
      </c>
      <c r="B670" t="s">
        <v>978</v>
      </c>
      <c r="C670" t="s">
        <v>19</v>
      </c>
      <c r="D670" t="s">
        <v>20</v>
      </c>
      <c r="E670" t="s">
        <v>29</v>
      </c>
      <c r="F670">
        <v>12.78</v>
      </c>
      <c r="G670">
        <v>16.52</v>
      </c>
      <c r="H670">
        <v>15.31</v>
      </c>
      <c r="I670" s="4" t="str">
        <f t="shared" si="40"/>
        <v>Admis</v>
      </c>
      <c r="J670" s="4" t="str">
        <f t="shared" si="41"/>
        <v>Non eligible</v>
      </c>
      <c r="K670">
        <v>13.83</v>
      </c>
      <c r="L670" s="6" t="str">
        <f t="shared" si="42"/>
        <v>RAS</v>
      </c>
      <c r="M670" s="6" t="str">
        <f t="shared" si="43"/>
        <v>Hors Data</v>
      </c>
      <c r="N670" s="8" t="str" cm="1">
        <f t="array" ref="N670">_xlfn.IFS(H670&gt;=16,"Excellent",H670&gt;=14,"Très bien",H670&gt;=12,"Bien",H670&gt;=10,"Passable",TRUE,"Insuffisant")</f>
        <v>Très bien</v>
      </c>
      <c r="O670">
        <v>0.71220000000000006</v>
      </c>
      <c r="P670">
        <v>70000</v>
      </c>
      <c r="Q670" s="2">
        <v>46229</v>
      </c>
    </row>
    <row r="671" spans="1:17" x14ac:dyDescent="0.45">
      <c r="A671" t="s">
        <v>979</v>
      </c>
      <c r="B671" t="s">
        <v>490</v>
      </c>
      <c r="C671" t="s">
        <v>14</v>
      </c>
      <c r="D671" t="s">
        <v>20</v>
      </c>
      <c r="E671" t="s">
        <v>42</v>
      </c>
      <c r="F671">
        <v>7.55</v>
      </c>
      <c r="G671">
        <v>6.77</v>
      </c>
      <c r="H671">
        <v>8.84</v>
      </c>
      <c r="I671" s="4" t="str">
        <f t="shared" si="40"/>
        <v>Non admis</v>
      </c>
      <c r="J671" s="4" t="str">
        <f t="shared" si="41"/>
        <v>Non eligible</v>
      </c>
      <c r="K671">
        <v>12.81</v>
      </c>
      <c r="L671" s="6" t="str">
        <f t="shared" si="42"/>
        <v>A surveiller</v>
      </c>
      <c r="M671" s="6" t="str">
        <f t="shared" si="43"/>
        <v>Hors Data</v>
      </c>
      <c r="N671" s="8" t="str" cm="1">
        <f t="array" ref="N671">_xlfn.IFS(H671&gt;=16,"Excellent",H671&gt;=14,"Très bien",H671&gt;=12,"Bien",H671&gt;=10,"Passable",TRUE,"Insuffisant")</f>
        <v>Insuffisant</v>
      </c>
      <c r="O671">
        <v>0.88290000000000002</v>
      </c>
      <c r="P671">
        <v>75000</v>
      </c>
      <c r="Q671" s="2">
        <v>46139</v>
      </c>
    </row>
    <row r="672" spans="1:17" x14ac:dyDescent="0.45">
      <c r="A672" t="s">
        <v>980</v>
      </c>
      <c r="B672" t="s">
        <v>207</v>
      </c>
      <c r="C672" t="s">
        <v>19</v>
      </c>
      <c r="D672" t="s">
        <v>47</v>
      </c>
      <c r="E672" t="s">
        <v>42</v>
      </c>
      <c r="F672">
        <v>18.09</v>
      </c>
      <c r="G672">
        <v>16.77</v>
      </c>
      <c r="H672">
        <v>17.27</v>
      </c>
      <c r="I672" s="4" t="str">
        <f t="shared" si="40"/>
        <v>Admis</v>
      </c>
      <c r="J672" s="4" t="str">
        <f t="shared" si="41"/>
        <v>Eligible</v>
      </c>
      <c r="K672">
        <v>14.02</v>
      </c>
      <c r="L672" s="6" t="str">
        <f t="shared" si="42"/>
        <v>RAS</v>
      </c>
      <c r="M672" s="6" t="str">
        <f t="shared" si="43"/>
        <v>Hors Data</v>
      </c>
      <c r="N672" s="8" t="str" cm="1">
        <f t="array" ref="N672">_xlfn.IFS(H672&gt;=16,"Excellent",H672&gt;=14,"Très bien",H672&gt;=12,"Bien",H672&gt;=10,"Passable",TRUE,"Insuffisant")</f>
        <v>Excellent</v>
      </c>
      <c r="O672">
        <v>0.84699999999999998</v>
      </c>
      <c r="P672">
        <v>60000</v>
      </c>
      <c r="Q672" s="2">
        <v>46031</v>
      </c>
    </row>
    <row r="673" spans="1:17" x14ac:dyDescent="0.45">
      <c r="A673" t="s">
        <v>981</v>
      </c>
      <c r="B673" t="s">
        <v>728</v>
      </c>
      <c r="C673" t="s">
        <v>19</v>
      </c>
      <c r="D673" t="s">
        <v>28</v>
      </c>
      <c r="E673" t="s">
        <v>42</v>
      </c>
      <c r="F673">
        <v>16.920000000000002</v>
      </c>
      <c r="G673">
        <v>14.3</v>
      </c>
      <c r="H673">
        <v>17.5</v>
      </c>
      <c r="I673" s="4" t="str">
        <f t="shared" si="40"/>
        <v>Admis</v>
      </c>
      <c r="J673" s="4" t="str">
        <f t="shared" si="41"/>
        <v>Non eligible</v>
      </c>
      <c r="K673">
        <v>15.94</v>
      </c>
      <c r="L673" s="6" t="str">
        <f t="shared" si="42"/>
        <v>RAS</v>
      </c>
      <c r="M673" s="6" t="str">
        <f t="shared" si="43"/>
        <v>Hors Data</v>
      </c>
      <c r="N673" s="8" t="str" cm="1">
        <f t="array" ref="N673">_xlfn.IFS(H673&gt;=16,"Excellent",H673&gt;=14,"Très bien",H673&gt;=12,"Bien",H673&gt;=10,"Passable",TRUE,"Insuffisant")</f>
        <v>Excellent</v>
      </c>
      <c r="O673">
        <v>0.55000000000000004</v>
      </c>
      <c r="P673">
        <v>85000</v>
      </c>
      <c r="Q673" s="2">
        <v>46120</v>
      </c>
    </row>
    <row r="674" spans="1:17" x14ac:dyDescent="0.45">
      <c r="A674" t="s">
        <v>982</v>
      </c>
      <c r="B674" t="s">
        <v>231</v>
      </c>
      <c r="C674" t="s">
        <v>19</v>
      </c>
      <c r="D674" t="s">
        <v>35</v>
      </c>
      <c r="E674" t="s">
        <v>42</v>
      </c>
      <c r="F674">
        <v>13.46</v>
      </c>
      <c r="G674">
        <v>15.39</v>
      </c>
      <c r="H674">
        <v>14.86</v>
      </c>
      <c r="I674" s="4" t="str">
        <f t="shared" si="40"/>
        <v>Admis</v>
      </c>
      <c r="J674" s="4" t="str">
        <f t="shared" si="41"/>
        <v>Non eligible</v>
      </c>
      <c r="K674">
        <v>13.09</v>
      </c>
      <c r="L674" s="6" t="str">
        <f t="shared" si="42"/>
        <v>RAS</v>
      </c>
      <c r="M674" s="6" t="str">
        <f t="shared" si="43"/>
        <v>Hors Data</v>
      </c>
      <c r="N674" s="8" t="str" cm="1">
        <f t="array" ref="N674">_xlfn.IFS(H674&gt;=16,"Excellent",H674&gt;=14,"Très bien",H674&gt;=12,"Bien",H674&gt;=10,"Passable",TRUE,"Insuffisant")</f>
        <v>Très bien</v>
      </c>
      <c r="O674">
        <v>0.65739999999999998</v>
      </c>
      <c r="P674">
        <v>70000</v>
      </c>
      <c r="Q674" s="2">
        <v>45588</v>
      </c>
    </row>
    <row r="675" spans="1:17" x14ac:dyDescent="0.45">
      <c r="A675" t="s">
        <v>983</v>
      </c>
      <c r="B675" t="s">
        <v>920</v>
      </c>
      <c r="C675" t="s">
        <v>14</v>
      </c>
      <c r="D675" t="s">
        <v>20</v>
      </c>
      <c r="E675" t="s">
        <v>16</v>
      </c>
      <c r="F675">
        <v>8.74</v>
      </c>
      <c r="G675">
        <v>10.65</v>
      </c>
      <c r="H675">
        <v>12.25</v>
      </c>
      <c r="I675" s="4" t="str">
        <f t="shared" si="40"/>
        <v>Admis</v>
      </c>
      <c r="J675" s="4" t="str">
        <f t="shared" si="41"/>
        <v>Non eligible</v>
      </c>
      <c r="K675">
        <v>8.36</v>
      </c>
      <c r="L675" s="6" t="str">
        <f t="shared" si="42"/>
        <v>A surveiller</v>
      </c>
      <c r="M675" s="6" t="str">
        <f t="shared" si="43"/>
        <v>Data</v>
      </c>
      <c r="N675" s="8" t="str" cm="1">
        <f t="array" ref="N675">_xlfn.IFS(H675&gt;=16,"Excellent",H675&gt;=14,"Très bien",H675&gt;=12,"Bien",H675&gt;=10,"Passable",TRUE,"Insuffisant")</f>
        <v>Bien</v>
      </c>
      <c r="O675">
        <v>0.59</v>
      </c>
      <c r="P675">
        <v>120000</v>
      </c>
      <c r="Q675" s="2">
        <v>45598</v>
      </c>
    </row>
    <row r="676" spans="1:17" x14ac:dyDescent="0.45">
      <c r="A676" t="s">
        <v>984</v>
      </c>
      <c r="B676" t="s">
        <v>583</v>
      </c>
      <c r="C676" t="s">
        <v>19</v>
      </c>
      <c r="D676" t="s">
        <v>32</v>
      </c>
      <c r="E676" t="s">
        <v>16</v>
      </c>
      <c r="F676">
        <v>16.57</v>
      </c>
      <c r="G676">
        <v>16.32</v>
      </c>
      <c r="H676">
        <v>13.77</v>
      </c>
      <c r="I676" s="4" t="str">
        <f t="shared" si="40"/>
        <v>Admis</v>
      </c>
      <c r="J676" s="4" t="str">
        <f t="shared" si="41"/>
        <v>Non eligible</v>
      </c>
      <c r="K676">
        <v>14.71</v>
      </c>
      <c r="L676" s="6" t="str">
        <f t="shared" si="42"/>
        <v>RAS</v>
      </c>
      <c r="M676" s="6" t="str">
        <f t="shared" si="43"/>
        <v>Data</v>
      </c>
      <c r="N676" s="8" t="str" cm="1">
        <f t="array" ref="N676">_xlfn.IFS(H676&gt;=16,"Excellent",H676&gt;=14,"Très bien",H676&gt;=12,"Bien",H676&gt;=10,"Passable",TRUE,"Insuffisant")</f>
        <v>Bien</v>
      </c>
      <c r="O676">
        <v>0.73750000000000004</v>
      </c>
      <c r="P676">
        <v>75000</v>
      </c>
      <c r="Q676" s="2">
        <v>45746</v>
      </c>
    </row>
    <row r="677" spans="1:17" x14ac:dyDescent="0.45">
      <c r="A677" t="s">
        <v>985</v>
      </c>
      <c r="B677" t="s">
        <v>223</v>
      </c>
      <c r="C677" t="s">
        <v>19</v>
      </c>
      <c r="D677" t="s">
        <v>15</v>
      </c>
      <c r="E677" t="s">
        <v>29</v>
      </c>
      <c r="F677">
        <v>8.65</v>
      </c>
      <c r="G677">
        <v>7.85</v>
      </c>
      <c r="H677">
        <v>5.79</v>
      </c>
      <c r="I677" s="4" t="str">
        <f t="shared" si="40"/>
        <v>Non admis</v>
      </c>
      <c r="J677" s="4" t="str">
        <f t="shared" si="41"/>
        <v>Non eligible</v>
      </c>
      <c r="K677">
        <v>3.78</v>
      </c>
      <c r="L677" s="6" t="str">
        <f t="shared" si="42"/>
        <v>A surveiller</v>
      </c>
      <c r="M677" s="6" t="str">
        <f t="shared" si="43"/>
        <v>Hors Data</v>
      </c>
      <c r="N677" s="8" t="str" cm="1">
        <f t="array" ref="N677">_xlfn.IFS(H677&gt;=16,"Excellent",H677&gt;=14,"Très bien",H677&gt;=12,"Bien",H677&gt;=10,"Passable",TRUE,"Insuffisant")</f>
        <v>Insuffisant</v>
      </c>
      <c r="O677">
        <v>0.88280000000000003</v>
      </c>
      <c r="P677">
        <v>100000</v>
      </c>
      <c r="Q677" s="2">
        <v>45552</v>
      </c>
    </row>
    <row r="678" spans="1:17" x14ac:dyDescent="0.45">
      <c r="A678" t="s">
        <v>986</v>
      </c>
      <c r="B678" t="s">
        <v>220</v>
      </c>
      <c r="C678" t="s">
        <v>19</v>
      </c>
      <c r="D678" t="s">
        <v>35</v>
      </c>
      <c r="E678" t="s">
        <v>42</v>
      </c>
      <c r="F678">
        <v>14.52</v>
      </c>
      <c r="G678">
        <v>15.3</v>
      </c>
      <c r="H678">
        <v>15</v>
      </c>
      <c r="I678" s="4" t="str">
        <f t="shared" si="40"/>
        <v>Admis</v>
      </c>
      <c r="J678" s="4" t="str">
        <f t="shared" si="41"/>
        <v>Eligible</v>
      </c>
      <c r="K678">
        <v>15.19</v>
      </c>
      <c r="L678" s="6" t="str">
        <f t="shared" si="42"/>
        <v>RAS</v>
      </c>
      <c r="M678" s="6" t="str">
        <f t="shared" si="43"/>
        <v>Hors Data</v>
      </c>
      <c r="N678" s="8" t="str" cm="1">
        <f t="array" ref="N678">_xlfn.IFS(H678&gt;=16,"Excellent",H678&gt;=14,"Très bien",H678&gt;=12,"Bien",H678&gt;=10,"Passable",TRUE,"Insuffisant")</f>
        <v>Très bien</v>
      </c>
      <c r="O678">
        <v>0.93310000000000004</v>
      </c>
      <c r="P678">
        <v>70000</v>
      </c>
      <c r="Q678" s="2">
        <v>46157</v>
      </c>
    </row>
    <row r="679" spans="1:17" x14ac:dyDescent="0.45">
      <c r="A679" t="s">
        <v>987</v>
      </c>
      <c r="B679" t="s">
        <v>438</v>
      </c>
      <c r="C679" t="s">
        <v>14</v>
      </c>
      <c r="D679" t="s">
        <v>47</v>
      </c>
      <c r="E679" t="s">
        <v>29</v>
      </c>
      <c r="F679">
        <v>10.050000000000001</v>
      </c>
      <c r="G679">
        <v>8.15</v>
      </c>
      <c r="H679">
        <v>9.2100000000000009</v>
      </c>
      <c r="I679" s="4" t="str">
        <f t="shared" si="40"/>
        <v>Non admis</v>
      </c>
      <c r="J679" s="4" t="str">
        <f t="shared" si="41"/>
        <v>Non eligible</v>
      </c>
      <c r="K679">
        <v>6.84</v>
      </c>
      <c r="L679" s="6" t="str">
        <f t="shared" si="42"/>
        <v>A surveiller</v>
      </c>
      <c r="M679" s="6" t="str">
        <f t="shared" si="43"/>
        <v>Hors Data</v>
      </c>
      <c r="N679" s="8" t="str" cm="1">
        <f t="array" ref="N679">_xlfn.IFS(H679&gt;=16,"Excellent",H679&gt;=14,"Très bien",H679&gt;=12,"Bien",H679&gt;=10,"Passable",TRUE,"Insuffisant")</f>
        <v>Insuffisant</v>
      </c>
      <c r="O679">
        <v>0.85160000000000002</v>
      </c>
      <c r="P679">
        <v>75000</v>
      </c>
      <c r="Q679" s="2">
        <v>45575</v>
      </c>
    </row>
    <row r="680" spans="1:17" x14ac:dyDescent="0.45">
      <c r="A680" t="s">
        <v>988</v>
      </c>
      <c r="B680" t="s">
        <v>684</v>
      </c>
      <c r="C680" t="s">
        <v>19</v>
      </c>
      <c r="D680" t="s">
        <v>28</v>
      </c>
      <c r="E680" t="s">
        <v>42</v>
      </c>
      <c r="F680">
        <v>16.25</v>
      </c>
      <c r="G680">
        <v>14.69</v>
      </c>
      <c r="H680">
        <v>11.63</v>
      </c>
      <c r="I680" s="4" t="str">
        <f t="shared" si="40"/>
        <v>Admis</v>
      </c>
      <c r="J680" s="4" t="str">
        <f t="shared" si="41"/>
        <v>Non eligible</v>
      </c>
      <c r="K680">
        <v>12.68</v>
      </c>
      <c r="L680" s="6" t="str">
        <f t="shared" si="42"/>
        <v>RAS</v>
      </c>
      <c r="M680" s="6" t="str">
        <f t="shared" si="43"/>
        <v>Hors Data</v>
      </c>
      <c r="N680" s="8" t="str" cm="1">
        <f t="array" ref="N680">_xlfn.IFS(H680&gt;=16,"Excellent",H680&gt;=14,"Très bien",H680&gt;=12,"Bien",H680&gt;=10,"Passable",TRUE,"Insuffisant")</f>
        <v>Passable</v>
      </c>
      <c r="O680">
        <v>0.75070000000000003</v>
      </c>
      <c r="P680">
        <v>60000</v>
      </c>
      <c r="Q680" s="2">
        <v>45916</v>
      </c>
    </row>
    <row r="681" spans="1:17" x14ac:dyDescent="0.45">
      <c r="A681" t="s">
        <v>989</v>
      </c>
      <c r="B681" t="s">
        <v>301</v>
      </c>
      <c r="C681" t="s">
        <v>19</v>
      </c>
      <c r="D681" t="s">
        <v>47</v>
      </c>
      <c r="E681" t="s">
        <v>29</v>
      </c>
      <c r="F681">
        <v>17.329999999999998</v>
      </c>
      <c r="G681">
        <v>12.83</v>
      </c>
      <c r="H681">
        <v>16.149999999999999</v>
      </c>
      <c r="I681" s="4" t="str">
        <f t="shared" si="40"/>
        <v>Admis</v>
      </c>
      <c r="J681" s="4" t="str">
        <f t="shared" si="41"/>
        <v>Eligible</v>
      </c>
      <c r="K681">
        <v>15.1</v>
      </c>
      <c r="L681" s="6" t="str">
        <f t="shared" si="42"/>
        <v>RAS</v>
      </c>
      <c r="M681" s="6" t="str">
        <f t="shared" si="43"/>
        <v>Hors Data</v>
      </c>
      <c r="N681" s="8" t="str" cm="1">
        <f t="array" ref="N681">_xlfn.IFS(H681&gt;=16,"Excellent",H681&gt;=14,"Très bien",H681&gt;=12,"Bien",H681&gt;=10,"Passable",TRUE,"Insuffisant")</f>
        <v>Excellent</v>
      </c>
      <c r="O681">
        <v>0.84740000000000004</v>
      </c>
      <c r="P681">
        <v>90000</v>
      </c>
      <c r="Q681" s="2">
        <v>46133</v>
      </c>
    </row>
    <row r="682" spans="1:17" x14ac:dyDescent="0.45">
      <c r="A682" t="s">
        <v>990</v>
      </c>
      <c r="B682" t="s">
        <v>684</v>
      </c>
      <c r="C682" t="s">
        <v>19</v>
      </c>
      <c r="D682" t="s">
        <v>35</v>
      </c>
      <c r="E682" t="s">
        <v>21</v>
      </c>
      <c r="F682">
        <v>18.41</v>
      </c>
      <c r="G682">
        <v>20</v>
      </c>
      <c r="H682">
        <v>18.920000000000002</v>
      </c>
      <c r="I682" s="4" t="str">
        <f t="shared" si="40"/>
        <v>Admis</v>
      </c>
      <c r="J682" s="4" t="str">
        <f t="shared" si="41"/>
        <v>Non eligible</v>
      </c>
      <c r="K682">
        <v>17.23</v>
      </c>
      <c r="L682" s="6" t="str">
        <f t="shared" si="42"/>
        <v>RAS</v>
      </c>
      <c r="M682" s="6" t="str">
        <f t="shared" si="43"/>
        <v>Hors Data</v>
      </c>
      <c r="N682" s="8" t="str" cm="1">
        <f t="array" ref="N682">_xlfn.IFS(H682&gt;=16,"Excellent",H682&gt;=14,"Très bien",H682&gt;=12,"Bien",H682&gt;=10,"Passable",TRUE,"Insuffisant")</f>
        <v>Excellent</v>
      </c>
      <c r="O682">
        <v>0.73050000000000004</v>
      </c>
      <c r="P682">
        <v>50000</v>
      </c>
      <c r="Q682" s="2">
        <v>46050</v>
      </c>
    </row>
    <row r="683" spans="1:17" x14ac:dyDescent="0.45">
      <c r="A683" t="s">
        <v>991</v>
      </c>
      <c r="B683" t="s">
        <v>468</v>
      </c>
      <c r="C683" t="s">
        <v>14</v>
      </c>
      <c r="D683" t="s">
        <v>47</v>
      </c>
      <c r="E683" t="s">
        <v>29</v>
      </c>
      <c r="F683">
        <v>13.1</v>
      </c>
      <c r="G683">
        <v>16.350000000000001</v>
      </c>
      <c r="H683">
        <v>12.53</v>
      </c>
      <c r="I683" s="4" t="str">
        <f t="shared" si="40"/>
        <v>Admis</v>
      </c>
      <c r="J683" s="4" t="str">
        <f t="shared" si="41"/>
        <v>Eligible</v>
      </c>
      <c r="K683">
        <v>9.64</v>
      </c>
      <c r="L683" s="6" t="str">
        <f t="shared" si="42"/>
        <v>RAS</v>
      </c>
      <c r="M683" s="6" t="str">
        <f t="shared" si="43"/>
        <v>Hors Data</v>
      </c>
      <c r="N683" s="8" t="str" cm="1">
        <f t="array" ref="N683">_xlfn.IFS(H683&gt;=16,"Excellent",H683&gt;=14,"Très bien",H683&gt;=12,"Bien",H683&gt;=10,"Passable",TRUE,"Insuffisant")</f>
        <v>Bien</v>
      </c>
      <c r="O683">
        <v>0.82169999999999999</v>
      </c>
      <c r="P683">
        <v>50000</v>
      </c>
      <c r="Q683" s="2">
        <v>45700</v>
      </c>
    </row>
    <row r="684" spans="1:17" x14ac:dyDescent="0.45">
      <c r="A684" t="s">
        <v>992</v>
      </c>
      <c r="B684" t="s">
        <v>61</v>
      </c>
      <c r="C684" t="s">
        <v>19</v>
      </c>
      <c r="D684" t="s">
        <v>47</v>
      </c>
      <c r="E684" t="s">
        <v>21</v>
      </c>
      <c r="F684">
        <v>11.44</v>
      </c>
      <c r="G684">
        <v>13.35</v>
      </c>
      <c r="H684">
        <v>13.17</v>
      </c>
      <c r="I684" s="4" t="str">
        <f t="shared" si="40"/>
        <v>Admis</v>
      </c>
      <c r="J684" s="4" t="str">
        <f t="shared" si="41"/>
        <v>Non eligible</v>
      </c>
      <c r="K684">
        <v>13.33</v>
      </c>
      <c r="L684" s="6" t="str">
        <f t="shared" si="42"/>
        <v>RAS</v>
      </c>
      <c r="M684" s="6" t="str">
        <f t="shared" si="43"/>
        <v>Hors Data</v>
      </c>
      <c r="N684" s="8" t="str" cm="1">
        <f t="array" ref="N684">_xlfn.IFS(H684&gt;=16,"Excellent",H684&gt;=14,"Très bien",H684&gt;=12,"Bien",H684&gt;=10,"Passable",TRUE,"Insuffisant")</f>
        <v>Bien</v>
      </c>
      <c r="O684">
        <v>0.83730000000000004</v>
      </c>
      <c r="P684">
        <v>85000</v>
      </c>
      <c r="Q684" s="2">
        <v>45865</v>
      </c>
    </row>
    <row r="685" spans="1:17" x14ac:dyDescent="0.45">
      <c r="A685" t="s">
        <v>993</v>
      </c>
      <c r="B685" t="s">
        <v>414</v>
      </c>
      <c r="C685" t="s">
        <v>19</v>
      </c>
      <c r="D685" t="s">
        <v>32</v>
      </c>
      <c r="E685" t="s">
        <v>29</v>
      </c>
      <c r="F685">
        <v>13.31</v>
      </c>
      <c r="G685">
        <v>13.31</v>
      </c>
      <c r="H685">
        <v>12.77</v>
      </c>
      <c r="I685" s="4" t="str">
        <f t="shared" si="40"/>
        <v>Admis</v>
      </c>
      <c r="J685" s="4" t="str">
        <f t="shared" si="41"/>
        <v>Eligible</v>
      </c>
      <c r="K685">
        <v>11.97</v>
      </c>
      <c r="L685" s="6" t="str">
        <f t="shared" si="42"/>
        <v>RAS</v>
      </c>
      <c r="M685" s="6" t="str">
        <f t="shared" si="43"/>
        <v>Hors Data</v>
      </c>
      <c r="N685" s="8" t="str" cm="1">
        <f t="array" ref="N685">_xlfn.IFS(H685&gt;=16,"Excellent",H685&gt;=14,"Très bien",H685&gt;=12,"Bien",H685&gt;=10,"Passable",TRUE,"Insuffisant")</f>
        <v>Bien</v>
      </c>
      <c r="O685">
        <v>0.92469999999999997</v>
      </c>
      <c r="P685">
        <v>90000</v>
      </c>
      <c r="Q685" s="2">
        <v>45919</v>
      </c>
    </row>
    <row r="686" spans="1:17" x14ac:dyDescent="0.45">
      <c r="A686" t="s">
        <v>994</v>
      </c>
      <c r="B686" t="s">
        <v>151</v>
      </c>
      <c r="C686" t="s">
        <v>14</v>
      </c>
      <c r="D686" t="s">
        <v>32</v>
      </c>
      <c r="E686" t="s">
        <v>29</v>
      </c>
      <c r="F686">
        <v>16.809999999999999</v>
      </c>
      <c r="G686">
        <v>17.27</v>
      </c>
      <c r="H686">
        <v>18.850000000000001</v>
      </c>
      <c r="I686" s="4" t="str">
        <f t="shared" si="40"/>
        <v>Admis</v>
      </c>
      <c r="J686" s="4" t="str">
        <f t="shared" si="41"/>
        <v>Non eligible</v>
      </c>
      <c r="K686">
        <v>15.77</v>
      </c>
      <c r="L686" s="6" t="str">
        <f t="shared" si="42"/>
        <v>RAS</v>
      </c>
      <c r="M686" s="6" t="str">
        <f t="shared" si="43"/>
        <v>Hors Data</v>
      </c>
      <c r="N686" s="8" t="str" cm="1">
        <f t="array" ref="N686">_xlfn.IFS(H686&gt;=16,"Excellent",H686&gt;=14,"Très bien",H686&gt;=12,"Bien",H686&gt;=10,"Passable",TRUE,"Insuffisant")</f>
        <v>Excellent</v>
      </c>
      <c r="O686">
        <v>0.55000000000000004</v>
      </c>
      <c r="P686">
        <v>75000</v>
      </c>
      <c r="Q686" s="2">
        <v>46073</v>
      </c>
    </row>
    <row r="687" spans="1:17" x14ac:dyDescent="0.45">
      <c r="A687" t="s">
        <v>995</v>
      </c>
      <c r="B687" t="s">
        <v>309</v>
      </c>
      <c r="C687" t="s">
        <v>19</v>
      </c>
      <c r="D687" t="s">
        <v>15</v>
      </c>
      <c r="E687" t="s">
        <v>42</v>
      </c>
      <c r="F687">
        <v>15.42</v>
      </c>
      <c r="G687">
        <v>12.63</v>
      </c>
      <c r="H687">
        <v>12.24</v>
      </c>
      <c r="I687" s="4" t="str">
        <f t="shared" si="40"/>
        <v>Admis</v>
      </c>
      <c r="J687" s="4" t="str">
        <f t="shared" si="41"/>
        <v>Eligible</v>
      </c>
      <c r="K687">
        <v>16.54</v>
      </c>
      <c r="L687" s="6" t="str">
        <f t="shared" si="42"/>
        <v>RAS</v>
      </c>
      <c r="M687" s="6" t="str">
        <f t="shared" si="43"/>
        <v>Hors Data</v>
      </c>
      <c r="N687" s="8" t="str" cm="1">
        <f t="array" ref="N687">_xlfn.IFS(H687&gt;=16,"Excellent",H687&gt;=14,"Très bien",H687&gt;=12,"Bien",H687&gt;=10,"Passable",TRUE,"Insuffisant")</f>
        <v>Bien</v>
      </c>
      <c r="O687">
        <v>0.93669999999999998</v>
      </c>
      <c r="P687">
        <v>80000</v>
      </c>
      <c r="Q687" s="2">
        <v>45834</v>
      </c>
    </row>
    <row r="688" spans="1:17" x14ac:dyDescent="0.45">
      <c r="A688" t="s">
        <v>996</v>
      </c>
      <c r="B688" t="s">
        <v>461</v>
      </c>
      <c r="C688" t="s">
        <v>14</v>
      </c>
      <c r="D688" t="s">
        <v>32</v>
      </c>
      <c r="E688" t="s">
        <v>29</v>
      </c>
      <c r="F688">
        <v>10.09</v>
      </c>
      <c r="G688">
        <v>12.34</v>
      </c>
      <c r="H688">
        <v>12.3</v>
      </c>
      <c r="I688" s="4" t="str">
        <f t="shared" si="40"/>
        <v>Admis</v>
      </c>
      <c r="J688" s="4" t="str">
        <f t="shared" si="41"/>
        <v>Non eligible</v>
      </c>
      <c r="K688">
        <v>11.95</v>
      </c>
      <c r="L688" s="6" t="str">
        <f t="shared" si="42"/>
        <v>RAS</v>
      </c>
      <c r="M688" s="6" t="str">
        <f t="shared" si="43"/>
        <v>Hors Data</v>
      </c>
      <c r="N688" s="8" t="str" cm="1">
        <f t="array" ref="N688">_xlfn.IFS(H688&gt;=16,"Excellent",H688&gt;=14,"Très bien",H688&gt;=12,"Bien",H688&gt;=10,"Passable",TRUE,"Insuffisant")</f>
        <v>Bien</v>
      </c>
      <c r="O688">
        <v>0.81459999999999999</v>
      </c>
      <c r="P688">
        <v>80000</v>
      </c>
      <c r="Q688" s="2">
        <v>45735</v>
      </c>
    </row>
    <row r="689" spans="1:17" x14ac:dyDescent="0.45">
      <c r="A689" t="s">
        <v>997</v>
      </c>
      <c r="B689" t="s">
        <v>167</v>
      </c>
      <c r="C689" t="s">
        <v>19</v>
      </c>
      <c r="D689" t="s">
        <v>15</v>
      </c>
      <c r="E689" t="s">
        <v>16</v>
      </c>
      <c r="F689">
        <v>15.69</v>
      </c>
      <c r="G689">
        <v>13.46</v>
      </c>
      <c r="H689">
        <v>12.91</v>
      </c>
      <c r="I689" s="4" t="str">
        <f t="shared" si="40"/>
        <v>Admis</v>
      </c>
      <c r="J689" s="4" t="str">
        <f t="shared" si="41"/>
        <v>Eligible</v>
      </c>
      <c r="K689">
        <v>10.17</v>
      </c>
      <c r="L689" s="6" t="str">
        <f t="shared" si="42"/>
        <v>RAS</v>
      </c>
      <c r="M689" s="6" t="str">
        <f t="shared" si="43"/>
        <v>Data</v>
      </c>
      <c r="N689" s="8" t="str" cm="1">
        <f t="array" ref="N689">_xlfn.IFS(H689&gt;=16,"Excellent",H689&gt;=14,"Très bien",H689&gt;=12,"Bien",H689&gt;=10,"Passable",TRUE,"Insuffisant")</f>
        <v>Bien</v>
      </c>
      <c r="O689">
        <v>0.90949999999999998</v>
      </c>
      <c r="P689">
        <v>110000</v>
      </c>
      <c r="Q689" s="2">
        <v>46092</v>
      </c>
    </row>
    <row r="690" spans="1:17" x14ac:dyDescent="0.45">
      <c r="A690" t="s">
        <v>998</v>
      </c>
      <c r="B690" t="s">
        <v>225</v>
      </c>
      <c r="C690" t="s">
        <v>14</v>
      </c>
      <c r="D690" t="s">
        <v>28</v>
      </c>
      <c r="E690" t="s">
        <v>29</v>
      </c>
      <c r="F690">
        <v>6.6</v>
      </c>
      <c r="G690">
        <v>10.02</v>
      </c>
      <c r="H690">
        <v>10.68</v>
      </c>
      <c r="I690" s="4" t="str">
        <f t="shared" si="40"/>
        <v>Admis</v>
      </c>
      <c r="J690" s="4" t="str">
        <f t="shared" si="41"/>
        <v>Non eligible</v>
      </c>
      <c r="K690">
        <v>13.08</v>
      </c>
      <c r="L690" s="6" t="str">
        <f t="shared" si="42"/>
        <v>A surveiller</v>
      </c>
      <c r="M690" s="6" t="str">
        <f t="shared" si="43"/>
        <v>Hors Data</v>
      </c>
      <c r="N690" s="8" t="str" cm="1">
        <f t="array" ref="N690">_xlfn.IFS(H690&gt;=16,"Excellent",H690&gt;=14,"Très bien",H690&gt;=12,"Bien",H690&gt;=10,"Passable",TRUE,"Insuffisant")</f>
        <v>Passable</v>
      </c>
      <c r="O690">
        <v>0.81869999999999998</v>
      </c>
      <c r="P690">
        <v>80000</v>
      </c>
      <c r="Q690" s="2">
        <v>46156</v>
      </c>
    </row>
    <row r="691" spans="1:17" x14ac:dyDescent="0.45">
      <c r="A691" t="s">
        <v>999</v>
      </c>
      <c r="B691" t="s">
        <v>338</v>
      </c>
      <c r="C691" t="s">
        <v>19</v>
      </c>
      <c r="D691" t="s">
        <v>28</v>
      </c>
      <c r="E691" t="s">
        <v>21</v>
      </c>
      <c r="F691">
        <v>13.64</v>
      </c>
      <c r="G691">
        <v>16.02</v>
      </c>
      <c r="H691">
        <v>13.41</v>
      </c>
      <c r="I691" s="4" t="str">
        <f t="shared" si="40"/>
        <v>Admis</v>
      </c>
      <c r="J691" s="4" t="str">
        <f t="shared" si="41"/>
        <v>Eligible</v>
      </c>
      <c r="K691">
        <v>14.45</v>
      </c>
      <c r="L691" s="6" t="str">
        <f t="shared" si="42"/>
        <v>RAS</v>
      </c>
      <c r="M691" s="6" t="str">
        <f t="shared" si="43"/>
        <v>Hors Data</v>
      </c>
      <c r="N691" s="8" t="str" cm="1">
        <f t="array" ref="N691">_xlfn.IFS(H691&gt;=16,"Excellent",H691&gt;=14,"Très bien",H691&gt;=12,"Bien",H691&gt;=10,"Passable",TRUE,"Insuffisant")</f>
        <v>Bien</v>
      </c>
      <c r="O691">
        <v>0.95199999999999996</v>
      </c>
      <c r="P691">
        <v>120000</v>
      </c>
      <c r="Q691" s="2">
        <v>45878</v>
      </c>
    </row>
    <row r="692" spans="1:17" x14ac:dyDescent="0.45">
      <c r="A692" t="s">
        <v>1000</v>
      </c>
      <c r="B692" t="s">
        <v>484</v>
      </c>
      <c r="C692" t="s">
        <v>19</v>
      </c>
      <c r="D692" t="s">
        <v>35</v>
      </c>
      <c r="E692" t="s">
        <v>16</v>
      </c>
      <c r="F692">
        <v>8.7899999999999991</v>
      </c>
      <c r="G692">
        <v>11</v>
      </c>
      <c r="H692">
        <v>3.27</v>
      </c>
      <c r="I692" s="4" t="str">
        <f t="shared" si="40"/>
        <v>Non admis</v>
      </c>
      <c r="J692" s="4" t="str">
        <f t="shared" si="41"/>
        <v>Non eligible</v>
      </c>
      <c r="K692">
        <v>8.2899999999999991</v>
      </c>
      <c r="L692" s="6" t="str">
        <f t="shared" si="42"/>
        <v>A surveiller</v>
      </c>
      <c r="M692" s="6" t="str">
        <f t="shared" si="43"/>
        <v>Data</v>
      </c>
      <c r="N692" s="8" t="str" cm="1">
        <f t="array" ref="N692">_xlfn.IFS(H692&gt;=16,"Excellent",H692&gt;=14,"Très bien",H692&gt;=12,"Bien",H692&gt;=10,"Passable",TRUE,"Insuffisant")</f>
        <v>Insuffisant</v>
      </c>
      <c r="O692">
        <v>0.57320000000000004</v>
      </c>
      <c r="P692">
        <v>70000</v>
      </c>
      <c r="Q692" s="2">
        <v>45555</v>
      </c>
    </row>
    <row r="693" spans="1:17" x14ac:dyDescent="0.45">
      <c r="A693" t="s">
        <v>1001</v>
      </c>
      <c r="B693" t="s">
        <v>902</v>
      </c>
      <c r="C693" t="s">
        <v>19</v>
      </c>
      <c r="D693" t="s">
        <v>15</v>
      </c>
      <c r="E693" t="s">
        <v>29</v>
      </c>
      <c r="F693">
        <v>19.989999999999998</v>
      </c>
      <c r="G693">
        <v>14.48</v>
      </c>
      <c r="H693">
        <v>13.43</v>
      </c>
      <c r="I693" s="4" t="str">
        <f t="shared" si="40"/>
        <v>Admis</v>
      </c>
      <c r="J693" s="4" t="str">
        <f t="shared" si="41"/>
        <v>Eligible</v>
      </c>
      <c r="K693">
        <v>14.61</v>
      </c>
      <c r="L693" s="6" t="str">
        <f t="shared" si="42"/>
        <v>RAS</v>
      </c>
      <c r="M693" s="6" t="str">
        <f t="shared" si="43"/>
        <v>Hors Data</v>
      </c>
      <c r="N693" s="8" t="str" cm="1">
        <f t="array" ref="N693">_xlfn.IFS(H693&gt;=16,"Excellent",H693&gt;=14,"Très bien",H693&gt;=12,"Bien",H693&gt;=10,"Passable",TRUE,"Insuffisant")</f>
        <v>Bien</v>
      </c>
      <c r="O693">
        <v>0.87280000000000002</v>
      </c>
      <c r="P693">
        <v>70000</v>
      </c>
      <c r="Q693" s="2">
        <v>45886</v>
      </c>
    </row>
    <row r="694" spans="1:17" x14ac:dyDescent="0.45">
      <c r="A694" t="s">
        <v>1002</v>
      </c>
      <c r="B694" t="s">
        <v>1003</v>
      </c>
      <c r="C694" t="s">
        <v>19</v>
      </c>
      <c r="D694" t="s">
        <v>28</v>
      </c>
      <c r="E694" t="s">
        <v>42</v>
      </c>
      <c r="F694">
        <v>12.93</v>
      </c>
      <c r="G694">
        <v>12.76</v>
      </c>
      <c r="H694">
        <v>13.93</v>
      </c>
      <c r="I694" s="4" t="str">
        <f t="shared" si="40"/>
        <v>Admis</v>
      </c>
      <c r="J694" s="4" t="str">
        <f t="shared" si="41"/>
        <v>Non eligible</v>
      </c>
      <c r="K694">
        <v>16.36</v>
      </c>
      <c r="L694" s="6" t="str">
        <f t="shared" si="42"/>
        <v>RAS</v>
      </c>
      <c r="M694" s="6" t="str">
        <f t="shared" si="43"/>
        <v>Hors Data</v>
      </c>
      <c r="N694" s="8" t="str" cm="1">
        <f t="array" ref="N694">_xlfn.IFS(H694&gt;=16,"Excellent",H694&gt;=14,"Très bien",H694&gt;=12,"Bien",H694&gt;=10,"Passable",TRUE,"Insuffisant")</f>
        <v>Bien</v>
      </c>
      <c r="O694">
        <v>0.78190000000000004</v>
      </c>
      <c r="P694">
        <v>80000</v>
      </c>
      <c r="Q694" s="2">
        <v>46158</v>
      </c>
    </row>
    <row r="695" spans="1:17" x14ac:dyDescent="0.45">
      <c r="A695" t="s">
        <v>1004</v>
      </c>
      <c r="B695" t="s">
        <v>630</v>
      </c>
      <c r="C695" t="s">
        <v>19</v>
      </c>
      <c r="D695" t="s">
        <v>20</v>
      </c>
      <c r="E695" t="s">
        <v>42</v>
      </c>
      <c r="F695">
        <v>18.72</v>
      </c>
      <c r="G695">
        <v>20</v>
      </c>
      <c r="H695">
        <v>20</v>
      </c>
      <c r="I695" s="4" t="str">
        <f t="shared" si="40"/>
        <v>Admis</v>
      </c>
      <c r="J695" s="4" t="str">
        <f t="shared" si="41"/>
        <v>Eligible</v>
      </c>
      <c r="K695">
        <v>18.93</v>
      </c>
      <c r="L695" s="6" t="str">
        <f t="shared" si="42"/>
        <v>RAS</v>
      </c>
      <c r="M695" s="6" t="str">
        <f t="shared" si="43"/>
        <v>Hors Data</v>
      </c>
      <c r="N695" s="8" t="str" cm="1">
        <f t="array" ref="N695">_xlfn.IFS(H695&gt;=16,"Excellent",H695&gt;=14,"Très bien",H695&gt;=12,"Bien",H695&gt;=10,"Passable",TRUE,"Insuffisant")</f>
        <v>Excellent</v>
      </c>
      <c r="O695">
        <v>0.91690000000000005</v>
      </c>
      <c r="P695">
        <v>50000</v>
      </c>
      <c r="Q695" s="2">
        <v>46228</v>
      </c>
    </row>
    <row r="696" spans="1:17" x14ac:dyDescent="0.45">
      <c r="A696" t="s">
        <v>1005</v>
      </c>
      <c r="B696" t="s">
        <v>663</v>
      </c>
      <c r="C696" t="s">
        <v>14</v>
      </c>
      <c r="D696" t="s">
        <v>32</v>
      </c>
      <c r="E696" t="s">
        <v>29</v>
      </c>
      <c r="F696">
        <v>9.2100000000000009</v>
      </c>
      <c r="G696">
        <v>12.52</v>
      </c>
      <c r="H696">
        <v>14.32</v>
      </c>
      <c r="I696" s="4" t="str">
        <f t="shared" si="40"/>
        <v>Admis</v>
      </c>
      <c r="J696" s="4" t="str">
        <f t="shared" si="41"/>
        <v>Non eligible</v>
      </c>
      <c r="K696">
        <v>6.92</v>
      </c>
      <c r="L696" s="6" t="str">
        <f t="shared" si="42"/>
        <v>A surveiller</v>
      </c>
      <c r="M696" s="6" t="str">
        <f t="shared" si="43"/>
        <v>Hors Data</v>
      </c>
      <c r="N696" s="8" t="str" cm="1">
        <f t="array" ref="N696">_xlfn.IFS(H696&gt;=16,"Excellent",H696&gt;=14,"Très bien",H696&gt;=12,"Bien",H696&gt;=10,"Passable",TRUE,"Insuffisant")</f>
        <v>Très bien</v>
      </c>
      <c r="O696">
        <v>0.99099999999999999</v>
      </c>
      <c r="P696">
        <v>100000</v>
      </c>
      <c r="Q696" s="2">
        <v>45816</v>
      </c>
    </row>
    <row r="697" spans="1:17" x14ac:dyDescent="0.45">
      <c r="A697" t="s">
        <v>1006</v>
      </c>
      <c r="B697" t="s">
        <v>526</v>
      </c>
      <c r="C697" t="s">
        <v>14</v>
      </c>
      <c r="D697" t="s">
        <v>20</v>
      </c>
      <c r="E697" t="s">
        <v>16</v>
      </c>
      <c r="F697">
        <v>16.86</v>
      </c>
      <c r="G697">
        <v>12.75</v>
      </c>
      <c r="H697">
        <v>14.69</v>
      </c>
      <c r="I697" s="4" t="str">
        <f t="shared" si="40"/>
        <v>Admis</v>
      </c>
      <c r="J697" s="4" t="str">
        <f t="shared" si="41"/>
        <v>Eligible</v>
      </c>
      <c r="K697">
        <v>11.62</v>
      </c>
      <c r="L697" s="6" t="str">
        <f t="shared" si="42"/>
        <v>RAS</v>
      </c>
      <c r="M697" s="6" t="str">
        <f t="shared" si="43"/>
        <v>Data</v>
      </c>
      <c r="N697" s="8" t="str" cm="1">
        <f t="array" ref="N697">_xlfn.IFS(H697&gt;=16,"Excellent",H697&gt;=14,"Très bien",H697&gt;=12,"Bien",H697&gt;=10,"Passable",TRUE,"Insuffisant")</f>
        <v>Très bien</v>
      </c>
      <c r="O697">
        <v>0.84560000000000002</v>
      </c>
      <c r="P697">
        <v>80000</v>
      </c>
      <c r="Q697" s="2">
        <v>45641</v>
      </c>
    </row>
    <row r="698" spans="1:17" x14ac:dyDescent="0.45">
      <c r="A698" t="s">
        <v>1007</v>
      </c>
      <c r="B698" t="s">
        <v>167</v>
      </c>
      <c r="C698" t="s">
        <v>19</v>
      </c>
      <c r="D698" t="s">
        <v>35</v>
      </c>
      <c r="E698" t="s">
        <v>16</v>
      </c>
      <c r="F698">
        <v>12.35</v>
      </c>
      <c r="G698">
        <v>18.7</v>
      </c>
      <c r="H698">
        <v>18.91</v>
      </c>
      <c r="I698" s="4" t="str">
        <f t="shared" si="40"/>
        <v>Admis</v>
      </c>
      <c r="J698" s="4" t="str">
        <f t="shared" si="41"/>
        <v>Eligible</v>
      </c>
      <c r="K698">
        <v>20</v>
      </c>
      <c r="L698" s="6" t="str">
        <f t="shared" si="42"/>
        <v>RAS</v>
      </c>
      <c r="M698" s="6" t="str">
        <f t="shared" si="43"/>
        <v>Data</v>
      </c>
      <c r="N698" s="8" t="str" cm="1">
        <f t="array" ref="N698">_xlfn.IFS(H698&gt;=16,"Excellent",H698&gt;=14,"Très bien",H698&gt;=12,"Bien",H698&gt;=10,"Passable",TRUE,"Insuffisant")</f>
        <v>Excellent</v>
      </c>
      <c r="O698">
        <v>0.82499999999999996</v>
      </c>
      <c r="P698">
        <v>80000</v>
      </c>
      <c r="Q698" s="2">
        <v>45936</v>
      </c>
    </row>
    <row r="699" spans="1:17" x14ac:dyDescent="0.45">
      <c r="A699" t="s">
        <v>1008</v>
      </c>
      <c r="B699" t="s">
        <v>847</v>
      </c>
      <c r="C699" t="s">
        <v>19</v>
      </c>
      <c r="D699" t="s">
        <v>32</v>
      </c>
      <c r="E699" t="s">
        <v>29</v>
      </c>
      <c r="F699">
        <v>14.63</v>
      </c>
      <c r="G699">
        <v>17.010000000000002</v>
      </c>
      <c r="H699">
        <v>16.96</v>
      </c>
      <c r="I699" s="4" t="str">
        <f t="shared" si="40"/>
        <v>Admis</v>
      </c>
      <c r="J699" s="4" t="str">
        <f t="shared" si="41"/>
        <v>Eligible</v>
      </c>
      <c r="K699">
        <v>18.57</v>
      </c>
      <c r="L699" s="6" t="str">
        <f t="shared" si="42"/>
        <v>RAS</v>
      </c>
      <c r="M699" s="6" t="str">
        <f t="shared" si="43"/>
        <v>Hors Data</v>
      </c>
      <c r="N699" s="8" t="str" cm="1">
        <f t="array" ref="N699">_xlfn.IFS(H699&gt;=16,"Excellent",H699&gt;=14,"Très bien",H699&gt;=12,"Bien",H699&gt;=10,"Passable",TRUE,"Insuffisant")</f>
        <v>Excellent</v>
      </c>
      <c r="O699">
        <v>0.93830000000000002</v>
      </c>
      <c r="P699">
        <v>85000</v>
      </c>
      <c r="Q699" s="2">
        <v>46117</v>
      </c>
    </row>
    <row r="700" spans="1:17" x14ac:dyDescent="0.45">
      <c r="A700" t="s">
        <v>1009</v>
      </c>
      <c r="B700" t="s">
        <v>588</v>
      </c>
      <c r="C700" t="s">
        <v>14</v>
      </c>
      <c r="D700" t="s">
        <v>32</v>
      </c>
      <c r="E700" t="s">
        <v>21</v>
      </c>
      <c r="F700">
        <v>17.559999999999999</v>
      </c>
      <c r="G700">
        <v>12.02</v>
      </c>
      <c r="H700">
        <v>14.18</v>
      </c>
      <c r="I700" s="4" t="str">
        <f t="shared" si="40"/>
        <v>Admis</v>
      </c>
      <c r="J700" s="4" t="str">
        <f t="shared" si="41"/>
        <v>Eligible</v>
      </c>
      <c r="K700">
        <v>10.89</v>
      </c>
      <c r="L700" s="6" t="str">
        <f t="shared" si="42"/>
        <v>RAS</v>
      </c>
      <c r="M700" s="6" t="str">
        <f t="shared" si="43"/>
        <v>Hors Data</v>
      </c>
      <c r="N700" s="8" t="str" cm="1">
        <f t="array" ref="N700">_xlfn.IFS(H700&gt;=16,"Excellent",H700&gt;=14,"Très bien",H700&gt;=12,"Bien",H700&gt;=10,"Passable",TRUE,"Insuffisant")</f>
        <v>Très bien</v>
      </c>
      <c r="O700">
        <v>0.83220000000000005</v>
      </c>
      <c r="P700">
        <v>50000</v>
      </c>
      <c r="Q700" s="2">
        <v>46197</v>
      </c>
    </row>
    <row r="701" spans="1:17" x14ac:dyDescent="0.45">
      <c r="A701" t="s">
        <v>1010</v>
      </c>
      <c r="B701" t="s">
        <v>133</v>
      </c>
      <c r="C701" t="s">
        <v>14</v>
      </c>
      <c r="D701" t="s">
        <v>15</v>
      </c>
      <c r="E701" t="s">
        <v>16</v>
      </c>
      <c r="F701">
        <v>15.43</v>
      </c>
      <c r="G701">
        <v>15.57</v>
      </c>
      <c r="H701">
        <v>13.03</v>
      </c>
      <c r="I701" s="4" t="str">
        <f t="shared" si="40"/>
        <v>Admis</v>
      </c>
      <c r="J701" s="4" t="str">
        <f t="shared" si="41"/>
        <v>Non eligible</v>
      </c>
      <c r="K701">
        <v>17.05</v>
      </c>
      <c r="L701" s="6" t="str">
        <f t="shared" si="42"/>
        <v>RAS</v>
      </c>
      <c r="M701" s="6" t="str">
        <f t="shared" si="43"/>
        <v>Data</v>
      </c>
      <c r="N701" s="8" t="str" cm="1">
        <f t="array" ref="N701">_xlfn.IFS(H701&gt;=16,"Excellent",H701&gt;=14,"Très bien",H701&gt;=12,"Bien",H701&gt;=10,"Passable",TRUE,"Insuffisant")</f>
        <v>Bien</v>
      </c>
      <c r="O701">
        <v>0.76729999999999998</v>
      </c>
      <c r="P701">
        <v>80000</v>
      </c>
      <c r="Q701" s="2">
        <v>45572</v>
      </c>
    </row>
    <row r="702" spans="1:17" x14ac:dyDescent="0.45">
      <c r="A702" t="s">
        <v>1011</v>
      </c>
      <c r="B702" t="s">
        <v>356</v>
      </c>
      <c r="C702" t="s">
        <v>19</v>
      </c>
      <c r="D702" t="s">
        <v>32</v>
      </c>
      <c r="E702" t="s">
        <v>21</v>
      </c>
      <c r="F702">
        <v>11.07</v>
      </c>
      <c r="G702">
        <v>19.48</v>
      </c>
      <c r="H702">
        <v>13.4</v>
      </c>
      <c r="I702" s="4" t="str">
        <f t="shared" si="40"/>
        <v>Admis</v>
      </c>
      <c r="J702" s="4" t="str">
        <f t="shared" si="41"/>
        <v>Non eligible</v>
      </c>
      <c r="K702">
        <v>15.05</v>
      </c>
      <c r="L702" s="6" t="str">
        <f t="shared" si="42"/>
        <v>RAS</v>
      </c>
      <c r="M702" s="6" t="str">
        <f t="shared" si="43"/>
        <v>Hors Data</v>
      </c>
      <c r="N702" s="8" t="str" cm="1">
        <f t="array" ref="N702">_xlfn.IFS(H702&gt;=16,"Excellent",H702&gt;=14,"Très bien",H702&gt;=12,"Bien",H702&gt;=10,"Passable",TRUE,"Insuffisant")</f>
        <v>Bien</v>
      </c>
      <c r="O702">
        <v>0.79579999999999995</v>
      </c>
      <c r="P702">
        <v>130000</v>
      </c>
      <c r="Q702" s="2">
        <v>45739</v>
      </c>
    </row>
    <row r="703" spans="1:17" x14ac:dyDescent="0.45">
      <c r="A703" t="s">
        <v>1012</v>
      </c>
      <c r="B703" t="s">
        <v>742</v>
      </c>
      <c r="C703" t="s">
        <v>19</v>
      </c>
      <c r="D703" t="s">
        <v>28</v>
      </c>
      <c r="E703" t="s">
        <v>42</v>
      </c>
      <c r="F703">
        <v>14.2</v>
      </c>
      <c r="G703">
        <v>15.11</v>
      </c>
      <c r="H703">
        <v>12.09</v>
      </c>
      <c r="I703" s="4" t="str">
        <f t="shared" si="40"/>
        <v>Admis</v>
      </c>
      <c r="J703" s="4" t="str">
        <f t="shared" si="41"/>
        <v>Eligible</v>
      </c>
      <c r="K703">
        <v>13.6</v>
      </c>
      <c r="L703" s="6" t="str">
        <f t="shared" si="42"/>
        <v>RAS</v>
      </c>
      <c r="M703" s="6" t="str">
        <f t="shared" si="43"/>
        <v>Hors Data</v>
      </c>
      <c r="N703" s="8" t="str" cm="1">
        <f t="array" ref="N703">_xlfn.IFS(H703&gt;=16,"Excellent",H703&gt;=14,"Très bien",H703&gt;=12,"Bien",H703&gt;=10,"Passable",TRUE,"Insuffisant")</f>
        <v>Bien</v>
      </c>
      <c r="O703">
        <v>0.96560000000000001</v>
      </c>
      <c r="P703">
        <v>90000</v>
      </c>
      <c r="Q703" s="2">
        <v>45870</v>
      </c>
    </row>
    <row r="704" spans="1:17" x14ac:dyDescent="0.45">
      <c r="A704" t="s">
        <v>1013</v>
      </c>
      <c r="B704" t="s">
        <v>969</v>
      </c>
      <c r="C704" t="s">
        <v>14</v>
      </c>
      <c r="D704" t="s">
        <v>35</v>
      </c>
      <c r="E704" t="s">
        <v>16</v>
      </c>
      <c r="F704">
        <v>11.69</v>
      </c>
      <c r="G704">
        <v>13.4</v>
      </c>
      <c r="H704">
        <v>14.87</v>
      </c>
      <c r="I704" s="4" t="str">
        <f t="shared" si="40"/>
        <v>Admis</v>
      </c>
      <c r="J704" s="4" t="str">
        <f t="shared" si="41"/>
        <v>Non eligible</v>
      </c>
      <c r="K704">
        <v>11.08</v>
      </c>
      <c r="L704" s="6" t="str">
        <f t="shared" si="42"/>
        <v>RAS</v>
      </c>
      <c r="M704" s="6" t="str">
        <f t="shared" si="43"/>
        <v>Data</v>
      </c>
      <c r="N704" s="8" t="str" cm="1">
        <f t="array" ref="N704">_xlfn.IFS(H704&gt;=16,"Excellent",H704&gt;=14,"Très bien",H704&gt;=12,"Bien",H704&gt;=10,"Passable",TRUE,"Insuffisant")</f>
        <v>Très bien</v>
      </c>
      <c r="O704">
        <v>0.90649999999999997</v>
      </c>
      <c r="P704">
        <v>90000</v>
      </c>
      <c r="Q704" s="2">
        <v>45604</v>
      </c>
    </row>
    <row r="705" spans="1:17" x14ac:dyDescent="0.45">
      <c r="A705" t="s">
        <v>1014</v>
      </c>
      <c r="B705" t="s">
        <v>348</v>
      </c>
      <c r="C705" t="s">
        <v>14</v>
      </c>
      <c r="D705" t="s">
        <v>28</v>
      </c>
      <c r="E705" t="s">
        <v>29</v>
      </c>
      <c r="F705">
        <v>15.11</v>
      </c>
      <c r="G705">
        <v>9.94</v>
      </c>
      <c r="H705">
        <v>14.31</v>
      </c>
      <c r="I705" s="4" t="str">
        <f t="shared" si="40"/>
        <v>Admis</v>
      </c>
      <c r="J705" s="4" t="str">
        <f t="shared" si="41"/>
        <v>Non eligible</v>
      </c>
      <c r="K705">
        <v>13.87</v>
      </c>
      <c r="L705" s="6" t="str">
        <f t="shared" si="42"/>
        <v>RAS</v>
      </c>
      <c r="M705" s="6" t="str">
        <f t="shared" si="43"/>
        <v>Hors Data</v>
      </c>
      <c r="N705" s="8" t="str" cm="1">
        <f t="array" ref="N705">_xlfn.IFS(H705&gt;=16,"Excellent",H705&gt;=14,"Très bien",H705&gt;=12,"Bien",H705&gt;=10,"Passable",TRUE,"Insuffisant")</f>
        <v>Très bien</v>
      </c>
      <c r="O705">
        <v>0.74729999999999996</v>
      </c>
      <c r="P705">
        <v>85000</v>
      </c>
      <c r="Q705" s="2">
        <v>46156</v>
      </c>
    </row>
    <row r="706" spans="1:17" x14ac:dyDescent="0.45">
      <c r="A706" t="s">
        <v>1015</v>
      </c>
      <c r="B706" t="s">
        <v>240</v>
      </c>
      <c r="C706" t="s">
        <v>14</v>
      </c>
      <c r="D706" t="s">
        <v>47</v>
      </c>
      <c r="E706" t="s">
        <v>16</v>
      </c>
      <c r="F706">
        <v>13.07</v>
      </c>
      <c r="G706">
        <v>8.36</v>
      </c>
      <c r="H706">
        <v>7.67</v>
      </c>
      <c r="I706" s="4" t="str">
        <f t="shared" si="40"/>
        <v>Non admis</v>
      </c>
      <c r="J706" s="4" t="str">
        <f t="shared" si="41"/>
        <v>Non eligible</v>
      </c>
      <c r="K706">
        <v>7.1</v>
      </c>
      <c r="L706" s="6" t="str">
        <f t="shared" si="42"/>
        <v>A surveiller</v>
      </c>
      <c r="M706" s="6" t="str">
        <f t="shared" si="43"/>
        <v>Data</v>
      </c>
      <c r="N706" s="8" t="str" cm="1">
        <f t="array" ref="N706">_xlfn.IFS(H706&gt;=16,"Excellent",H706&gt;=14,"Très bien",H706&gt;=12,"Bien",H706&gt;=10,"Passable",TRUE,"Insuffisant")</f>
        <v>Insuffisant</v>
      </c>
      <c r="O706">
        <v>0.95489999999999997</v>
      </c>
      <c r="P706">
        <v>85000</v>
      </c>
      <c r="Q706" s="2">
        <v>45614</v>
      </c>
    </row>
    <row r="707" spans="1:17" x14ac:dyDescent="0.45">
      <c r="A707" t="s">
        <v>1016</v>
      </c>
      <c r="B707" t="s">
        <v>902</v>
      </c>
      <c r="C707" t="s">
        <v>19</v>
      </c>
      <c r="D707" t="s">
        <v>32</v>
      </c>
      <c r="E707" t="s">
        <v>21</v>
      </c>
      <c r="F707">
        <v>14.73</v>
      </c>
      <c r="G707">
        <v>16.98</v>
      </c>
      <c r="H707">
        <v>13.83</v>
      </c>
      <c r="I707" s="4" t="str">
        <f t="shared" ref="I707:I770" si="44">IF(H707&gt;=10,"Admis","Non admis")</f>
        <v>Admis</v>
      </c>
      <c r="J707" s="4" t="str">
        <f t="shared" ref="J707:J770" si="45">IF(AND(F707&gt;=12,H707&gt;=12,O707&gt;=0.8),"Eligible","Non eligible")</f>
        <v>Eligible</v>
      </c>
      <c r="K707">
        <v>13.79</v>
      </c>
      <c r="L707" s="6" t="str">
        <f t="shared" ref="L707:L770" si="46">IF(OR(F707&lt;10,H707&lt;10),"A surveiller","RAS")</f>
        <v>RAS</v>
      </c>
      <c r="M707" s="6" t="str">
        <f t="shared" ref="M707:M770" si="47">IF(NOT(E707="Data"),"Hors Data","Data")</f>
        <v>Hors Data</v>
      </c>
      <c r="N707" s="8" t="str" cm="1">
        <f t="array" ref="N707">_xlfn.IFS(H707&gt;=16,"Excellent",H707&gt;=14,"Très bien",H707&gt;=12,"Bien",H707&gt;=10,"Passable",TRUE,"Insuffisant")</f>
        <v>Bien</v>
      </c>
      <c r="O707">
        <v>0.95860000000000001</v>
      </c>
      <c r="P707">
        <v>130000</v>
      </c>
      <c r="Q707" s="2">
        <v>46001</v>
      </c>
    </row>
    <row r="708" spans="1:17" x14ac:dyDescent="0.45">
      <c r="A708" t="s">
        <v>1017</v>
      </c>
      <c r="B708" t="s">
        <v>619</v>
      </c>
      <c r="C708" t="s">
        <v>14</v>
      </c>
      <c r="D708" t="s">
        <v>20</v>
      </c>
      <c r="E708" t="s">
        <v>42</v>
      </c>
      <c r="F708">
        <v>13.57</v>
      </c>
      <c r="G708">
        <v>16.05</v>
      </c>
      <c r="H708">
        <v>16.079999999999998</v>
      </c>
      <c r="I708" s="4" t="str">
        <f t="shared" si="44"/>
        <v>Admis</v>
      </c>
      <c r="J708" s="4" t="str">
        <f t="shared" si="45"/>
        <v>Non eligible</v>
      </c>
      <c r="K708">
        <v>15.34</v>
      </c>
      <c r="L708" s="6" t="str">
        <f t="shared" si="46"/>
        <v>RAS</v>
      </c>
      <c r="M708" s="6" t="str">
        <f t="shared" si="47"/>
        <v>Hors Data</v>
      </c>
      <c r="N708" s="8" t="str" cm="1">
        <f t="array" ref="N708">_xlfn.IFS(H708&gt;=16,"Excellent",H708&gt;=14,"Très bien",H708&gt;=12,"Bien",H708&gt;=10,"Passable",TRUE,"Insuffisant")</f>
        <v>Excellent</v>
      </c>
      <c r="O708">
        <v>0.65720000000000001</v>
      </c>
      <c r="P708">
        <v>130000</v>
      </c>
      <c r="Q708" s="2">
        <v>46179</v>
      </c>
    </row>
    <row r="709" spans="1:17" x14ac:dyDescent="0.45">
      <c r="A709" t="s">
        <v>1018</v>
      </c>
      <c r="B709" t="s">
        <v>178</v>
      </c>
      <c r="C709" t="s">
        <v>19</v>
      </c>
      <c r="D709" t="s">
        <v>32</v>
      </c>
      <c r="E709" t="s">
        <v>29</v>
      </c>
      <c r="F709">
        <v>14.59</v>
      </c>
      <c r="G709">
        <v>3.61</v>
      </c>
      <c r="H709">
        <v>12.51</v>
      </c>
      <c r="I709" s="4" t="str">
        <f t="shared" si="44"/>
        <v>Admis</v>
      </c>
      <c r="J709" s="4" t="str">
        <f t="shared" si="45"/>
        <v>Eligible</v>
      </c>
      <c r="K709">
        <v>9.0500000000000007</v>
      </c>
      <c r="L709" s="6" t="str">
        <f t="shared" si="46"/>
        <v>RAS</v>
      </c>
      <c r="M709" s="6" t="str">
        <f t="shared" si="47"/>
        <v>Hors Data</v>
      </c>
      <c r="N709" s="8" t="str" cm="1">
        <f t="array" ref="N709">_xlfn.IFS(H709&gt;=16,"Excellent",H709&gt;=14,"Très bien",H709&gt;=12,"Bien",H709&gt;=10,"Passable",TRUE,"Insuffisant")</f>
        <v>Bien</v>
      </c>
      <c r="O709">
        <v>0.83020000000000005</v>
      </c>
      <c r="P709">
        <v>80000</v>
      </c>
      <c r="Q709" s="2">
        <v>46015</v>
      </c>
    </row>
    <row r="710" spans="1:17" x14ac:dyDescent="0.45">
      <c r="A710" t="s">
        <v>1019</v>
      </c>
      <c r="B710" t="s">
        <v>252</v>
      </c>
      <c r="C710" t="s">
        <v>14</v>
      </c>
      <c r="D710" t="s">
        <v>28</v>
      </c>
      <c r="E710" t="s">
        <v>29</v>
      </c>
      <c r="F710">
        <v>7.44</v>
      </c>
      <c r="G710">
        <v>10.86</v>
      </c>
      <c r="H710">
        <v>8</v>
      </c>
      <c r="I710" s="4" t="str">
        <f t="shared" si="44"/>
        <v>Non admis</v>
      </c>
      <c r="J710" s="4" t="str">
        <f t="shared" si="45"/>
        <v>Non eligible</v>
      </c>
      <c r="K710">
        <v>8.4600000000000009</v>
      </c>
      <c r="L710" s="6" t="str">
        <f t="shared" si="46"/>
        <v>A surveiller</v>
      </c>
      <c r="M710" s="6" t="str">
        <f t="shared" si="47"/>
        <v>Hors Data</v>
      </c>
      <c r="N710" s="8" t="str" cm="1">
        <f t="array" ref="N710">_xlfn.IFS(H710&gt;=16,"Excellent",H710&gt;=14,"Très bien",H710&gt;=12,"Bien",H710&gt;=10,"Passable",TRUE,"Insuffisant")</f>
        <v>Insuffisant</v>
      </c>
      <c r="O710">
        <v>0.8266</v>
      </c>
      <c r="P710">
        <v>130000</v>
      </c>
      <c r="Q710" s="2">
        <v>46070</v>
      </c>
    </row>
    <row r="711" spans="1:17" x14ac:dyDescent="0.45">
      <c r="A711" t="s">
        <v>1020</v>
      </c>
      <c r="B711" t="s">
        <v>549</v>
      </c>
      <c r="C711" t="s">
        <v>14</v>
      </c>
      <c r="D711" t="s">
        <v>20</v>
      </c>
      <c r="E711" t="s">
        <v>42</v>
      </c>
      <c r="F711">
        <v>13.99</v>
      </c>
      <c r="G711">
        <v>20</v>
      </c>
      <c r="H711">
        <v>15.03</v>
      </c>
      <c r="I711" s="4" t="str">
        <f t="shared" si="44"/>
        <v>Admis</v>
      </c>
      <c r="J711" s="4" t="str">
        <f t="shared" si="45"/>
        <v>Eligible</v>
      </c>
      <c r="K711">
        <v>15.5</v>
      </c>
      <c r="L711" s="6" t="str">
        <f t="shared" si="46"/>
        <v>RAS</v>
      </c>
      <c r="M711" s="6" t="str">
        <f t="shared" si="47"/>
        <v>Hors Data</v>
      </c>
      <c r="N711" s="8" t="str" cm="1">
        <f t="array" ref="N711">_xlfn.IFS(H711&gt;=16,"Excellent",H711&gt;=14,"Très bien",H711&gt;=12,"Bien",H711&gt;=10,"Passable",TRUE,"Insuffisant")</f>
        <v>Très bien</v>
      </c>
      <c r="O711">
        <v>0.8448</v>
      </c>
      <c r="P711">
        <v>50000</v>
      </c>
      <c r="Q711" s="2">
        <v>45720</v>
      </c>
    </row>
    <row r="712" spans="1:17" x14ac:dyDescent="0.45">
      <c r="A712" t="s">
        <v>1021</v>
      </c>
      <c r="B712" t="s">
        <v>218</v>
      </c>
      <c r="C712" t="s">
        <v>19</v>
      </c>
      <c r="D712" t="s">
        <v>32</v>
      </c>
      <c r="E712" t="s">
        <v>16</v>
      </c>
      <c r="F712">
        <v>10.65</v>
      </c>
      <c r="G712">
        <v>10.53</v>
      </c>
      <c r="H712">
        <v>15.47</v>
      </c>
      <c r="I712" s="4" t="str">
        <f t="shared" si="44"/>
        <v>Admis</v>
      </c>
      <c r="J712" s="4" t="str">
        <f t="shared" si="45"/>
        <v>Non eligible</v>
      </c>
      <c r="K712">
        <v>16.68</v>
      </c>
      <c r="L712" s="6" t="str">
        <f t="shared" si="46"/>
        <v>RAS</v>
      </c>
      <c r="M712" s="6" t="str">
        <f t="shared" si="47"/>
        <v>Data</v>
      </c>
      <c r="N712" s="8" t="str" cm="1">
        <f t="array" ref="N712">_xlfn.IFS(H712&gt;=16,"Excellent",H712&gt;=14,"Très bien",H712&gt;=12,"Bien",H712&gt;=10,"Passable",TRUE,"Insuffisant")</f>
        <v>Très bien</v>
      </c>
      <c r="O712">
        <v>0.87219999999999998</v>
      </c>
      <c r="P712">
        <v>75000</v>
      </c>
      <c r="Q712" s="2">
        <v>46115</v>
      </c>
    </row>
    <row r="713" spans="1:17" x14ac:dyDescent="0.45">
      <c r="A713" t="s">
        <v>1022</v>
      </c>
      <c r="B713" t="s">
        <v>107</v>
      </c>
      <c r="C713" t="s">
        <v>19</v>
      </c>
      <c r="D713" t="s">
        <v>28</v>
      </c>
      <c r="E713" t="s">
        <v>29</v>
      </c>
      <c r="F713">
        <v>8.02</v>
      </c>
      <c r="G713">
        <v>15.21</v>
      </c>
      <c r="H713">
        <v>10.88</v>
      </c>
      <c r="I713" s="4" t="str">
        <f t="shared" si="44"/>
        <v>Admis</v>
      </c>
      <c r="J713" s="4" t="str">
        <f t="shared" si="45"/>
        <v>Non eligible</v>
      </c>
      <c r="K713">
        <v>7.31</v>
      </c>
      <c r="L713" s="6" t="str">
        <f t="shared" si="46"/>
        <v>A surveiller</v>
      </c>
      <c r="M713" s="6" t="str">
        <f t="shared" si="47"/>
        <v>Hors Data</v>
      </c>
      <c r="N713" s="8" t="str" cm="1">
        <f t="array" ref="N713">_xlfn.IFS(H713&gt;=16,"Excellent",H713&gt;=14,"Très bien",H713&gt;=12,"Bien",H713&gt;=10,"Passable",TRUE,"Insuffisant")</f>
        <v>Passable</v>
      </c>
      <c r="O713">
        <v>0.96599999999999997</v>
      </c>
      <c r="P713">
        <v>75000</v>
      </c>
      <c r="Q713" s="2">
        <v>45829</v>
      </c>
    </row>
    <row r="714" spans="1:17" x14ac:dyDescent="0.45">
      <c r="A714" t="s">
        <v>1023</v>
      </c>
      <c r="B714" t="s">
        <v>73</v>
      </c>
      <c r="C714" t="s">
        <v>19</v>
      </c>
      <c r="D714" t="s">
        <v>15</v>
      </c>
      <c r="E714" t="s">
        <v>16</v>
      </c>
      <c r="F714">
        <v>10.74</v>
      </c>
      <c r="G714">
        <v>7.02</v>
      </c>
      <c r="H714">
        <v>11.92</v>
      </c>
      <c r="I714" s="4" t="str">
        <f t="shared" si="44"/>
        <v>Admis</v>
      </c>
      <c r="J714" s="4" t="str">
        <f t="shared" si="45"/>
        <v>Non eligible</v>
      </c>
      <c r="K714">
        <v>11.78</v>
      </c>
      <c r="L714" s="6" t="str">
        <f t="shared" si="46"/>
        <v>RAS</v>
      </c>
      <c r="M714" s="6" t="str">
        <f t="shared" si="47"/>
        <v>Data</v>
      </c>
      <c r="N714" s="8" t="str" cm="1">
        <f t="array" ref="N714">_xlfn.IFS(H714&gt;=16,"Excellent",H714&gt;=14,"Très bien",H714&gt;=12,"Bien",H714&gt;=10,"Passable",TRUE,"Insuffisant")</f>
        <v>Passable</v>
      </c>
      <c r="O714">
        <v>0.76700000000000002</v>
      </c>
      <c r="P714">
        <v>100000</v>
      </c>
      <c r="Q714" s="2">
        <v>45578</v>
      </c>
    </row>
    <row r="715" spans="1:17" x14ac:dyDescent="0.45">
      <c r="A715" t="s">
        <v>1024</v>
      </c>
      <c r="B715" t="s">
        <v>430</v>
      </c>
      <c r="C715" t="s">
        <v>19</v>
      </c>
      <c r="D715" t="s">
        <v>47</v>
      </c>
      <c r="E715" t="s">
        <v>42</v>
      </c>
      <c r="F715">
        <v>6.71</v>
      </c>
      <c r="G715">
        <v>11.76</v>
      </c>
      <c r="H715">
        <v>6.56</v>
      </c>
      <c r="I715" s="4" t="str">
        <f t="shared" si="44"/>
        <v>Non admis</v>
      </c>
      <c r="J715" s="4" t="str">
        <f t="shared" si="45"/>
        <v>Non eligible</v>
      </c>
      <c r="K715">
        <v>8.14</v>
      </c>
      <c r="L715" s="6" t="str">
        <f t="shared" si="46"/>
        <v>A surveiller</v>
      </c>
      <c r="M715" s="6" t="str">
        <f t="shared" si="47"/>
        <v>Hors Data</v>
      </c>
      <c r="N715" s="8" t="str" cm="1">
        <f t="array" ref="N715">_xlfn.IFS(H715&gt;=16,"Excellent",H715&gt;=14,"Très bien",H715&gt;=12,"Bien",H715&gt;=10,"Passable",TRUE,"Insuffisant")</f>
        <v>Insuffisant</v>
      </c>
      <c r="O715">
        <v>0.99</v>
      </c>
      <c r="P715">
        <v>90000</v>
      </c>
      <c r="Q715" s="2">
        <v>45792</v>
      </c>
    </row>
    <row r="716" spans="1:17" x14ac:dyDescent="0.45">
      <c r="A716" t="s">
        <v>1025</v>
      </c>
      <c r="B716" t="s">
        <v>1003</v>
      </c>
      <c r="C716" t="s">
        <v>19</v>
      </c>
      <c r="D716" t="s">
        <v>15</v>
      </c>
      <c r="E716" t="s">
        <v>42</v>
      </c>
      <c r="F716">
        <v>11.32</v>
      </c>
      <c r="G716">
        <v>11.01</v>
      </c>
      <c r="H716">
        <v>11</v>
      </c>
      <c r="I716" s="4" t="str">
        <f t="shared" si="44"/>
        <v>Admis</v>
      </c>
      <c r="J716" s="4" t="str">
        <f t="shared" si="45"/>
        <v>Non eligible</v>
      </c>
      <c r="K716">
        <v>12.64</v>
      </c>
      <c r="L716" s="6" t="str">
        <f t="shared" si="46"/>
        <v>RAS</v>
      </c>
      <c r="M716" s="6" t="str">
        <f t="shared" si="47"/>
        <v>Hors Data</v>
      </c>
      <c r="N716" s="8" t="str" cm="1">
        <f t="array" ref="N716">_xlfn.IFS(H716&gt;=16,"Excellent",H716&gt;=14,"Très bien",H716&gt;=12,"Bien",H716&gt;=10,"Passable",TRUE,"Insuffisant")</f>
        <v>Passable</v>
      </c>
      <c r="O716">
        <v>0.89849999999999997</v>
      </c>
      <c r="P716">
        <v>85000</v>
      </c>
      <c r="Q716" s="2">
        <v>45780</v>
      </c>
    </row>
    <row r="717" spans="1:17" x14ac:dyDescent="0.45">
      <c r="A717" t="s">
        <v>1026</v>
      </c>
      <c r="B717" t="s">
        <v>906</v>
      </c>
      <c r="C717" t="s">
        <v>19</v>
      </c>
      <c r="D717" t="s">
        <v>15</v>
      </c>
      <c r="E717" t="s">
        <v>29</v>
      </c>
      <c r="F717">
        <v>9.36</v>
      </c>
      <c r="G717">
        <v>7.22</v>
      </c>
      <c r="H717">
        <v>11.8</v>
      </c>
      <c r="I717" s="4" t="str">
        <f t="shared" si="44"/>
        <v>Admis</v>
      </c>
      <c r="J717" s="4" t="str">
        <f t="shared" si="45"/>
        <v>Non eligible</v>
      </c>
      <c r="K717">
        <v>11.8</v>
      </c>
      <c r="L717" s="6" t="str">
        <f t="shared" si="46"/>
        <v>A surveiller</v>
      </c>
      <c r="M717" s="6" t="str">
        <f t="shared" si="47"/>
        <v>Hors Data</v>
      </c>
      <c r="N717" s="8" t="str" cm="1">
        <f t="array" ref="N717">_xlfn.IFS(H717&gt;=16,"Excellent",H717&gt;=14,"Très bien",H717&gt;=12,"Bien",H717&gt;=10,"Passable",TRUE,"Insuffisant")</f>
        <v>Passable</v>
      </c>
      <c r="O717">
        <v>0.71240000000000003</v>
      </c>
      <c r="P717">
        <v>70000</v>
      </c>
      <c r="Q717" s="2">
        <v>45901</v>
      </c>
    </row>
    <row r="718" spans="1:17" x14ac:dyDescent="0.45">
      <c r="A718" t="s">
        <v>1027</v>
      </c>
      <c r="B718" t="s">
        <v>1028</v>
      </c>
      <c r="C718" t="s">
        <v>19</v>
      </c>
      <c r="D718" t="s">
        <v>47</v>
      </c>
      <c r="E718" t="s">
        <v>16</v>
      </c>
      <c r="F718">
        <v>10.02</v>
      </c>
      <c r="G718">
        <v>18.32</v>
      </c>
      <c r="H718">
        <v>16.43</v>
      </c>
      <c r="I718" s="4" t="str">
        <f t="shared" si="44"/>
        <v>Admis</v>
      </c>
      <c r="J718" s="4" t="str">
        <f t="shared" si="45"/>
        <v>Non eligible</v>
      </c>
      <c r="K718">
        <v>20</v>
      </c>
      <c r="L718" s="6" t="str">
        <f t="shared" si="46"/>
        <v>RAS</v>
      </c>
      <c r="M718" s="6" t="str">
        <f t="shared" si="47"/>
        <v>Data</v>
      </c>
      <c r="N718" s="8" t="str" cm="1">
        <f t="array" ref="N718">_xlfn.IFS(H718&gt;=16,"Excellent",H718&gt;=14,"Très bien",H718&gt;=12,"Bien",H718&gt;=10,"Passable",TRUE,"Insuffisant")</f>
        <v>Excellent</v>
      </c>
      <c r="O718">
        <v>0.88649999999999995</v>
      </c>
      <c r="P718">
        <v>85000</v>
      </c>
      <c r="Q718" s="2">
        <v>45721</v>
      </c>
    </row>
    <row r="719" spans="1:17" x14ac:dyDescent="0.45">
      <c r="A719" t="s">
        <v>1029</v>
      </c>
      <c r="B719" t="s">
        <v>1030</v>
      </c>
      <c r="C719" t="s">
        <v>14</v>
      </c>
      <c r="D719" t="s">
        <v>35</v>
      </c>
      <c r="E719" t="s">
        <v>29</v>
      </c>
      <c r="F719">
        <v>9.41</v>
      </c>
      <c r="G719">
        <v>14.64</v>
      </c>
      <c r="H719">
        <v>12.35</v>
      </c>
      <c r="I719" s="4" t="str">
        <f t="shared" si="44"/>
        <v>Admis</v>
      </c>
      <c r="J719" s="4" t="str">
        <f t="shared" si="45"/>
        <v>Non eligible</v>
      </c>
      <c r="K719">
        <v>13.07</v>
      </c>
      <c r="L719" s="6" t="str">
        <f t="shared" si="46"/>
        <v>A surveiller</v>
      </c>
      <c r="M719" s="6" t="str">
        <f t="shared" si="47"/>
        <v>Hors Data</v>
      </c>
      <c r="N719" s="8" t="str" cm="1">
        <f t="array" ref="N719">_xlfn.IFS(H719&gt;=16,"Excellent",H719&gt;=14,"Très bien",H719&gt;=12,"Bien",H719&gt;=10,"Passable",TRUE,"Insuffisant")</f>
        <v>Bien</v>
      </c>
      <c r="O719">
        <v>0.92649999999999999</v>
      </c>
      <c r="P719">
        <v>70000</v>
      </c>
      <c r="Q719" s="2">
        <v>45859</v>
      </c>
    </row>
    <row r="720" spans="1:17" x14ac:dyDescent="0.45">
      <c r="A720" t="s">
        <v>1031</v>
      </c>
      <c r="B720" t="s">
        <v>1032</v>
      </c>
      <c r="C720" t="s">
        <v>14</v>
      </c>
      <c r="D720" t="s">
        <v>28</v>
      </c>
      <c r="E720" t="s">
        <v>21</v>
      </c>
      <c r="F720">
        <v>14.25</v>
      </c>
      <c r="G720">
        <v>16.489999999999998</v>
      </c>
      <c r="H720">
        <v>17.14</v>
      </c>
      <c r="I720" s="4" t="str">
        <f t="shared" si="44"/>
        <v>Admis</v>
      </c>
      <c r="J720" s="4" t="str">
        <f t="shared" si="45"/>
        <v>Eligible</v>
      </c>
      <c r="K720">
        <v>14.29</v>
      </c>
      <c r="L720" s="6" t="str">
        <f t="shared" si="46"/>
        <v>RAS</v>
      </c>
      <c r="M720" s="6" t="str">
        <f t="shared" si="47"/>
        <v>Hors Data</v>
      </c>
      <c r="N720" s="8" t="str" cm="1">
        <f t="array" ref="N720">_xlfn.IFS(H720&gt;=16,"Excellent",H720&gt;=14,"Très bien",H720&gt;=12,"Bien",H720&gt;=10,"Passable",TRUE,"Insuffisant")</f>
        <v>Excellent</v>
      </c>
      <c r="O720">
        <v>0.93859999999999999</v>
      </c>
      <c r="P720">
        <v>85000</v>
      </c>
      <c r="Q720" s="2">
        <v>45835</v>
      </c>
    </row>
    <row r="721" spans="1:17" x14ac:dyDescent="0.45">
      <c r="A721" t="s">
        <v>1033</v>
      </c>
      <c r="B721" t="s">
        <v>551</v>
      </c>
      <c r="C721" t="s">
        <v>19</v>
      </c>
      <c r="D721" t="s">
        <v>47</v>
      </c>
      <c r="E721" t="s">
        <v>16</v>
      </c>
      <c r="F721">
        <v>10.66</v>
      </c>
      <c r="G721">
        <v>13.68</v>
      </c>
      <c r="H721">
        <v>13.74</v>
      </c>
      <c r="I721" s="4" t="str">
        <f t="shared" si="44"/>
        <v>Admis</v>
      </c>
      <c r="J721" s="4" t="str">
        <f t="shared" si="45"/>
        <v>Non eligible</v>
      </c>
      <c r="K721">
        <v>12.42</v>
      </c>
      <c r="L721" s="6" t="str">
        <f t="shared" si="46"/>
        <v>RAS</v>
      </c>
      <c r="M721" s="6" t="str">
        <f t="shared" si="47"/>
        <v>Data</v>
      </c>
      <c r="N721" s="8" t="str" cm="1">
        <f t="array" ref="N721">_xlfn.IFS(H721&gt;=16,"Excellent",H721&gt;=14,"Très bien",H721&gt;=12,"Bien",H721&gt;=10,"Passable",TRUE,"Insuffisant")</f>
        <v>Bien</v>
      </c>
      <c r="O721">
        <v>0.80149999999999999</v>
      </c>
      <c r="P721">
        <v>75000</v>
      </c>
      <c r="Q721" s="2">
        <v>45764</v>
      </c>
    </row>
    <row r="722" spans="1:17" x14ac:dyDescent="0.45">
      <c r="A722" t="s">
        <v>1034</v>
      </c>
      <c r="B722" t="s">
        <v>204</v>
      </c>
      <c r="C722" t="s">
        <v>14</v>
      </c>
      <c r="D722" t="s">
        <v>35</v>
      </c>
      <c r="E722" t="s">
        <v>16</v>
      </c>
      <c r="F722">
        <v>17.54</v>
      </c>
      <c r="G722">
        <v>13.69</v>
      </c>
      <c r="H722">
        <v>15.61</v>
      </c>
      <c r="I722" s="4" t="str">
        <f t="shared" si="44"/>
        <v>Admis</v>
      </c>
      <c r="J722" s="4" t="str">
        <f t="shared" si="45"/>
        <v>Non eligible</v>
      </c>
      <c r="K722">
        <v>13.32</v>
      </c>
      <c r="L722" s="6" t="str">
        <f t="shared" si="46"/>
        <v>RAS</v>
      </c>
      <c r="M722" s="6" t="str">
        <f t="shared" si="47"/>
        <v>Data</v>
      </c>
      <c r="N722" s="8" t="str" cm="1">
        <f t="array" ref="N722">_xlfn.IFS(H722&gt;=16,"Excellent",H722&gt;=14,"Très bien",H722&gt;=12,"Bien",H722&gt;=10,"Passable",TRUE,"Insuffisant")</f>
        <v>Très bien</v>
      </c>
      <c r="O722">
        <v>0.55000000000000004</v>
      </c>
      <c r="P722">
        <v>120000</v>
      </c>
      <c r="Q722" s="2">
        <v>46023</v>
      </c>
    </row>
    <row r="723" spans="1:17" x14ac:dyDescent="0.45">
      <c r="A723" t="s">
        <v>1035</v>
      </c>
      <c r="B723" t="s">
        <v>799</v>
      </c>
      <c r="C723" t="s">
        <v>19</v>
      </c>
      <c r="D723" t="s">
        <v>35</v>
      </c>
      <c r="E723" t="s">
        <v>16</v>
      </c>
      <c r="F723">
        <v>11.75</v>
      </c>
      <c r="G723">
        <v>9.41</v>
      </c>
      <c r="H723">
        <v>12.77</v>
      </c>
      <c r="I723" s="4" t="str">
        <f t="shared" si="44"/>
        <v>Admis</v>
      </c>
      <c r="J723" s="4" t="str">
        <f t="shared" si="45"/>
        <v>Non eligible</v>
      </c>
      <c r="K723">
        <v>14.89</v>
      </c>
      <c r="L723" s="6" t="str">
        <f t="shared" si="46"/>
        <v>RAS</v>
      </c>
      <c r="M723" s="6" t="str">
        <f t="shared" si="47"/>
        <v>Data</v>
      </c>
      <c r="N723" s="8" t="str" cm="1">
        <f t="array" ref="N723">_xlfn.IFS(H723&gt;=16,"Excellent",H723&gt;=14,"Très bien",H723&gt;=12,"Bien",H723&gt;=10,"Passable",TRUE,"Insuffisant")</f>
        <v>Bien</v>
      </c>
      <c r="O723">
        <v>0.9073</v>
      </c>
      <c r="P723">
        <v>110000</v>
      </c>
      <c r="Q723" s="2">
        <v>45749</v>
      </c>
    </row>
    <row r="724" spans="1:17" x14ac:dyDescent="0.45">
      <c r="A724" t="s">
        <v>1036</v>
      </c>
      <c r="B724" t="s">
        <v>449</v>
      </c>
      <c r="C724" t="s">
        <v>19</v>
      </c>
      <c r="D724" t="s">
        <v>47</v>
      </c>
      <c r="E724" t="s">
        <v>21</v>
      </c>
      <c r="F724">
        <v>17.88</v>
      </c>
      <c r="G724">
        <v>17.87</v>
      </c>
      <c r="H724">
        <v>14.9</v>
      </c>
      <c r="I724" s="4" t="str">
        <f t="shared" si="44"/>
        <v>Admis</v>
      </c>
      <c r="J724" s="4" t="str">
        <f t="shared" si="45"/>
        <v>Non eligible</v>
      </c>
      <c r="K724">
        <v>12.91</v>
      </c>
      <c r="L724" s="6" t="str">
        <f t="shared" si="46"/>
        <v>RAS</v>
      </c>
      <c r="M724" s="6" t="str">
        <f t="shared" si="47"/>
        <v>Hors Data</v>
      </c>
      <c r="N724" s="8" t="str" cm="1">
        <f t="array" ref="N724">_xlfn.IFS(H724&gt;=16,"Excellent",H724&gt;=14,"Très bien",H724&gt;=12,"Bien",H724&gt;=10,"Passable",TRUE,"Insuffisant")</f>
        <v>Très bien</v>
      </c>
      <c r="O724">
        <v>0.55000000000000004</v>
      </c>
      <c r="P724">
        <v>60000</v>
      </c>
      <c r="Q724" s="2">
        <v>46072</v>
      </c>
    </row>
    <row r="725" spans="1:17" x14ac:dyDescent="0.45">
      <c r="A725" t="s">
        <v>1037</v>
      </c>
      <c r="B725" t="s">
        <v>490</v>
      </c>
      <c r="C725" t="s">
        <v>14</v>
      </c>
      <c r="D725" t="s">
        <v>47</v>
      </c>
      <c r="E725" t="s">
        <v>16</v>
      </c>
      <c r="F725">
        <v>11.96</v>
      </c>
      <c r="G725">
        <v>16.25</v>
      </c>
      <c r="H725">
        <v>9.91</v>
      </c>
      <c r="I725" s="4" t="str">
        <f t="shared" si="44"/>
        <v>Non admis</v>
      </c>
      <c r="J725" s="4" t="str">
        <f t="shared" si="45"/>
        <v>Non eligible</v>
      </c>
      <c r="K725">
        <v>10.09</v>
      </c>
      <c r="L725" s="6" t="str">
        <f t="shared" si="46"/>
        <v>A surveiller</v>
      </c>
      <c r="M725" s="6" t="str">
        <f t="shared" si="47"/>
        <v>Data</v>
      </c>
      <c r="N725" s="8" t="str" cm="1">
        <f t="array" ref="N725">_xlfn.IFS(H725&gt;=16,"Excellent",H725&gt;=14,"Très bien",H725&gt;=12,"Bien",H725&gt;=10,"Passable",TRUE,"Insuffisant")</f>
        <v>Insuffisant</v>
      </c>
      <c r="O725">
        <v>0.91900000000000004</v>
      </c>
      <c r="P725">
        <v>130000</v>
      </c>
      <c r="Q725" s="2">
        <v>45711</v>
      </c>
    </row>
    <row r="726" spans="1:17" x14ac:dyDescent="0.45">
      <c r="A726" t="s">
        <v>1038</v>
      </c>
      <c r="B726" t="s">
        <v>978</v>
      </c>
      <c r="C726" t="s">
        <v>19</v>
      </c>
      <c r="D726" t="s">
        <v>15</v>
      </c>
      <c r="E726" t="s">
        <v>42</v>
      </c>
      <c r="F726">
        <v>9</v>
      </c>
      <c r="G726">
        <v>11.98</v>
      </c>
      <c r="H726">
        <v>7.99</v>
      </c>
      <c r="I726" s="4" t="str">
        <f t="shared" si="44"/>
        <v>Non admis</v>
      </c>
      <c r="J726" s="4" t="str">
        <f t="shared" si="45"/>
        <v>Non eligible</v>
      </c>
      <c r="K726">
        <v>10</v>
      </c>
      <c r="L726" s="6" t="str">
        <f t="shared" si="46"/>
        <v>A surveiller</v>
      </c>
      <c r="M726" s="6" t="str">
        <f t="shared" si="47"/>
        <v>Hors Data</v>
      </c>
      <c r="N726" s="8" t="str" cm="1">
        <f t="array" ref="N726">_xlfn.IFS(H726&gt;=16,"Excellent",H726&gt;=14,"Très bien",H726&gt;=12,"Bien",H726&gt;=10,"Passable",TRUE,"Insuffisant")</f>
        <v>Insuffisant</v>
      </c>
      <c r="O726">
        <v>0.86519999999999997</v>
      </c>
      <c r="P726">
        <v>100000</v>
      </c>
      <c r="Q726" s="2">
        <v>46141</v>
      </c>
    </row>
    <row r="727" spans="1:17" x14ac:dyDescent="0.45">
      <c r="A727" t="s">
        <v>1039</v>
      </c>
      <c r="B727" t="s">
        <v>1040</v>
      </c>
      <c r="C727" t="s">
        <v>14</v>
      </c>
      <c r="D727" t="s">
        <v>28</v>
      </c>
      <c r="E727" t="s">
        <v>21</v>
      </c>
      <c r="F727">
        <v>7.79</v>
      </c>
      <c r="G727">
        <v>5.66</v>
      </c>
      <c r="H727">
        <v>9.8699999999999992</v>
      </c>
      <c r="I727" s="4" t="str">
        <f t="shared" si="44"/>
        <v>Non admis</v>
      </c>
      <c r="J727" s="4" t="str">
        <f t="shared" si="45"/>
        <v>Non eligible</v>
      </c>
      <c r="K727">
        <v>12.23</v>
      </c>
      <c r="L727" s="6" t="str">
        <f t="shared" si="46"/>
        <v>A surveiller</v>
      </c>
      <c r="M727" s="6" t="str">
        <f t="shared" si="47"/>
        <v>Hors Data</v>
      </c>
      <c r="N727" s="8" t="str" cm="1">
        <f t="array" ref="N727">_xlfn.IFS(H727&gt;=16,"Excellent",H727&gt;=14,"Très bien",H727&gt;=12,"Bien",H727&gt;=10,"Passable",TRUE,"Insuffisant")</f>
        <v>Insuffisant</v>
      </c>
      <c r="O727">
        <v>0.83299999999999996</v>
      </c>
      <c r="P727">
        <v>75000</v>
      </c>
      <c r="Q727" s="2">
        <v>45791</v>
      </c>
    </row>
    <row r="728" spans="1:17" x14ac:dyDescent="0.45">
      <c r="A728" t="s">
        <v>1041</v>
      </c>
      <c r="B728" t="s">
        <v>153</v>
      </c>
      <c r="C728" t="s">
        <v>19</v>
      </c>
      <c r="D728" t="s">
        <v>20</v>
      </c>
      <c r="E728" t="s">
        <v>42</v>
      </c>
      <c r="F728">
        <v>11.88</v>
      </c>
      <c r="G728">
        <v>9.08</v>
      </c>
      <c r="H728">
        <v>10.48</v>
      </c>
      <c r="I728" s="4" t="str">
        <f t="shared" si="44"/>
        <v>Admis</v>
      </c>
      <c r="J728" s="4" t="str">
        <f t="shared" si="45"/>
        <v>Non eligible</v>
      </c>
      <c r="K728">
        <v>7.07</v>
      </c>
      <c r="L728" s="6" t="str">
        <f t="shared" si="46"/>
        <v>RAS</v>
      </c>
      <c r="M728" s="6" t="str">
        <f t="shared" si="47"/>
        <v>Hors Data</v>
      </c>
      <c r="N728" s="8" t="str" cm="1">
        <f t="array" ref="N728">_xlfn.IFS(H728&gt;=16,"Excellent",H728&gt;=14,"Très bien",H728&gt;=12,"Bien",H728&gt;=10,"Passable",TRUE,"Insuffisant")</f>
        <v>Passable</v>
      </c>
      <c r="O728">
        <v>0.74470000000000003</v>
      </c>
      <c r="P728">
        <v>85000</v>
      </c>
      <c r="Q728" s="2">
        <v>45564</v>
      </c>
    </row>
    <row r="729" spans="1:17" x14ac:dyDescent="0.45">
      <c r="A729" t="s">
        <v>1042</v>
      </c>
      <c r="B729" t="s">
        <v>196</v>
      </c>
      <c r="C729" t="s">
        <v>14</v>
      </c>
      <c r="D729" t="s">
        <v>15</v>
      </c>
      <c r="E729" t="s">
        <v>29</v>
      </c>
      <c r="F729">
        <v>8.32</v>
      </c>
      <c r="G729">
        <v>8.5399999999999991</v>
      </c>
      <c r="H729">
        <v>10.41</v>
      </c>
      <c r="I729" s="4" t="str">
        <f t="shared" si="44"/>
        <v>Admis</v>
      </c>
      <c r="J729" s="4" t="str">
        <f t="shared" si="45"/>
        <v>Non eligible</v>
      </c>
      <c r="K729">
        <v>12.93</v>
      </c>
      <c r="L729" s="6" t="str">
        <f t="shared" si="46"/>
        <v>A surveiller</v>
      </c>
      <c r="M729" s="6" t="str">
        <f t="shared" si="47"/>
        <v>Hors Data</v>
      </c>
      <c r="N729" s="8" t="str" cm="1">
        <f t="array" ref="N729">_xlfn.IFS(H729&gt;=16,"Excellent",H729&gt;=14,"Très bien",H729&gt;=12,"Bien",H729&gt;=10,"Passable",TRUE,"Insuffisant")</f>
        <v>Passable</v>
      </c>
      <c r="O729">
        <v>0.90090000000000003</v>
      </c>
      <c r="P729">
        <v>70000</v>
      </c>
      <c r="Q729" s="2">
        <v>45640</v>
      </c>
    </row>
    <row r="730" spans="1:17" x14ac:dyDescent="0.45">
      <c r="A730" t="s">
        <v>1043</v>
      </c>
      <c r="B730" t="s">
        <v>1044</v>
      </c>
      <c r="C730" t="s">
        <v>14</v>
      </c>
      <c r="D730" t="s">
        <v>28</v>
      </c>
      <c r="E730" t="s">
        <v>16</v>
      </c>
      <c r="F730">
        <v>15.02</v>
      </c>
      <c r="G730">
        <v>11.54</v>
      </c>
      <c r="H730">
        <v>12.72</v>
      </c>
      <c r="I730" s="4" t="str">
        <f t="shared" si="44"/>
        <v>Admis</v>
      </c>
      <c r="J730" s="4" t="str">
        <f t="shared" si="45"/>
        <v>Eligible</v>
      </c>
      <c r="K730">
        <v>14.24</v>
      </c>
      <c r="L730" s="6" t="str">
        <f t="shared" si="46"/>
        <v>RAS</v>
      </c>
      <c r="M730" s="6" t="str">
        <f t="shared" si="47"/>
        <v>Data</v>
      </c>
      <c r="N730" s="8" t="str" cm="1">
        <f t="array" ref="N730">_xlfn.IFS(H730&gt;=16,"Excellent",H730&gt;=14,"Très bien",H730&gt;=12,"Bien",H730&gt;=10,"Passable",TRUE,"Insuffisant")</f>
        <v>Bien</v>
      </c>
      <c r="O730">
        <v>0.94320000000000004</v>
      </c>
      <c r="P730">
        <v>50000</v>
      </c>
      <c r="Q730" s="2">
        <v>46100</v>
      </c>
    </row>
    <row r="731" spans="1:17" x14ac:dyDescent="0.45">
      <c r="A731" t="s">
        <v>1045</v>
      </c>
      <c r="B731" t="s">
        <v>317</v>
      </c>
      <c r="C731" t="s">
        <v>19</v>
      </c>
      <c r="D731" t="s">
        <v>47</v>
      </c>
      <c r="E731" t="s">
        <v>16</v>
      </c>
      <c r="F731">
        <v>11.68</v>
      </c>
      <c r="G731">
        <v>12.69</v>
      </c>
      <c r="H731">
        <v>8.74</v>
      </c>
      <c r="I731" s="4" t="str">
        <f t="shared" si="44"/>
        <v>Non admis</v>
      </c>
      <c r="J731" s="4" t="str">
        <f t="shared" si="45"/>
        <v>Non eligible</v>
      </c>
      <c r="K731">
        <v>7.95</v>
      </c>
      <c r="L731" s="6" t="str">
        <f t="shared" si="46"/>
        <v>A surveiller</v>
      </c>
      <c r="M731" s="6" t="str">
        <f t="shared" si="47"/>
        <v>Data</v>
      </c>
      <c r="N731" s="8" t="str" cm="1">
        <f t="array" ref="N731">_xlfn.IFS(H731&gt;=16,"Excellent",H731&gt;=14,"Très bien",H731&gt;=12,"Bien",H731&gt;=10,"Passable",TRUE,"Insuffisant")</f>
        <v>Insuffisant</v>
      </c>
      <c r="O731">
        <v>0.71120000000000005</v>
      </c>
      <c r="P731">
        <v>80000</v>
      </c>
      <c r="Q731" s="2">
        <v>46146</v>
      </c>
    </row>
    <row r="732" spans="1:17" x14ac:dyDescent="0.45">
      <c r="A732" t="s">
        <v>1046</v>
      </c>
      <c r="B732" t="s">
        <v>645</v>
      </c>
      <c r="C732" t="s">
        <v>19</v>
      </c>
      <c r="D732" t="s">
        <v>28</v>
      </c>
      <c r="E732" t="s">
        <v>16</v>
      </c>
      <c r="F732">
        <v>18.07</v>
      </c>
      <c r="G732">
        <v>20</v>
      </c>
      <c r="H732">
        <v>20</v>
      </c>
      <c r="I732" s="4" t="str">
        <f t="shared" si="44"/>
        <v>Admis</v>
      </c>
      <c r="J732" s="4" t="str">
        <f t="shared" si="45"/>
        <v>Eligible</v>
      </c>
      <c r="K732">
        <v>13.45</v>
      </c>
      <c r="L732" s="6" t="str">
        <f t="shared" si="46"/>
        <v>RAS</v>
      </c>
      <c r="M732" s="6" t="str">
        <f t="shared" si="47"/>
        <v>Data</v>
      </c>
      <c r="N732" s="8" t="str" cm="1">
        <f t="array" ref="N732">_xlfn.IFS(H732&gt;=16,"Excellent",H732&gt;=14,"Très bien",H732&gt;=12,"Bien",H732&gt;=10,"Passable",TRUE,"Insuffisant")</f>
        <v>Excellent</v>
      </c>
      <c r="O732">
        <v>0.88790000000000002</v>
      </c>
      <c r="P732">
        <v>110000</v>
      </c>
      <c r="Q732" s="2">
        <v>45684</v>
      </c>
    </row>
    <row r="733" spans="1:17" x14ac:dyDescent="0.45">
      <c r="A733" t="s">
        <v>1047</v>
      </c>
      <c r="B733" t="s">
        <v>240</v>
      </c>
      <c r="C733" t="s">
        <v>14</v>
      </c>
      <c r="D733" t="s">
        <v>35</v>
      </c>
      <c r="E733" t="s">
        <v>21</v>
      </c>
      <c r="F733">
        <v>10.82</v>
      </c>
      <c r="G733">
        <v>5.89</v>
      </c>
      <c r="H733">
        <v>7.79</v>
      </c>
      <c r="I733" s="4" t="str">
        <f t="shared" si="44"/>
        <v>Non admis</v>
      </c>
      <c r="J733" s="4" t="str">
        <f t="shared" si="45"/>
        <v>Non eligible</v>
      </c>
      <c r="K733">
        <v>5.17</v>
      </c>
      <c r="L733" s="6" t="str">
        <f t="shared" si="46"/>
        <v>A surveiller</v>
      </c>
      <c r="M733" s="6" t="str">
        <f t="shared" si="47"/>
        <v>Hors Data</v>
      </c>
      <c r="N733" s="8" t="str" cm="1">
        <f t="array" ref="N733">_xlfn.IFS(H733&gt;=16,"Excellent",H733&gt;=14,"Très bien",H733&gt;=12,"Bien",H733&gt;=10,"Passable",TRUE,"Insuffisant")</f>
        <v>Insuffisant</v>
      </c>
      <c r="O733">
        <v>0.74019999999999997</v>
      </c>
      <c r="P733">
        <v>75000</v>
      </c>
      <c r="Q733" s="2">
        <v>45957</v>
      </c>
    </row>
    <row r="734" spans="1:17" x14ac:dyDescent="0.45">
      <c r="A734" t="s">
        <v>1048</v>
      </c>
      <c r="B734" t="s">
        <v>144</v>
      </c>
      <c r="C734" t="s">
        <v>19</v>
      </c>
      <c r="D734" t="s">
        <v>28</v>
      </c>
      <c r="E734" t="s">
        <v>16</v>
      </c>
      <c r="F734">
        <v>15.01</v>
      </c>
      <c r="G734">
        <v>16.18</v>
      </c>
      <c r="H734">
        <v>12.43</v>
      </c>
      <c r="I734" s="4" t="str">
        <f t="shared" si="44"/>
        <v>Admis</v>
      </c>
      <c r="J734" s="4" t="str">
        <f t="shared" si="45"/>
        <v>Eligible</v>
      </c>
      <c r="K734">
        <v>13.93</v>
      </c>
      <c r="L734" s="6" t="str">
        <f t="shared" si="46"/>
        <v>RAS</v>
      </c>
      <c r="M734" s="6" t="str">
        <f t="shared" si="47"/>
        <v>Data</v>
      </c>
      <c r="N734" s="8" t="str" cm="1">
        <f t="array" ref="N734">_xlfn.IFS(H734&gt;=16,"Excellent",H734&gt;=14,"Très bien",H734&gt;=12,"Bien",H734&gt;=10,"Passable",TRUE,"Insuffisant")</f>
        <v>Bien</v>
      </c>
      <c r="O734">
        <v>0.81210000000000004</v>
      </c>
      <c r="P734">
        <v>80000</v>
      </c>
      <c r="Q734" s="2">
        <v>45938</v>
      </c>
    </row>
    <row r="735" spans="1:17" x14ac:dyDescent="0.45">
      <c r="A735" t="s">
        <v>1049</v>
      </c>
      <c r="B735" t="s">
        <v>256</v>
      </c>
      <c r="C735" t="s">
        <v>19</v>
      </c>
      <c r="D735" t="s">
        <v>15</v>
      </c>
      <c r="E735" t="s">
        <v>16</v>
      </c>
      <c r="F735">
        <v>9.36</v>
      </c>
      <c r="G735">
        <v>12.06</v>
      </c>
      <c r="H735">
        <v>8.14</v>
      </c>
      <c r="I735" s="4" t="str">
        <f t="shared" si="44"/>
        <v>Non admis</v>
      </c>
      <c r="J735" s="4" t="str">
        <f t="shared" si="45"/>
        <v>Non eligible</v>
      </c>
      <c r="K735">
        <v>10.1</v>
      </c>
      <c r="L735" s="6" t="str">
        <f t="shared" si="46"/>
        <v>A surveiller</v>
      </c>
      <c r="M735" s="6" t="str">
        <f t="shared" si="47"/>
        <v>Data</v>
      </c>
      <c r="N735" s="8" t="str" cm="1">
        <f t="array" ref="N735">_xlfn.IFS(H735&gt;=16,"Excellent",H735&gt;=14,"Très bien",H735&gt;=12,"Bien",H735&gt;=10,"Passable",TRUE,"Insuffisant")</f>
        <v>Insuffisant</v>
      </c>
      <c r="O735">
        <v>0.70140000000000002</v>
      </c>
      <c r="P735">
        <v>130000</v>
      </c>
      <c r="Q735" s="2">
        <v>45629</v>
      </c>
    </row>
    <row r="736" spans="1:17" x14ac:dyDescent="0.45">
      <c r="A736" t="s">
        <v>1050</v>
      </c>
      <c r="B736" t="s">
        <v>188</v>
      </c>
      <c r="C736" t="s">
        <v>14</v>
      </c>
      <c r="D736" t="s">
        <v>32</v>
      </c>
      <c r="E736" t="s">
        <v>21</v>
      </c>
      <c r="F736">
        <v>12.44</v>
      </c>
      <c r="G736">
        <v>11.31</v>
      </c>
      <c r="H736">
        <v>13.25</v>
      </c>
      <c r="I736" s="4" t="str">
        <f t="shared" si="44"/>
        <v>Admis</v>
      </c>
      <c r="J736" s="4" t="str">
        <f t="shared" si="45"/>
        <v>Eligible</v>
      </c>
      <c r="K736">
        <v>13.41</v>
      </c>
      <c r="L736" s="6" t="str">
        <f t="shared" si="46"/>
        <v>RAS</v>
      </c>
      <c r="M736" s="6" t="str">
        <f t="shared" si="47"/>
        <v>Hors Data</v>
      </c>
      <c r="N736" s="8" t="str" cm="1">
        <f t="array" ref="N736">_xlfn.IFS(H736&gt;=16,"Excellent",H736&gt;=14,"Très bien",H736&gt;=12,"Bien",H736&gt;=10,"Passable",TRUE,"Insuffisant")</f>
        <v>Bien</v>
      </c>
      <c r="O736">
        <v>0.99739999999999995</v>
      </c>
      <c r="P736">
        <v>130000</v>
      </c>
      <c r="Q736" s="2">
        <v>45852</v>
      </c>
    </row>
    <row r="737" spans="1:17" x14ac:dyDescent="0.45">
      <c r="A737" t="s">
        <v>1051</v>
      </c>
      <c r="B737" t="s">
        <v>799</v>
      </c>
      <c r="C737" t="s">
        <v>19</v>
      </c>
      <c r="D737" t="s">
        <v>35</v>
      </c>
      <c r="E737" t="s">
        <v>29</v>
      </c>
      <c r="F737">
        <v>13.71</v>
      </c>
      <c r="G737">
        <v>13.92</v>
      </c>
      <c r="H737">
        <v>17.12</v>
      </c>
      <c r="I737" s="4" t="str">
        <f t="shared" si="44"/>
        <v>Admis</v>
      </c>
      <c r="J737" s="4" t="str">
        <f t="shared" si="45"/>
        <v>Eligible</v>
      </c>
      <c r="K737">
        <v>12.59</v>
      </c>
      <c r="L737" s="6" t="str">
        <f t="shared" si="46"/>
        <v>RAS</v>
      </c>
      <c r="M737" s="6" t="str">
        <f t="shared" si="47"/>
        <v>Hors Data</v>
      </c>
      <c r="N737" s="8" t="str" cm="1">
        <f t="array" ref="N737">_xlfn.IFS(H737&gt;=16,"Excellent",H737&gt;=14,"Très bien",H737&gt;=12,"Bien",H737&gt;=10,"Passable",TRUE,"Insuffisant")</f>
        <v>Excellent</v>
      </c>
      <c r="O737">
        <v>0.90329999999999999</v>
      </c>
      <c r="P737">
        <v>85000</v>
      </c>
      <c r="Q737" s="2">
        <v>46021</v>
      </c>
    </row>
    <row r="738" spans="1:17" x14ac:dyDescent="0.45">
      <c r="A738" t="s">
        <v>1052</v>
      </c>
      <c r="B738" t="s">
        <v>728</v>
      </c>
      <c r="C738" t="s">
        <v>19</v>
      </c>
      <c r="D738" t="s">
        <v>47</v>
      </c>
      <c r="E738" t="s">
        <v>29</v>
      </c>
      <c r="F738">
        <v>5.08</v>
      </c>
      <c r="G738">
        <v>3.1</v>
      </c>
      <c r="H738">
        <v>6.3</v>
      </c>
      <c r="I738" s="4" t="str">
        <f t="shared" si="44"/>
        <v>Non admis</v>
      </c>
      <c r="J738" s="4" t="str">
        <f t="shared" si="45"/>
        <v>Non eligible</v>
      </c>
      <c r="K738">
        <v>4.45</v>
      </c>
      <c r="L738" s="6" t="str">
        <f t="shared" si="46"/>
        <v>A surveiller</v>
      </c>
      <c r="M738" s="6" t="str">
        <f t="shared" si="47"/>
        <v>Hors Data</v>
      </c>
      <c r="N738" s="8" t="str" cm="1">
        <f t="array" ref="N738">_xlfn.IFS(H738&gt;=16,"Excellent",H738&gt;=14,"Très bien",H738&gt;=12,"Bien",H738&gt;=10,"Passable",TRUE,"Insuffisant")</f>
        <v>Insuffisant</v>
      </c>
      <c r="O738">
        <v>0.90510000000000002</v>
      </c>
      <c r="P738">
        <v>50000</v>
      </c>
      <c r="Q738" s="2">
        <v>46212</v>
      </c>
    </row>
    <row r="739" spans="1:17" x14ac:dyDescent="0.45">
      <c r="A739" t="s">
        <v>1053</v>
      </c>
      <c r="B739" t="s">
        <v>486</v>
      </c>
      <c r="C739" t="s">
        <v>14</v>
      </c>
      <c r="D739" t="s">
        <v>32</v>
      </c>
      <c r="E739" t="s">
        <v>42</v>
      </c>
      <c r="F739">
        <v>14.32</v>
      </c>
      <c r="G739">
        <v>13.83</v>
      </c>
      <c r="H739">
        <v>13.89</v>
      </c>
      <c r="I739" s="4" t="str">
        <f t="shared" si="44"/>
        <v>Admis</v>
      </c>
      <c r="J739" s="4" t="str">
        <f t="shared" si="45"/>
        <v>Eligible</v>
      </c>
      <c r="K739">
        <v>13.15</v>
      </c>
      <c r="L739" s="6" t="str">
        <f t="shared" si="46"/>
        <v>RAS</v>
      </c>
      <c r="M739" s="6" t="str">
        <f t="shared" si="47"/>
        <v>Hors Data</v>
      </c>
      <c r="N739" s="8" t="str" cm="1">
        <f t="array" ref="N739">_xlfn.IFS(H739&gt;=16,"Excellent",H739&gt;=14,"Très bien",H739&gt;=12,"Bien",H739&gt;=10,"Passable",TRUE,"Insuffisant")</f>
        <v>Bien</v>
      </c>
      <c r="O739">
        <v>0.96609999999999996</v>
      </c>
      <c r="P739">
        <v>100000</v>
      </c>
      <c r="Q739" s="2">
        <v>46129</v>
      </c>
    </row>
    <row r="740" spans="1:17" x14ac:dyDescent="0.45">
      <c r="A740" t="s">
        <v>1054</v>
      </c>
      <c r="B740" t="s">
        <v>738</v>
      </c>
      <c r="C740" t="s">
        <v>19</v>
      </c>
      <c r="D740" t="s">
        <v>47</v>
      </c>
      <c r="E740" t="s">
        <v>42</v>
      </c>
      <c r="F740">
        <v>17.46</v>
      </c>
      <c r="G740">
        <v>19.239999999999998</v>
      </c>
      <c r="H740">
        <v>20</v>
      </c>
      <c r="I740" s="4" t="str">
        <f t="shared" si="44"/>
        <v>Admis</v>
      </c>
      <c r="J740" s="4" t="str">
        <f t="shared" si="45"/>
        <v>Eligible</v>
      </c>
      <c r="K740">
        <v>18.8</v>
      </c>
      <c r="L740" s="6" t="str">
        <f t="shared" si="46"/>
        <v>RAS</v>
      </c>
      <c r="M740" s="6" t="str">
        <f t="shared" si="47"/>
        <v>Hors Data</v>
      </c>
      <c r="N740" s="8" t="str" cm="1">
        <f t="array" ref="N740">_xlfn.IFS(H740&gt;=16,"Excellent",H740&gt;=14,"Très bien",H740&gt;=12,"Bien",H740&gt;=10,"Passable",TRUE,"Insuffisant")</f>
        <v>Excellent</v>
      </c>
      <c r="O740">
        <v>0.95450000000000002</v>
      </c>
      <c r="P740">
        <v>100000</v>
      </c>
      <c r="Q740" s="2">
        <v>45604</v>
      </c>
    </row>
    <row r="741" spans="1:17" x14ac:dyDescent="0.45">
      <c r="A741" t="s">
        <v>1055</v>
      </c>
      <c r="B741" t="s">
        <v>231</v>
      </c>
      <c r="C741" t="s">
        <v>19</v>
      </c>
      <c r="D741" t="s">
        <v>35</v>
      </c>
      <c r="E741" t="s">
        <v>21</v>
      </c>
      <c r="F741">
        <v>10.15</v>
      </c>
      <c r="G741">
        <v>13</v>
      </c>
      <c r="H741">
        <v>8.4499999999999993</v>
      </c>
      <c r="I741" s="4" t="str">
        <f t="shared" si="44"/>
        <v>Non admis</v>
      </c>
      <c r="J741" s="4" t="str">
        <f t="shared" si="45"/>
        <v>Non eligible</v>
      </c>
      <c r="K741">
        <v>12.64</v>
      </c>
      <c r="L741" s="6" t="str">
        <f t="shared" si="46"/>
        <v>A surveiller</v>
      </c>
      <c r="M741" s="6" t="str">
        <f t="shared" si="47"/>
        <v>Hors Data</v>
      </c>
      <c r="N741" s="8" t="str" cm="1">
        <f t="array" ref="N741">_xlfn.IFS(H741&gt;=16,"Excellent",H741&gt;=14,"Très bien",H741&gt;=12,"Bien",H741&gt;=10,"Passable",TRUE,"Insuffisant")</f>
        <v>Insuffisant</v>
      </c>
      <c r="O741">
        <v>0.97</v>
      </c>
      <c r="P741">
        <v>130000</v>
      </c>
      <c r="Q741" s="2">
        <v>45702</v>
      </c>
    </row>
    <row r="742" spans="1:17" x14ac:dyDescent="0.45">
      <c r="A742" t="s">
        <v>1056</v>
      </c>
      <c r="B742" t="s">
        <v>135</v>
      </c>
      <c r="C742" t="s">
        <v>19</v>
      </c>
      <c r="D742" t="s">
        <v>15</v>
      </c>
      <c r="E742" t="s">
        <v>29</v>
      </c>
      <c r="F742">
        <v>10.66</v>
      </c>
      <c r="G742">
        <v>15.46</v>
      </c>
      <c r="H742">
        <v>18.75</v>
      </c>
      <c r="I742" s="4" t="str">
        <f t="shared" si="44"/>
        <v>Admis</v>
      </c>
      <c r="J742" s="4" t="str">
        <f t="shared" si="45"/>
        <v>Non eligible</v>
      </c>
      <c r="K742">
        <v>12.39</v>
      </c>
      <c r="L742" s="6" t="str">
        <f t="shared" si="46"/>
        <v>RAS</v>
      </c>
      <c r="M742" s="6" t="str">
        <f t="shared" si="47"/>
        <v>Hors Data</v>
      </c>
      <c r="N742" s="8" t="str" cm="1">
        <f t="array" ref="N742">_xlfn.IFS(H742&gt;=16,"Excellent",H742&gt;=14,"Très bien",H742&gt;=12,"Bien",H742&gt;=10,"Passable",TRUE,"Insuffisant")</f>
        <v>Excellent</v>
      </c>
      <c r="O742">
        <v>0.90059999999999996</v>
      </c>
      <c r="P742">
        <v>130000</v>
      </c>
      <c r="Q742" s="2">
        <v>45841</v>
      </c>
    </row>
    <row r="743" spans="1:17" x14ac:dyDescent="0.45">
      <c r="A743" t="s">
        <v>1057</v>
      </c>
      <c r="B743" t="s">
        <v>142</v>
      </c>
      <c r="C743" t="s">
        <v>19</v>
      </c>
      <c r="D743" t="s">
        <v>35</v>
      </c>
      <c r="E743" t="s">
        <v>42</v>
      </c>
      <c r="F743">
        <v>15.58</v>
      </c>
      <c r="G743">
        <v>17.309999999999999</v>
      </c>
      <c r="H743">
        <v>20</v>
      </c>
      <c r="I743" s="4" t="str">
        <f t="shared" si="44"/>
        <v>Admis</v>
      </c>
      <c r="J743" s="4" t="str">
        <f t="shared" si="45"/>
        <v>Eligible</v>
      </c>
      <c r="K743">
        <v>18.25</v>
      </c>
      <c r="L743" s="6" t="str">
        <f t="shared" si="46"/>
        <v>RAS</v>
      </c>
      <c r="M743" s="6" t="str">
        <f t="shared" si="47"/>
        <v>Hors Data</v>
      </c>
      <c r="N743" s="8" t="str" cm="1">
        <f t="array" ref="N743">_xlfn.IFS(H743&gt;=16,"Excellent",H743&gt;=14,"Très bien",H743&gt;=12,"Bien",H743&gt;=10,"Passable",TRUE,"Insuffisant")</f>
        <v>Excellent</v>
      </c>
      <c r="O743">
        <v>0.82840000000000003</v>
      </c>
      <c r="P743">
        <v>90000</v>
      </c>
      <c r="Q743" s="2">
        <v>45641</v>
      </c>
    </row>
    <row r="744" spans="1:17" x14ac:dyDescent="0.45">
      <c r="A744" t="s">
        <v>1058</v>
      </c>
      <c r="B744" t="s">
        <v>198</v>
      </c>
      <c r="C744" t="s">
        <v>19</v>
      </c>
      <c r="D744" t="s">
        <v>28</v>
      </c>
      <c r="E744" t="s">
        <v>21</v>
      </c>
      <c r="F744">
        <v>14.29</v>
      </c>
      <c r="G744">
        <v>12.86</v>
      </c>
      <c r="H744">
        <v>7.29</v>
      </c>
      <c r="I744" s="4" t="str">
        <f t="shared" si="44"/>
        <v>Non admis</v>
      </c>
      <c r="J744" s="4" t="str">
        <f t="shared" si="45"/>
        <v>Non eligible</v>
      </c>
      <c r="K744">
        <v>11.57</v>
      </c>
      <c r="L744" s="6" t="str">
        <f t="shared" si="46"/>
        <v>A surveiller</v>
      </c>
      <c r="M744" s="6" t="str">
        <f t="shared" si="47"/>
        <v>Hors Data</v>
      </c>
      <c r="N744" s="8" t="str" cm="1">
        <f t="array" ref="N744">_xlfn.IFS(H744&gt;=16,"Excellent",H744&gt;=14,"Très bien",H744&gt;=12,"Bien",H744&gt;=10,"Passable",TRUE,"Insuffisant")</f>
        <v>Insuffisant</v>
      </c>
      <c r="O744">
        <v>0.90700000000000003</v>
      </c>
      <c r="P744">
        <v>60000</v>
      </c>
      <c r="Q744" s="2">
        <v>45935</v>
      </c>
    </row>
    <row r="745" spans="1:17" x14ac:dyDescent="0.45">
      <c r="A745" t="s">
        <v>1059</v>
      </c>
      <c r="B745" t="s">
        <v>67</v>
      </c>
      <c r="C745" t="s">
        <v>14</v>
      </c>
      <c r="D745" t="s">
        <v>28</v>
      </c>
      <c r="E745" t="s">
        <v>29</v>
      </c>
      <c r="F745">
        <v>10.35</v>
      </c>
      <c r="G745">
        <v>12.9</v>
      </c>
      <c r="H745">
        <v>11.86</v>
      </c>
      <c r="I745" s="4" t="str">
        <f t="shared" si="44"/>
        <v>Admis</v>
      </c>
      <c r="J745" s="4" t="str">
        <f t="shared" si="45"/>
        <v>Non eligible</v>
      </c>
      <c r="K745">
        <v>9.86</v>
      </c>
      <c r="L745" s="6" t="str">
        <f t="shared" si="46"/>
        <v>RAS</v>
      </c>
      <c r="M745" s="6" t="str">
        <f t="shared" si="47"/>
        <v>Hors Data</v>
      </c>
      <c r="N745" s="8" t="str" cm="1">
        <f t="array" ref="N745">_xlfn.IFS(H745&gt;=16,"Excellent",H745&gt;=14,"Très bien",H745&gt;=12,"Bien",H745&gt;=10,"Passable",TRUE,"Insuffisant")</f>
        <v>Passable</v>
      </c>
      <c r="O745">
        <v>0.87639999999999996</v>
      </c>
      <c r="P745">
        <v>70000</v>
      </c>
      <c r="Q745" s="2">
        <v>45542</v>
      </c>
    </row>
    <row r="746" spans="1:17" x14ac:dyDescent="0.45">
      <c r="A746" t="s">
        <v>1060</v>
      </c>
      <c r="B746" t="s">
        <v>250</v>
      </c>
      <c r="C746" t="s">
        <v>19</v>
      </c>
      <c r="D746" t="s">
        <v>28</v>
      </c>
      <c r="E746" t="s">
        <v>29</v>
      </c>
      <c r="F746">
        <v>12.67</v>
      </c>
      <c r="G746">
        <v>9.73</v>
      </c>
      <c r="H746">
        <v>5.75</v>
      </c>
      <c r="I746" s="4" t="str">
        <f t="shared" si="44"/>
        <v>Non admis</v>
      </c>
      <c r="J746" s="4" t="str">
        <f t="shared" si="45"/>
        <v>Non eligible</v>
      </c>
      <c r="K746">
        <v>5.83</v>
      </c>
      <c r="L746" s="6" t="str">
        <f t="shared" si="46"/>
        <v>A surveiller</v>
      </c>
      <c r="M746" s="6" t="str">
        <f t="shared" si="47"/>
        <v>Hors Data</v>
      </c>
      <c r="N746" s="8" t="str" cm="1">
        <f t="array" ref="N746">_xlfn.IFS(H746&gt;=16,"Excellent",H746&gt;=14,"Très bien",H746&gt;=12,"Bien",H746&gt;=10,"Passable",TRUE,"Insuffisant")</f>
        <v>Insuffisant</v>
      </c>
      <c r="O746">
        <v>0.78259999999999996</v>
      </c>
      <c r="P746">
        <v>100000</v>
      </c>
      <c r="Q746" s="2">
        <v>45615</v>
      </c>
    </row>
    <row r="747" spans="1:17" x14ac:dyDescent="0.45">
      <c r="A747" t="s">
        <v>1061</v>
      </c>
      <c r="B747" t="s">
        <v>133</v>
      </c>
      <c r="C747" t="s">
        <v>14</v>
      </c>
      <c r="D747" t="s">
        <v>32</v>
      </c>
      <c r="E747" t="s">
        <v>21</v>
      </c>
      <c r="F747">
        <v>17.239999999999998</v>
      </c>
      <c r="G747">
        <v>15.48</v>
      </c>
      <c r="H747">
        <v>14.91</v>
      </c>
      <c r="I747" s="4" t="str">
        <f t="shared" si="44"/>
        <v>Admis</v>
      </c>
      <c r="J747" s="4" t="str">
        <f t="shared" si="45"/>
        <v>Non eligible</v>
      </c>
      <c r="K747">
        <v>17.559999999999999</v>
      </c>
      <c r="L747" s="6" t="str">
        <f t="shared" si="46"/>
        <v>RAS</v>
      </c>
      <c r="M747" s="6" t="str">
        <f t="shared" si="47"/>
        <v>Hors Data</v>
      </c>
      <c r="N747" s="8" t="str" cm="1">
        <f t="array" ref="N747">_xlfn.IFS(H747&gt;=16,"Excellent",H747&gt;=14,"Très bien",H747&gt;=12,"Bien",H747&gt;=10,"Passable",TRUE,"Insuffisant")</f>
        <v>Très bien</v>
      </c>
      <c r="O747">
        <v>0.62980000000000003</v>
      </c>
      <c r="P747">
        <v>90000</v>
      </c>
      <c r="Q747" s="2">
        <v>45569</v>
      </c>
    </row>
    <row r="748" spans="1:17" x14ac:dyDescent="0.45">
      <c r="A748" t="s">
        <v>1062</v>
      </c>
      <c r="B748" t="s">
        <v>471</v>
      </c>
      <c r="C748" t="s">
        <v>19</v>
      </c>
      <c r="D748" t="s">
        <v>28</v>
      </c>
      <c r="E748" t="s">
        <v>16</v>
      </c>
      <c r="F748">
        <v>16.05</v>
      </c>
      <c r="G748">
        <v>14.28</v>
      </c>
      <c r="H748">
        <v>12.46</v>
      </c>
      <c r="I748" s="4" t="str">
        <f t="shared" si="44"/>
        <v>Admis</v>
      </c>
      <c r="J748" s="4" t="str">
        <f t="shared" si="45"/>
        <v>Eligible</v>
      </c>
      <c r="K748">
        <v>12.79</v>
      </c>
      <c r="L748" s="6" t="str">
        <f t="shared" si="46"/>
        <v>RAS</v>
      </c>
      <c r="M748" s="6" t="str">
        <f t="shared" si="47"/>
        <v>Data</v>
      </c>
      <c r="N748" s="8" t="str" cm="1">
        <f t="array" ref="N748">_xlfn.IFS(H748&gt;=16,"Excellent",H748&gt;=14,"Très bien",H748&gt;=12,"Bien",H748&gt;=10,"Passable",TRUE,"Insuffisant")</f>
        <v>Bien</v>
      </c>
      <c r="O748">
        <v>0.95550000000000002</v>
      </c>
      <c r="P748">
        <v>80000</v>
      </c>
      <c r="Q748" s="2">
        <v>45742</v>
      </c>
    </row>
    <row r="749" spans="1:17" x14ac:dyDescent="0.45">
      <c r="A749" t="s">
        <v>1063</v>
      </c>
      <c r="B749" t="s">
        <v>601</v>
      </c>
      <c r="C749" t="s">
        <v>14</v>
      </c>
      <c r="D749" t="s">
        <v>20</v>
      </c>
      <c r="E749" t="s">
        <v>16</v>
      </c>
      <c r="F749">
        <v>12.41</v>
      </c>
      <c r="G749">
        <v>10.65</v>
      </c>
      <c r="H749">
        <v>12.65</v>
      </c>
      <c r="I749" s="4" t="str">
        <f t="shared" si="44"/>
        <v>Admis</v>
      </c>
      <c r="J749" s="4" t="str">
        <f t="shared" si="45"/>
        <v>Non eligible</v>
      </c>
      <c r="K749">
        <v>9.0399999999999991</v>
      </c>
      <c r="L749" s="6" t="str">
        <f t="shared" si="46"/>
        <v>RAS</v>
      </c>
      <c r="M749" s="6" t="str">
        <f t="shared" si="47"/>
        <v>Data</v>
      </c>
      <c r="N749" s="8" t="str" cm="1">
        <f t="array" ref="N749">_xlfn.IFS(H749&gt;=16,"Excellent",H749&gt;=14,"Très bien",H749&gt;=12,"Bien",H749&gt;=10,"Passable",TRUE,"Insuffisant")</f>
        <v>Bien</v>
      </c>
      <c r="O749">
        <v>0.79549999999999998</v>
      </c>
      <c r="P749">
        <v>80000</v>
      </c>
      <c r="Q749" s="2">
        <v>46069</v>
      </c>
    </row>
    <row r="750" spans="1:17" x14ac:dyDescent="0.45">
      <c r="A750" t="s">
        <v>1064</v>
      </c>
      <c r="B750" t="s">
        <v>488</v>
      </c>
      <c r="C750" t="s">
        <v>14</v>
      </c>
      <c r="D750" t="s">
        <v>35</v>
      </c>
      <c r="E750" t="s">
        <v>42</v>
      </c>
      <c r="F750">
        <v>17.93</v>
      </c>
      <c r="G750">
        <v>12.83</v>
      </c>
      <c r="H750">
        <v>13.81</v>
      </c>
      <c r="I750" s="4" t="str">
        <f t="shared" si="44"/>
        <v>Admis</v>
      </c>
      <c r="J750" s="4" t="str">
        <f t="shared" si="45"/>
        <v>Eligible</v>
      </c>
      <c r="K750">
        <v>15.79</v>
      </c>
      <c r="L750" s="6" t="str">
        <f t="shared" si="46"/>
        <v>RAS</v>
      </c>
      <c r="M750" s="6" t="str">
        <f t="shared" si="47"/>
        <v>Hors Data</v>
      </c>
      <c r="N750" s="8" t="str" cm="1">
        <f t="array" ref="N750">_xlfn.IFS(H750&gt;=16,"Excellent",H750&gt;=14,"Très bien",H750&gt;=12,"Bien",H750&gt;=10,"Passable",TRUE,"Insuffisant")</f>
        <v>Bien</v>
      </c>
      <c r="O750">
        <v>0.93710000000000004</v>
      </c>
      <c r="P750">
        <v>100000</v>
      </c>
      <c r="Q750" s="2">
        <v>45660</v>
      </c>
    </row>
    <row r="751" spans="1:17" x14ac:dyDescent="0.45">
      <c r="A751" t="s">
        <v>1065</v>
      </c>
      <c r="B751" t="s">
        <v>111</v>
      </c>
      <c r="C751" t="s">
        <v>14</v>
      </c>
      <c r="D751" t="s">
        <v>28</v>
      </c>
      <c r="E751" t="s">
        <v>21</v>
      </c>
      <c r="F751">
        <v>10.130000000000001</v>
      </c>
      <c r="G751">
        <v>13.42</v>
      </c>
      <c r="H751">
        <v>10.06</v>
      </c>
      <c r="I751" s="4" t="str">
        <f t="shared" si="44"/>
        <v>Admis</v>
      </c>
      <c r="J751" s="4" t="str">
        <f t="shared" si="45"/>
        <v>Non eligible</v>
      </c>
      <c r="K751">
        <v>16.48</v>
      </c>
      <c r="L751" s="6" t="str">
        <f t="shared" si="46"/>
        <v>RAS</v>
      </c>
      <c r="M751" s="6" t="str">
        <f t="shared" si="47"/>
        <v>Hors Data</v>
      </c>
      <c r="N751" s="8" t="str" cm="1">
        <f t="array" ref="N751">_xlfn.IFS(H751&gt;=16,"Excellent",H751&gt;=14,"Très bien",H751&gt;=12,"Bien",H751&gt;=10,"Passable",TRUE,"Insuffisant")</f>
        <v>Passable</v>
      </c>
      <c r="O751">
        <v>0.90339999999999998</v>
      </c>
      <c r="P751">
        <v>80000</v>
      </c>
      <c r="Q751" s="2">
        <v>46227</v>
      </c>
    </row>
    <row r="752" spans="1:17" x14ac:dyDescent="0.45">
      <c r="A752" t="s">
        <v>1066</v>
      </c>
      <c r="B752" t="s">
        <v>718</v>
      </c>
      <c r="C752" t="s">
        <v>19</v>
      </c>
      <c r="D752" t="s">
        <v>35</v>
      </c>
      <c r="E752" t="s">
        <v>16</v>
      </c>
      <c r="F752">
        <v>6.39</v>
      </c>
      <c r="G752">
        <v>11.2</v>
      </c>
      <c r="H752">
        <v>11.84</v>
      </c>
      <c r="I752" s="4" t="str">
        <f t="shared" si="44"/>
        <v>Admis</v>
      </c>
      <c r="J752" s="4" t="str">
        <f t="shared" si="45"/>
        <v>Non eligible</v>
      </c>
      <c r="K752">
        <v>12.38</v>
      </c>
      <c r="L752" s="6" t="str">
        <f t="shared" si="46"/>
        <v>A surveiller</v>
      </c>
      <c r="M752" s="6" t="str">
        <f t="shared" si="47"/>
        <v>Data</v>
      </c>
      <c r="N752" s="8" t="str" cm="1">
        <f t="array" ref="N752">_xlfn.IFS(H752&gt;=16,"Excellent",H752&gt;=14,"Très bien",H752&gt;=12,"Bien",H752&gt;=10,"Passable",TRUE,"Insuffisant")</f>
        <v>Passable</v>
      </c>
      <c r="O752">
        <v>0.76139999999999997</v>
      </c>
      <c r="P752">
        <v>60000</v>
      </c>
      <c r="Q752" s="2">
        <v>45724</v>
      </c>
    </row>
    <row r="753" spans="1:17" x14ac:dyDescent="0.45">
      <c r="A753" t="s">
        <v>1067</v>
      </c>
      <c r="B753" t="s">
        <v>1068</v>
      </c>
      <c r="C753" t="s">
        <v>14</v>
      </c>
      <c r="D753" t="s">
        <v>35</v>
      </c>
      <c r="E753" t="s">
        <v>21</v>
      </c>
      <c r="F753">
        <v>14.22</v>
      </c>
      <c r="G753">
        <v>16.45</v>
      </c>
      <c r="H753">
        <v>16.53</v>
      </c>
      <c r="I753" s="4" t="str">
        <f t="shared" si="44"/>
        <v>Admis</v>
      </c>
      <c r="J753" s="4" t="str">
        <f t="shared" si="45"/>
        <v>Eligible</v>
      </c>
      <c r="K753">
        <v>17.809999999999999</v>
      </c>
      <c r="L753" s="6" t="str">
        <f t="shared" si="46"/>
        <v>RAS</v>
      </c>
      <c r="M753" s="6" t="str">
        <f t="shared" si="47"/>
        <v>Hors Data</v>
      </c>
      <c r="N753" s="8" t="str" cm="1">
        <f t="array" ref="N753">_xlfn.IFS(H753&gt;=16,"Excellent",H753&gt;=14,"Très bien",H753&gt;=12,"Bien",H753&gt;=10,"Passable",TRUE,"Insuffisant")</f>
        <v>Excellent</v>
      </c>
      <c r="O753">
        <v>0.95430000000000004</v>
      </c>
      <c r="P753">
        <v>130000</v>
      </c>
      <c r="Q753" s="2">
        <v>45567</v>
      </c>
    </row>
    <row r="754" spans="1:17" x14ac:dyDescent="0.45">
      <c r="A754" t="s">
        <v>1069</v>
      </c>
      <c r="B754" t="s">
        <v>155</v>
      </c>
      <c r="C754" t="s">
        <v>14</v>
      </c>
      <c r="D754" t="s">
        <v>28</v>
      </c>
      <c r="E754" t="s">
        <v>21</v>
      </c>
      <c r="F754">
        <v>10.98</v>
      </c>
      <c r="G754">
        <v>10.210000000000001</v>
      </c>
      <c r="H754">
        <v>7.35</v>
      </c>
      <c r="I754" s="4" t="str">
        <f t="shared" si="44"/>
        <v>Non admis</v>
      </c>
      <c r="J754" s="4" t="str">
        <f t="shared" si="45"/>
        <v>Non eligible</v>
      </c>
      <c r="K754">
        <v>11.93</v>
      </c>
      <c r="L754" s="6" t="str">
        <f t="shared" si="46"/>
        <v>A surveiller</v>
      </c>
      <c r="M754" s="6" t="str">
        <f t="shared" si="47"/>
        <v>Hors Data</v>
      </c>
      <c r="N754" s="8" t="str" cm="1">
        <f t="array" ref="N754">_xlfn.IFS(H754&gt;=16,"Excellent",H754&gt;=14,"Très bien",H754&gt;=12,"Bien",H754&gt;=10,"Passable",TRUE,"Insuffisant")</f>
        <v>Insuffisant</v>
      </c>
      <c r="O754">
        <v>0.55000000000000004</v>
      </c>
      <c r="P754">
        <v>75000</v>
      </c>
      <c r="Q754" s="2">
        <v>45770</v>
      </c>
    </row>
    <row r="755" spans="1:17" x14ac:dyDescent="0.45">
      <c r="A755" t="s">
        <v>1070</v>
      </c>
      <c r="B755" t="s">
        <v>535</v>
      </c>
      <c r="C755" t="s">
        <v>19</v>
      </c>
      <c r="D755" t="s">
        <v>15</v>
      </c>
      <c r="E755" t="s">
        <v>21</v>
      </c>
      <c r="F755">
        <v>16.77</v>
      </c>
      <c r="G755">
        <v>16.16</v>
      </c>
      <c r="H755">
        <v>13.01</v>
      </c>
      <c r="I755" s="4" t="str">
        <f t="shared" si="44"/>
        <v>Admis</v>
      </c>
      <c r="J755" s="4" t="str">
        <f t="shared" si="45"/>
        <v>Eligible</v>
      </c>
      <c r="K755">
        <v>15</v>
      </c>
      <c r="L755" s="6" t="str">
        <f t="shared" si="46"/>
        <v>RAS</v>
      </c>
      <c r="M755" s="6" t="str">
        <f t="shared" si="47"/>
        <v>Hors Data</v>
      </c>
      <c r="N755" s="8" t="str" cm="1">
        <f t="array" ref="N755">_xlfn.IFS(H755&gt;=16,"Excellent",H755&gt;=14,"Très bien",H755&gt;=12,"Bien",H755&gt;=10,"Passable",TRUE,"Insuffisant")</f>
        <v>Bien</v>
      </c>
      <c r="O755">
        <v>0.89139999999999997</v>
      </c>
      <c r="P755">
        <v>75000</v>
      </c>
      <c r="Q755" s="2">
        <v>46059</v>
      </c>
    </row>
    <row r="756" spans="1:17" x14ac:dyDescent="0.45">
      <c r="A756" t="s">
        <v>1071</v>
      </c>
      <c r="B756" t="s">
        <v>262</v>
      </c>
      <c r="C756" t="s">
        <v>19</v>
      </c>
      <c r="D756" t="s">
        <v>47</v>
      </c>
      <c r="E756" t="s">
        <v>29</v>
      </c>
      <c r="F756">
        <v>10.19</v>
      </c>
      <c r="G756">
        <v>9.26</v>
      </c>
      <c r="H756">
        <v>14.17</v>
      </c>
      <c r="I756" s="4" t="str">
        <f t="shared" si="44"/>
        <v>Admis</v>
      </c>
      <c r="J756" s="4" t="str">
        <f t="shared" si="45"/>
        <v>Non eligible</v>
      </c>
      <c r="K756">
        <v>9.5500000000000007</v>
      </c>
      <c r="L756" s="6" t="str">
        <f t="shared" si="46"/>
        <v>RAS</v>
      </c>
      <c r="M756" s="6" t="str">
        <f t="shared" si="47"/>
        <v>Hors Data</v>
      </c>
      <c r="N756" s="8" t="str" cm="1">
        <f t="array" ref="N756">_xlfn.IFS(H756&gt;=16,"Excellent",H756&gt;=14,"Très bien",H756&gt;=12,"Bien",H756&gt;=10,"Passable",TRUE,"Insuffisant")</f>
        <v>Très bien</v>
      </c>
      <c r="O756">
        <v>0.88549999999999995</v>
      </c>
      <c r="P756">
        <v>50000</v>
      </c>
      <c r="Q756" s="2">
        <v>45610</v>
      </c>
    </row>
    <row r="757" spans="1:17" x14ac:dyDescent="0.45">
      <c r="A757" t="s">
        <v>1072</v>
      </c>
      <c r="B757" t="s">
        <v>594</v>
      </c>
      <c r="C757" t="s">
        <v>14</v>
      </c>
      <c r="D757" t="s">
        <v>32</v>
      </c>
      <c r="E757" t="s">
        <v>29</v>
      </c>
      <c r="F757">
        <v>14.55</v>
      </c>
      <c r="G757">
        <v>10.93</v>
      </c>
      <c r="H757">
        <v>10.43</v>
      </c>
      <c r="I757" s="4" t="str">
        <f t="shared" si="44"/>
        <v>Admis</v>
      </c>
      <c r="J757" s="4" t="str">
        <f t="shared" si="45"/>
        <v>Non eligible</v>
      </c>
      <c r="K757">
        <v>8.7200000000000006</v>
      </c>
      <c r="L757" s="6" t="str">
        <f t="shared" si="46"/>
        <v>RAS</v>
      </c>
      <c r="M757" s="6" t="str">
        <f t="shared" si="47"/>
        <v>Hors Data</v>
      </c>
      <c r="N757" s="8" t="str" cm="1">
        <f t="array" ref="N757">_xlfn.IFS(H757&gt;=16,"Excellent",H757&gt;=14,"Très bien",H757&gt;=12,"Bien",H757&gt;=10,"Passable",TRUE,"Insuffisant")</f>
        <v>Passable</v>
      </c>
      <c r="O757">
        <v>0.8679</v>
      </c>
      <c r="P757">
        <v>85000</v>
      </c>
      <c r="Q757" s="2">
        <v>45586</v>
      </c>
    </row>
    <row r="758" spans="1:17" x14ac:dyDescent="0.45">
      <c r="A758" t="s">
        <v>1073</v>
      </c>
      <c r="B758" t="s">
        <v>295</v>
      </c>
      <c r="C758" t="s">
        <v>19</v>
      </c>
      <c r="D758" t="s">
        <v>35</v>
      </c>
      <c r="E758" t="s">
        <v>42</v>
      </c>
      <c r="F758">
        <v>19.72</v>
      </c>
      <c r="G758">
        <v>15.66</v>
      </c>
      <c r="H758">
        <v>18.78</v>
      </c>
      <c r="I758" s="4" t="str">
        <f t="shared" si="44"/>
        <v>Admis</v>
      </c>
      <c r="J758" s="4" t="str">
        <f t="shared" si="45"/>
        <v>Non eligible</v>
      </c>
      <c r="K758">
        <v>18.329999999999998</v>
      </c>
      <c r="L758" s="6" t="str">
        <f t="shared" si="46"/>
        <v>RAS</v>
      </c>
      <c r="M758" s="6" t="str">
        <f t="shared" si="47"/>
        <v>Hors Data</v>
      </c>
      <c r="N758" s="8" t="str" cm="1">
        <f t="array" ref="N758">_xlfn.IFS(H758&gt;=16,"Excellent",H758&gt;=14,"Très bien",H758&gt;=12,"Bien",H758&gt;=10,"Passable",TRUE,"Insuffisant")</f>
        <v>Excellent</v>
      </c>
      <c r="O758">
        <v>0.72019999999999995</v>
      </c>
      <c r="P758">
        <v>130000</v>
      </c>
      <c r="Q758" s="2">
        <v>46130</v>
      </c>
    </row>
    <row r="759" spans="1:17" x14ac:dyDescent="0.45">
      <c r="A759" t="s">
        <v>1074</v>
      </c>
      <c r="B759" t="s">
        <v>1075</v>
      </c>
      <c r="C759" t="s">
        <v>14</v>
      </c>
      <c r="D759" t="s">
        <v>47</v>
      </c>
      <c r="E759" t="s">
        <v>16</v>
      </c>
      <c r="F759">
        <v>18.41</v>
      </c>
      <c r="G759">
        <v>17.899999999999999</v>
      </c>
      <c r="H759">
        <v>15.98</v>
      </c>
      <c r="I759" s="4" t="str">
        <f t="shared" si="44"/>
        <v>Admis</v>
      </c>
      <c r="J759" s="4" t="str">
        <f t="shared" si="45"/>
        <v>Eligible</v>
      </c>
      <c r="K759">
        <v>15.18</v>
      </c>
      <c r="L759" s="6" t="str">
        <f t="shared" si="46"/>
        <v>RAS</v>
      </c>
      <c r="M759" s="6" t="str">
        <f t="shared" si="47"/>
        <v>Data</v>
      </c>
      <c r="N759" s="8" t="str" cm="1">
        <f t="array" ref="N759">_xlfn.IFS(H759&gt;=16,"Excellent",H759&gt;=14,"Très bien",H759&gt;=12,"Bien",H759&gt;=10,"Passable",TRUE,"Insuffisant")</f>
        <v>Très bien</v>
      </c>
      <c r="O759">
        <v>0.83409999999999995</v>
      </c>
      <c r="P759">
        <v>60000</v>
      </c>
      <c r="Q759" s="2">
        <v>45950</v>
      </c>
    </row>
    <row r="760" spans="1:17" x14ac:dyDescent="0.45">
      <c r="A760" t="s">
        <v>1076</v>
      </c>
      <c r="B760" t="s">
        <v>933</v>
      </c>
      <c r="C760" t="s">
        <v>14</v>
      </c>
      <c r="D760" t="s">
        <v>15</v>
      </c>
      <c r="E760" t="s">
        <v>21</v>
      </c>
      <c r="F760">
        <v>11.71</v>
      </c>
      <c r="G760">
        <v>14.68</v>
      </c>
      <c r="H760">
        <v>15.18</v>
      </c>
      <c r="I760" s="4" t="str">
        <f t="shared" si="44"/>
        <v>Admis</v>
      </c>
      <c r="J760" s="4" t="str">
        <f t="shared" si="45"/>
        <v>Non eligible</v>
      </c>
      <c r="K760">
        <v>12.79</v>
      </c>
      <c r="L760" s="6" t="str">
        <f t="shared" si="46"/>
        <v>RAS</v>
      </c>
      <c r="M760" s="6" t="str">
        <f t="shared" si="47"/>
        <v>Hors Data</v>
      </c>
      <c r="N760" s="8" t="str" cm="1">
        <f t="array" ref="N760">_xlfn.IFS(H760&gt;=16,"Excellent",H760&gt;=14,"Très bien",H760&gt;=12,"Bien",H760&gt;=10,"Passable",TRUE,"Insuffisant")</f>
        <v>Très bien</v>
      </c>
      <c r="O760">
        <v>0.6169</v>
      </c>
      <c r="P760">
        <v>70000</v>
      </c>
      <c r="Q760" s="2">
        <v>45776</v>
      </c>
    </row>
    <row r="761" spans="1:17" x14ac:dyDescent="0.45">
      <c r="A761" t="s">
        <v>1077</v>
      </c>
      <c r="B761" t="s">
        <v>53</v>
      </c>
      <c r="C761" t="s">
        <v>19</v>
      </c>
      <c r="D761" t="s">
        <v>20</v>
      </c>
      <c r="E761" t="s">
        <v>42</v>
      </c>
      <c r="F761">
        <v>8.4600000000000009</v>
      </c>
      <c r="G761">
        <v>13.14</v>
      </c>
      <c r="H761">
        <v>14.97</v>
      </c>
      <c r="I761" s="4" t="str">
        <f t="shared" si="44"/>
        <v>Admis</v>
      </c>
      <c r="J761" s="4" t="str">
        <f t="shared" si="45"/>
        <v>Non eligible</v>
      </c>
      <c r="K761">
        <v>9.1199999999999992</v>
      </c>
      <c r="L761" s="6" t="str">
        <f t="shared" si="46"/>
        <v>A surveiller</v>
      </c>
      <c r="M761" s="6" t="str">
        <f t="shared" si="47"/>
        <v>Hors Data</v>
      </c>
      <c r="N761" s="8" t="str" cm="1">
        <f t="array" ref="N761">_xlfn.IFS(H761&gt;=16,"Excellent",H761&gt;=14,"Très bien",H761&gt;=12,"Bien",H761&gt;=10,"Passable",TRUE,"Insuffisant")</f>
        <v>Très bien</v>
      </c>
      <c r="O761">
        <v>0.94889999999999997</v>
      </c>
      <c r="P761">
        <v>60000</v>
      </c>
      <c r="Q761" s="2">
        <v>46065</v>
      </c>
    </row>
    <row r="762" spans="1:17" x14ac:dyDescent="0.45">
      <c r="A762" t="s">
        <v>1078</v>
      </c>
      <c r="B762" t="s">
        <v>1030</v>
      </c>
      <c r="C762" t="s">
        <v>14</v>
      </c>
      <c r="D762" t="s">
        <v>32</v>
      </c>
      <c r="E762" t="s">
        <v>29</v>
      </c>
      <c r="F762">
        <v>15.57</v>
      </c>
      <c r="G762">
        <v>11.25</v>
      </c>
      <c r="H762">
        <v>13.49</v>
      </c>
      <c r="I762" s="4" t="str">
        <f t="shared" si="44"/>
        <v>Admis</v>
      </c>
      <c r="J762" s="4" t="str">
        <f t="shared" si="45"/>
        <v>Eligible</v>
      </c>
      <c r="K762">
        <v>11.29</v>
      </c>
      <c r="L762" s="6" t="str">
        <f t="shared" si="46"/>
        <v>RAS</v>
      </c>
      <c r="M762" s="6" t="str">
        <f t="shared" si="47"/>
        <v>Hors Data</v>
      </c>
      <c r="N762" s="8" t="str" cm="1">
        <f t="array" ref="N762">_xlfn.IFS(H762&gt;=16,"Excellent",H762&gt;=14,"Très bien",H762&gt;=12,"Bien",H762&gt;=10,"Passable",TRUE,"Insuffisant")</f>
        <v>Bien</v>
      </c>
      <c r="O762">
        <v>0.99560000000000004</v>
      </c>
      <c r="P762">
        <v>60000</v>
      </c>
      <c r="Q762" s="2">
        <v>46127</v>
      </c>
    </row>
    <row r="763" spans="1:17" x14ac:dyDescent="0.45">
      <c r="A763" t="s">
        <v>1079</v>
      </c>
      <c r="B763" t="s">
        <v>544</v>
      </c>
      <c r="C763" t="s">
        <v>19</v>
      </c>
      <c r="D763" t="s">
        <v>35</v>
      </c>
      <c r="E763" t="s">
        <v>42</v>
      </c>
      <c r="F763">
        <v>13.93</v>
      </c>
      <c r="G763">
        <v>18.28</v>
      </c>
      <c r="H763">
        <v>10.56</v>
      </c>
      <c r="I763" s="4" t="str">
        <f t="shared" si="44"/>
        <v>Admis</v>
      </c>
      <c r="J763" s="4" t="str">
        <f t="shared" si="45"/>
        <v>Non eligible</v>
      </c>
      <c r="K763">
        <v>14.78</v>
      </c>
      <c r="L763" s="6" t="str">
        <f t="shared" si="46"/>
        <v>RAS</v>
      </c>
      <c r="M763" s="6" t="str">
        <f t="shared" si="47"/>
        <v>Hors Data</v>
      </c>
      <c r="N763" s="8" t="str" cm="1">
        <f t="array" ref="N763">_xlfn.IFS(H763&gt;=16,"Excellent",H763&gt;=14,"Très bien",H763&gt;=12,"Bien",H763&gt;=10,"Passable",TRUE,"Insuffisant")</f>
        <v>Passable</v>
      </c>
      <c r="O763">
        <v>0.80189999999999995</v>
      </c>
      <c r="P763">
        <v>90000</v>
      </c>
      <c r="Q763" s="2">
        <v>45787</v>
      </c>
    </row>
    <row r="764" spans="1:17" x14ac:dyDescent="0.45">
      <c r="A764" t="s">
        <v>1080</v>
      </c>
      <c r="B764" t="s">
        <v>338</v>
      </c>
      <c r="C764" t="s">
        <v>19</v>
      </c>
      <c r="D764" t="s">
        <v>28</v>
      </c>
      <c r="E764" t="s">
        <v>42</v>
      </c>
      <c r="F764">
        <v>12.23</v>
      </c>
      <c r="G764">
        <v>13.17</v>
      </c>
      <c r="H764">
        <v>10.76</v>
      </c>
      <c r="I764" s="4" t="str">
        <f t="shared" si="44"/>
        <v>Admis</v>
      </c>
      <c r="J764" s="4" t="str">
        <f t="shared" si="45"/>
        <v>Non eligible</v>
      </c>
      <c r="K764">
        <v>13.24</v>
      </c>
      <c r="L764" s="6" t="str">
        <f t="shared" si="46"/>
        <v>RAS</v>
      </c>
      <c r="M764" s="6" t="str">
        <f t="shared" si="47"/>
        <v>Hors Data</v>
      </c>
      <c r="N764" s="8" t="str" cm="1">
        <f t="array" ref="N764">_xlfn.IFS(H764&gt;=16,"Excellent",H764&gt;=14,"Très bien",H764&gt;=12,"Bien",H764&gt;=10,"Passable",TRUE,"Insuffisant")</f>
        <v>Passable</v>
      </c>
      <c r="O764">
        <v>0.83889999999999998</v>
      </c>
      <c r="P764">
        <v>75000</v>
      </c>
      <c r="Q764" s="2">
        <v>45928</v>
      </c>
    </row>
    <row r="765" spans="1:17" x14ac:dyDescent="0.45">
      <c r="A765" t="s">
        <v>1081</v>
      </c>
      <c r="B765" t="s">
        <v>117</v>
      </c>
      <c r="C765" t="s">
        <v>19</v>
      </c>
      <c r="D765" t="s">
        <v>47</v>
      </c>
      <c r="E765" t="s">
        <v>42</v>
      </c>
      <c r="F765">
        <v>11.88</v>
      </c>
      <c r="G765">
        <v>11.72</v>
      </c>
      <c r="H765">
        <v>12.57</v>
      </c>
      <c r="I765" s="4" t="str">
        <f t="shared" si="44"/>
        <v>Admis</v>
      </c>
      <c r="J765" s="4" t="str">
        <f t="shared" si="45"/>
        <v>Non eligible</v>
      </c>
      <c r="K765">
        <v>9.0399999999999991</v>
      </c>
      <c r="L765" s="6" t="str">
        <f t="shared" si="46"/>
        <v>RAS</v>
      </c>
      <c r="M765" s="6" t="str">
        <f t="shared" si="47"/>
        <v>Hors Data</v>
      </c>
      <c r="N765" s="8" t="str" cm="1">
        <f t="array" ref="N765">_xlfn.IFS(H765&gt;=16,"Excellent",H765&gt;=14,"Très bien",H765&gt;=12,"Bien",H765&gt;=10,"Passable",TRUE,"Insuffisant")</f>
        <v>Bien</v>
      </c>
      <c r="O765">
        <v>0.92620000000000002</v>
      </c>
      <c r="P765">
        <v>110000</v>
      </c>
      <c r="Q765" s="2">
        <v>45543</v>
      </c>
    </row>
    <row r="766" spans="1:17" x14ac:dyDescent="0.45">
      <c r="A766" t="s">
        <v>1082</v>
      </c>
      <c r="B766" t="s">
        <v>626</v>
      </c>
      <c r="C766" t="s">
        <v>14</v>
      </c>
      <c r="D766" t="s">
        <v>32</v>
      </c>
      <c r="E766" t="s">
        <v>21</v>
      </c>
      <c r="F766">
        <v>11.99</v>
      </c>
      <c r="G766">
        <v>11.63</v>
      </c>
      <c r="H766">
        <v>13.02</v>
      </c>
      <c r="I766" s="4" t="str">
        <f t="shared" si="44"/>
        <v>Admis</v>
      </c>
      <c r="J766" s="4" t="str">
        <f t="shared" si="45"/>
        <v>Non eligible</v>
      </c>
      <c r="K766">
        <v>11.67</v>
      </c>
      <c r="L766" s="6" t="str">
        <f t="shared" si="46"/>
        <v>RAS</v>
      </c>
      <c r="M766" s="6" t="str">
        <f t="shared" si="47"/>
        <v>Hors Data</v>
      </c>
      <c r="N766" s="8" t="str" cm="1">
        <f t="array" ref="N766">_xlfn.IFS(H766&gt;=16,"Excellent",H766&gt;=14,"Très bien",H766&gt;=12,"Bien",H766&gt;=10,"Passable",TRUE,"Insuffisant")</f>
        <v>Bien</v>
      </c>
      <c r="O766">
        <v>0.90510000000000002</v>
      </c>
      <c r="P766">
        <v>80000</v>
      </c>
      <c r="Q766" s="2">
        <v>45750</v>
      </c>
    </row>
    <row r="767" spans="1:17" x14ac:dyDescent="0.45">
      <c r="A767" t="s">
        <v>1083</v>
      </c>
      <c r="B767" t="s">
        <v>755</v>
      </c>
      <c r="C767" t="s">
        <v>19</v>
      </c>
      <c r="D767" t="s">
        <v>20</v>
      </c>
      <c r="E767" t="s">
        <v>21</v>
      </c>
      <c r="F767">
        <v>11.34</v>
      </c>
      <c r="G767">
        <v>9.49</v>
      </c>
      <c r="H767">
        <v>9.31</v>
      </c>
      <c r="I767" s="4" t="str">
        <f t="shared" si="44"/>
        <v>Non admis</v>
      </c>
      <c r="J767" s="4" t="str">
        <f t="shared" si="45"/>
        <v>Non eligible</v>
      </c>
      <c r="K767">
        <v>9.4600000000000009</v>
      </c>
      <c r="L767" s="6" t="str">
        <f t="shared" si="46"/>
        <v>A surveiller</v>
      </c>
      <c r="M767" s="6" t="str">
        <f t="shared" si="47"/>
        <v>Hors Data</v>
      </c>
      <c r="N767" s="8" t="str" cm="1">
        <f t="array" ref="N767">_xlfn.IFS(H767&gt;=16,"Excellent",H767&gt;=14,"Très bien",H767&gt;=12,"Bien",H767&gt;=10,"Passable",TRUE,"Insuffisant")</f>
        <v>Insuffisant</v>
      </c>
      <c r="O767">
        <v>0.55000000000000004</v>
      </c>
      <c r="P767">
        <v>100000</v>
      </c>
      <c r="Q767" s="2">
        <v>45952</v>
      </c>
    </row>
    <row r="768" spans="1:17" x14ac:dyDescent="0.45">
      <c r="A768" t="s">
        <v>1084</v>
      </c>
      <c r="B768" t="s">
        <v>943</v>
      </c>
      <c r="C768" t="s">
        <v>19</v>
      </c>
      <c r="D768" t="s">
        <v>35</v>
      </c>
      <c r="E768" t="s">
        <v>21</v>
      </c>
      <c r="F768">
        <v>6.64</v>
      </c>
      <c r="G768">
        <v>13.23</v>
      </c>
      <c r="H768">
        <v>11.47</v>
      </c>
      <c r="I768" s="4" t="str">
        <f t="shared" si="44"/>
        <v>Admis</v>
      </c>
      <c r="J768" s="4" t="str">
        <f t="shared" si="45"/>
        <v>Non eligible</v>
      </c>
      <c r="K768">
        <v>9.9</v>
      </c>
      <c r="L768" s="6" t="str">
        <f t="shared" si="46"/>
        <v>A surveiller</v>
      </c>
      <c r="M768" s="6" t="str">
        <f t="shared" si="47"/>
        <v>Hors Data</v>
      </c>
      <c r="N768" s="8" t="str" cm="1">
        <f t="array" ref="N768">_xlfn.IFS(H768&gt;=16,"Excellent",H768&gt;=14,"Très bien",H768&gt;=12,"Bien",H768&gt;=10,"Passable",TRUE,"Insuffisant")</f>
        <v>Passable</v>
      </c>
      <c r="O768">
        <v>0.80379999999999996</v>
      </c>
      <c r="P768">
        <v>50000</v>
      </c>
      <c r="Q768" s="2">
        <v>45673</v>
      </c>
    </row>
    <row r="769" spans="1:17" x14ac:dyDescent="0.45">
      <c r="A769" t="s">
        <v>1085</v>
      </c>
      <c r="B769" t="s">
        <v>1044</v>
      </c>
      <c r="C769" t="s">
        <v>14</v>
      </c>
      <c r="D769" t="s">
        <v>35</v>
      </c>
      <c r="E769" t="s">
        <v>42</v>
      </c>
      <c r="F769">
        <v>8.75</v>
      </c>
      <c r="G769">
        <v>15.47</v>
      </c>
      <c r="H769">
        <v>9.86</v>
      </c>
      <c r="I769" s="4" t="str">
        <f t="shared" si="44"/>
        <v>Non admis</v>
      </c>
      <c r="J769" s="4" t="str">
        <f t="shared" si="45"/>
        <v>Non eligible</v>
      </c>
      <c r="K769">
        <v>13.06</v>
      </c>
      <c r="L769" s="6" t="str">
        <f t="shared" si="46"/>
        <v>A surveiller</v>
      </c>
      <c r="M769" s="6" t="str">
        <f t="shared" si="47"/>
        <v>Hors Data</v>
      </c>
      <c r="N769" s="8" t="str" cm="1">
        <f t="array" ref="N769">_xlfn.IFS(H769&gt;=16,"Excellent",H769&gt;=14,"Très bien",H769&gt;=12,"Bien",H769&gt;=10,"Passable",TRUE,"Insuffisant")</f>
        <v>Insuffisant</v>
      </c>
      <c r="O769">
        <v>0.85829999999999995</v>
      </c>
      <c r="P769">
        <v>75000</v>
      </c>
      <c r="Q769" s="2">
        <v>46229</v>
      </c>
    </row>
    <row r="770" spans="1:17" x14ac:dyDescent="0.45">
      <c r="A770" t="s">
        <v>1086</v>
      </c>
      <c r="B770" t="s">
        <v>77</v>
      </c>
      <c r="C770" t="s">
        <v>14</v>
      </c>
      <c r="D770" t="s">
        <v>35</v>
      </c>
      <c r="E770" t="s">
        <v>42</v>
      </c>
      <c r="F770">
        <v>15.63</v>
      </c>
      <c r="G770">
        <v>17.78</v>
      </c>
      <c r="H770">
        <v>19.55</v>
      </c>
      <c r="I770" s="4" t="str">
        <f t="shared" si="44"/>
        <v>Admis</v>
      </c>
      <c r="J770" s="4" t="str">
        <f t="shared" si="45"/>
        <v>Non eligible</v>
      </c>
      <c r="K770">
        <v>16.53</v>
      </c>
      <c r="L770" s="6" t="str">
        <f t="shared" si="46"/>
        <v>RAS</v>
      </c>
      <c r="M770" s="6" t="str">
        <f t="shared" si="47"/>
        <v>Hors Data</v>
      </c>
      <c r="N770" s="8" t="str" cm="1">
        <f t="array" ref="N770">_xlfn.IFS(H770&gt;=16,"Excellent",H770&gt;=14,"Très bien",H770&gt;=12,"Bien",H770&gt;=10,"Passable",TRUE,"Insuffisant")</f>
        <v>Excellent</v>
      </c>
      <c r="O770">
        <v>0.71250000000000002</v>
      </c>
      <c r="P770">
        <v>80000</v>
      </c>
      <c r="Q770" s="2">
        <v>46215</v>
      </c>
    </row>
    <row r="771" spans="1:17" x14ac:dyDescent="0.45">
      <c r="A771" t="s">
        <v>1087</v>
      </c>
      <c r="B771" t="s">
        <v>1088</v>
      </c>
      <c r="C771" t="s">
        <v>14</v>
      </c>
      <c r="D771" t="s">
        <v>47</v>
      </c>
      <c r="E771" t="s">
        <v>29</v>
      </c>
      <c r="F771">
        <v>8.36</v>
      </c>
      <c r="G771">
        <v>8.1</v>
      </c>
      <c r="H771">
        <v>13.87</v>
      </c>
      <c r="I771" s="4" t="str">
        <f t="shared" ref="I771:I834" si="48">IF(H771&gt;=10,"Admis","Non admis")</f>
        <v>Admis</v>
      </c>
      <c r="J771" s="4" t="str">
        <f t="shared" ref="J771:J834" si="49">IF(AND(F771&gt;=12,H771&gt;=12,O771&gt;=0.8),"Eligible","Non eligible")</f>
        <v>Non eligible</v>
      </c>
      <c r="K771">
        <v>7.84</v>
      </c>
      <c r="L771" s="6" t="str">
        <f t="shared" ref="L771:L834" si="50">IF(OR(F771&lt;10,H771&lt;10),"A surveiller","RAS")</f>
        <v>A surveiller</v>
      </c>
      <c r="M771" s="6" t="str">
        <f t="shared" ref="M771:M834" si="51">IF(NOT(E771="Data"),"Hors Data","Data")</f>
        <v>Hors Data</v>
      </c>
      <c r="N771" s="8" t="str" cm="1">
        <f t="array" ref="N771">_xlfn.IFS(H771&gt;=16,"Excellent",H771&gt;=14,"Très bien",H771&gt;=12,"Bien",H771&gt;=10,"Passable",TRUE,"Insuffisant")</f>
        <v>Bien</v>
      </c>
      <c r="O771">
        <v>0.84809999999999997</v>
      </c>
      <c r="P771">
        <v>50000</v>
      </c>
      <c r="Q771" s="2">
        <v>45716</v>
      </c>
    </row>
    <row r="772" spans="1:17" x14ac:dyDescent="0.45">
      <c r="A772" t="s">
        <v>1089</v>
      </c>
      <c r="B772" t="s">
        <v>140</v>
      </c>
      <c r="C772" t="s">
        <v>19</v>
      </c>
      <c r="D772" t="s">
        <v>20</v>
      </c>
      <c r="E772" t="s">
        <v>16</v>
      </c>
      <c r="F772">
        <v>15.4</v>
      </c>
      <c r="G772">
        <v>17.350000000000001</v>
      </c>
      <c r="H772">
        <v>12.62</v>
      </c>
      <c r="I772" s="4" t="str">
        <f t="shared" si="48"/>
        <v>Admis</v>
      </c>
      <c r="J772" s="4" t="str">
        <f t="shared" si="49"/>
        <v>Non eligible</v>
      </c>
      <c r="K772">
        <v>13.41</v>
      </c>
      <c r="L772" s="6" t="str">
        <f t="shared" si="50"/>
        <v>RAS</v>
      </c>
      <c r="M772" s="6" t="str">
        <f t="shared" si="51"/>
        <v>Data</v>
      </c>
      <c r="N772" s="8" t="str" cm="1">
        <f t="array" ref="N772">_xlfn.IFS(H772&gt;=16,"Excellent",H772&gt;=14,"Très bien",H772&gt;=12,"Bien",H772&gt;=10,"Passable",TRUE,"Insuffisant")</f>
        <v>Bien</v>
      </c>
      <c r="O772">
        <v>0.74060000000000004</v>
      </c>
      <c r="P772">
        <v>80000</v>
      </c>
      <c r="Q772" s="2">
        <v>45813</v>
      </c>
    </row>
    <row r="773" spans="1:17" x14ac:dyDescent="0.45">
      <c r="A773" t="s">
        <v>1090</v>
      </c>
      <c r="B773" t="s">
        <v>295</v>
      </c>
      <c r="C773" t="s">
        <v>19</v>
      </c>
      <c r="D773" t="s">
        <v>47</v>
      </c>
      <c r="E773" t="s">
        <v>29</v>
      </c>
      <c r="F773">
        <v>11.85</v>
      </c>
      <c r="G773">
        <v>10.83</v>
      </c>
      <c r="H773">
        <v>12.37</v>
      </c>
      <c r="I773" s="4" t="str">
        <f t="shared" si="48"/>
        <v>Admis</v>
      </c>
      <c r="J773" s="4" t="str">
        <f t="shared" si="49"/>
        <v>Non eligible</v>
      </c>
      <c r="K773">
        <v>10.07</v>
      </c>
      <c r="L773" s="6" t="str">
        <f t="shared" si="50"/>
        <v>RAS</v>
      </c>
      <c r="M773" s="6" t="str">
        <f t="shared" si="51"/>
        <v>Hors Data</v>
      </c>
      <c r="N773" s="8" t="str" cm="1">
        <f t="array" ref="N773">_xlfn.IFS(H773&gt;=16,"Excellent",H773&gt;=14,"Très bien",H773&gt;=12,"Bien",H773&gt;=10,"Passable",TRUE,"Insuffisant")</f>
        <v>Bien</v>
      </c>
      <c r="O773">
        <v>0.82869999999999999</v>
      </c>
      <c r="P773">
        <v>85000</v>
      </c>
      <c r="Q773" s="2">
        <v>45668</v>
      </c>
    </row>
    <row r="774" spans="1:17" x14ac:dyDescent="0.45">
      <c r="A774" t="s">
        <v>1091</v>
      </c>
      <c r="B774" t="s">
        <v>1092</v>
      </c>
      <c r="C774" t="s">
        <v>14</v>
      </c>
      <c r="D774" t="s">
        <v>47</v>
      </c>
      <c r="E774" t="s">
        <v>21</v>
      </c>
      <c r="F774">
        <v>14.4</v>
      </c>
      <c r="G774">
        <v>13.62</v>
      </c>
      <c r="H774">
        <v>11.3</v>
      </c>
      <c r="I774" s="4" t="str">
        <f t="shared" si="48"/>
        <v>Admis</v>
      </c>
      <c r="J774" s="4" t="str">
        <f t="shared" si="49"/>
        <v>Non eligible</v>
      </c>
      <c r="K774">
        <v>11.21</v>
      </c>
      <c r="L774" s="6" t="str">
        <f t="shared" si="50"/>
        <v>RAS</v>
      </c>
      <c r="M774" s="6" t="str">
        <f t="shared" si="51"/>
        <v>Hors Data</v>
      </c>
      <c r="N774" s="8" t="str" cm="1">
        <f t="array" ref="N774">_xlfn.IFS(H774&gt;=16,"Excellent",H774&gt;=14,"Très bien",H774&gt;=12,"Bien",H774&gt;=10,"Passable",TRUE,"Insuffisant")</f>
        <v>Passable</v>
      </c>
      <c r="O774">
        <v>0.67949999999999999</v>
      </c>
      <c r="P774">
        <v>80000</v>
      </c>
      <c r="Q774" s="2">
        <v>45888</v>
      </c>
    </row>
    <row r="775" spans="1:17" x14ac:dyDescent="0.45">
      <c r="A775" t="s">
        <v>1093</v>
      </c>
      <c r="B775" t="s">
        <v>814</v>
      </c>
      <c r="C775" t="s">
        <v>19</v>
      </c>
      <c r="D775" t="s">
        <v>20</v>
      </c>
      <c r="E775" t="s">
        <v>16</v>
      </c>
      <c r="F775">
        <v>10.78</v>
      </c>
      <c r="G775">
        <v>15.97</v>
      </c>
      <c r="H775">
        <v>13.98</v>
      </c>
      <c r="I775" s="4" t="str">
        <f t="shared" si="48"/>
        <v>Admis</v>
      </c>
      <c r="J775" s="4" t="str">
        <f t="shared" si="49"/>
        <v>Non eligible</v>
      </c>
      <c r="K775">
        <v>13.94</v>
      </c>
      <c r="L775" s="6" t="str">
        <f t="shared" si="50"/>
        <v>RAS</v>
      </c>
      <c r="M775" s="6" t="str">
        <f t="shared" si="51"/>
        <v>Data</v>
      </c>
      <c r="N775" s="8" t="str" cm="1">
        <f t="array" ref="N775">_xlfn.IFS(H775&gt;=16,"Excellent",H775&gt;=14,"Très bien",H775&gt;=12,"Bien",H775&gt;=10,"Passable",TRUE,"Insuffisant")</f>
        <v>Bien</v>
      </c>
      <c r="O775">
        <v>0.5958</v>
      </c>
      <c r="P775">
        <v>85000</v>
      </c>
      <c r="Q775" s="2">
        <v>45622</v>
      </c>
    </row>
    <row r="776" spans="1:17" x14ac:dyDescent="0.45">
      <c r="A776" t="s">
        <v>1094</v>
      </c>
      <c r="B776" t="s">
        <v>207</v>
      </c>
      <c r="C776" t="s">
        <v>19</v>
      </c>
      <c r="D776" t="s">
        <v>15</v>
      </c>
      <c r="E776" t="s">
        <v>42</v>
      </c>
      <c r="F776">
        <v>17.37</v>
      </c>
      <c r="G776">
        <v>19.489999999999998</v>
      </c>
      <c r="H776">
        <v>16.739999999999998</v>
      </c>
      <c r="I776" s="4" t="str">
        <f t="shared" si="48"/>
        <v>Admis</v>
      </c>
      <c r="J776" s="4" t="str">
        <f t="shared" si="49"/>
        <v>Eligible</v>
      </c>
      <c r="K776">
        <v>19.34</v>
      </c>
      <c r="L776" s="6" t="str">
        <f t="shared" si="50"/>
        <v>RAS</v>
      </c>
      <c r="M776" s="6" t="str">
        <f t="shared" si="51"/>
        <v>Hors Data</v>
      </c>
      <c r="N776" s="8" t="str" cm="1">
        <f t="array" ref="N776">_xlfn.IFS(H776&gt;=16,"Excellent",H776&gt;=14,"Très bien",H776&gt;=12,"Bien",H776&gt;=10,"Passable",TRUE,"Insuffisant")</f>
        <v>Excellent</v>
      </c>
      <c r="O776">
        <v>0.87680000000000002</v>
      </c>
      <c r="P776">
        <v>110000</v>
      </c>
      <c r="Q776" s="2">
        <v>45809</v>
      </c>
    </row>
    <row r="777" spans="1:17" x14ac:dyDescent="0.45">
      <c r="A777" t="s">
        <v>1095</v>
      </c>
      <c r="B777" t="s">
        <v>847</v>
      </c>
      <c r="C777" t="s">
        <v>19</v>
      </c>
      <c r="D777" t="s">
        <v>28</v>
      </c>
      <c r="E777" t="s">
        <v>16</v>
      </c>
      <c r="F777">
        <v>15.71</v>
      </c>
      <c r="G777">
        <v>20</v>
      </c>
      <c r="H777">
        <v>12.73</v>
      </c>
      <c r="I777" s="4" t="str">
        <f t="shared" si="48"/>
        <v>Admis</v>
      </c>
      <c r="J777" s="4" t="str">
        <f t="shared" si="49"/>
        <v>Eligible</v>
      </c>
      <c r="K777">
        <v>16.91</v>
      </c>
      <c r="L777" s="6" t="str">
        <f t="shared" si="50"/>
        <v>RAS</v>
      </c>
      <c r="M777" s="6" t="str">
        <f t="shared" si="51"/>
        <v>Data</v>
      </c>
      <c r="N777" s="8" t="str" cm="1">
        <f t="array" ref="N777">_xlfn.IFS(H777&gt;=16,"Excellent",H777&gt;=14,"Très bien",H777&gt;=12,"Bien",H777&gt;=10,"Passable",TRUE,"Insuffisant")</f>
        <v>Bien</v>
      </c>
      <c r="O777">
        <v>0.84550000000000003</v>
      </c>
      <c r="P777">
        <v>110000</v>
      </c>
      <c r="Q777" s="2">
        <v>45924</v>
      </c>
    </row>
    <row r="778" spans="1:17" x14ac:dyDescent="0.45">
      <c r="A778" t="s">
        <v>1096</v>
      </c>
      <c r="B778" t="s">
        <v>282</v>
      </c>
      <c r="C778" t="s">
        <v>14</v>
      </c>
      <c r="D778" t="s">
        <v>35</v>
      </c>
      <c r="E778" t="s">
        <v>29</v>
      </c>
      <c r="F778">
        <v>11.4</v>
      </c>
      <c r="G778">
        <v>10.77</v>
      </c>
      <c r="H778">
        <v>9.39</v>
      </c>
      <c r="I778" s="4" t="str">
        <f t="shared" si="48"/>
        <v>Non admis</v>
      </c>
      <c r="J778" s="4" t="str">
        <f t="shared" si="49"/>
        <v>Non eligible</v>
      </c>
      <c r="K778">
        <v>8.39</v>
      </c>
      <c r="L778" s="6" t="str">
        <f t="shared" si="50"/>
        <v>A surveiller</v>
      </c>
      <c r="M778" s="6" t="str">
        <f t="shared" si="51"/>
        <v>Hors Data</v>
      </c>
      <c r="N778" s="8" t="str" cm="1">
        <f t="array" ref="N778">_xlfn.IFS(H778&gt;=16,"Excellent",H778&gt;=14,"Très bien",H778&gt;=12,"Bien",H778&gt;=10,"Passable",TRUE,"Insuffisant")</f>
        <v>Insuffisant</v>
      </c>
      <c r="O778">
        <v>0.81420000000000003</v>
      </c>
      <c r="P778">
        <v>50000</v>
      </c>
      <c r="Q778" s="2">
        <v>45964</v>
      </c>
    </row>
    <row r="779" spans="1:17" x14ac:dyDescent="0.45">
      <c r="A779" t="s">
        <v>1097</v>
      </c>
      <c r="B779" t="s">
        <v>334</v>
      </c>
      <c r="C779" t="s">
        <v>14</v>
      </c>
      <c r="D779" t="s">
        <v>47</v>
      </c>
      <c r="E779" t="s">
        <v>16</v>
      </c>
      <c r="F779">
        <v>15.17</v>
      </c>
      <c r="G779">
        <v>14.91</v>
      </c>
      <c r="H779">
        <v>14.55</v>
      </c>
      <c r="I779" s="4" t="str">
        <f t="shared" si="48"/>
        <v>Admis</v>
      </c>
      <c r="J779" s="4" t="str">
        <f t="shared" si="49"/>
        <v>Non eligible</v>
      </c>
      <c r="K779">
        <v>17.87</v>
      </c>
      <c r="L779" s="6" t="str">
        <f t="shared" si="50"/>
        <v>RAS</v>
      </c>
      <c r="M779" s="6" t="str">
        <f t="shared" si="51"/>
        <v>Data</v>
      </c>
      <c r="N779" s="8" t="str" cm="1">
        <f t="array" ref="N779">_xlfn.IFS(H779&gt;=16,"Excellent",H779&gt;=14,"Très bien",H779&gt;=12,"Bien",H779&gt;=10,"Passable",TRUE,"Insuffisant")</f>
        <v>Très bien</v>
      </c>
      <c r="O779">
        <v>0.76249999999999996</v>
      </c>
      <c r="P779">
        <v>100000</v>
      </c>
      <c r="Q779" s="2">
        <v>45953</v>
      </c>
    </row>
    <row r="780" spans="1:17" x14ac:dyDescent="0.45">
      <c r="A780" t="s">
        <v>1098</v>
      </c>
      <c r="B780" t="s">
        <v>125</v>
      </c>
      <c r="C780" t="s">
        <v>14</v>
      </c>
      <c r="D780" t="s">
        <v>28</v>
      </c>
      <c r="E780" t="s">
        <v>42</v>
      </c>
      <c r="F780">
        <v>13.71</v>
      </c>
      <c r="G780">
        <v>10.39</v>
      </c>
      <c r="H780">
        <v>10.82</v>
      </c>
      <c r="I780" s="4" t="str">
        <f t="shared" si="48"/>
        <v>Admis</v>
      </c>
      <c r="J780" s="4" t="str">
        <f t="shared" si="49"/>
        <v>Non eligible</v>
      </c>
      <c r="K780">
        <v>10.15</v>
      </c>
      <c r="L780" s="6" t="str">
        <f t="shared" si="50"/>
        <v>RAS</v>
      </c>
      <c r="M780" s="6" t="str">
        <f t="shared" si="51"/>
        <v>Hors Data</v>
      </c>
      <c r="N780" s="8" t="str" cm="1">
        <f t="array" ref="N780">_xlfn.IFS(H780&gt;=16,"Excellent",H780&gt;=14,"Très bien",H780&gt;=12,"Bien",H780&gt;=10,"Passable",TRUE,"Insuffisant")</f>
        <v>Passable</v>
      </c>
      <c r="O780">
        <v>0.82840000000000003</v>
      </c>
      <c r="P780">
        <v>120000</v>
      </c>
      <c r="Q780" s="2">
        <v>45690</v>
      </c>
    </row>
    <row r="781" spans="1:17" x14ac:dyDescent="0.45">
      <c r="A781" t="s">
        <v>1099</v>
      </c>
      <c r="B781" t="s">
        <v>1100</v>
      </c>
      <c r="C781" t="s">
        <v>19</v>
      </c>
      <c r="D781" t="s">
        <v>35</v>
      </c>
      <c r="E781" t="s">
        <v>21</v>
      </c>
      <c r="F781">
        <v>11.9</v>
      </c>
      <c r="G781">
        <v>8.2200000000000006</v>
      </c>
      <c r="H781">
        <v>14.17</v>
      </c>
      <c r="I781" s="4" t="str">
        <f t="shared" si="48"/>
        <v>Admis</v>
      </c>
      <c r="J781" s="4" t="str">
        <f t="shared" si="49"/>
        <v>Non eligible</v>
      </c>
      <c r="K781">
        <v>13.22</v>
      </c>
      <c r="L781" s="6" t="str">
        <f t="shared" si="50"/>
        <v>RAS</v>
      </c>
      <c r="M781" s="6" t="str">
        <f t="shared" si="51"/>
        <v>Hors Data</v>
      </c>
      <c r="N781" s="8" t="str" cm="1">
        <f t="array" ref="N781">_xlfn.IFS(H781&gt;=16,"Excellent",H781&gt;=14,"Très bien",H781&gt;=12,"Bien",H781&gt;=10,"Passable",TRUE,"Insuffisant")</f>
        <v>Très bien</v>
      </c>
      <c r="O781">
        <v>0.80620000000000003</v>
      </c>
      <c r="P781">
        <v>120000</v>
      </c>
      <c r="Q781" s="2">
        <v>46090</v>
      </c>
    </row>
    <row r="782" spans="1:17" x14ac:dyDescent="0.45">
      <c r="A782" t="s">
        <v>1101</v>
      </c>
      <c r="B782" t="s">
        <v>92</v>
      </c>
      <c r="C782" t="s">
        <v>19</v>
      </c>
      <c r="D782" t="s">
        <v>15</v>
      </c>
      <c r="E782" t="s">
        <v>21</v>
      </c>
      <c r="F782">
        <v>16.12</v>
      </c>
      <c r="G782">
        <v>14.17</v>
      </c>
      <c r="H782">
        <v>12.85</v>
      </c>
      <c r="I782" s="4" t="str">
        <f t="shared" si="48"/>
        <v>Admis</v>
      </c>
      <c r="J782" s="4" t="str">
        <f t="shared" si="49"/>
        <v>Eligible</v>
      </c>
      <c r="K782">
        <v>13.15</v>
      </c>
      <c r="L782" s="6" t="str">
        <f t="shared" si="50"/>
        <v>RAS</v>
      </c>
      <c r="M782" s="6" t="str">
        <f t="shared" si="51"/>
        <v>Hors Data</v>
      </c>
      <c r="N782" s="8" t="str" cm="1">
        <f t="array" ref="N782">_xlfn.IFS(H782&gt;=16,"Excellent",H782&gt;=14,"Très bien",H782&gt;=12,"Bien",H782&gt;=10,"Passable",TRUE,"Insuffisant")</f>
        <v>Bien</v>
      </c>
      <c r="O782">
        <v>0.90510000000000002</v>
      </c>
      <c r="P782">
        <v>75000</v>
      </c>
      <c r="Q782" s="2">
        <v>46020</v>
      </c>
    </row>
    <row r="783" spans="1:17" x14ac:dyDescent="0.45">
      <c r="A783" t="s">
        <v>1102</v>
      </c>
      <c r="B783" t="s">
        <v>661</v>
      </c>
      <c r="C783" t="s">
        <v>19</v>
      </c>
      <c r="D783" t="s">
        <v>28</v>
      </c>
      <c r="E783" t="s">
        <v>42</v>
      </c>
      <c r="F783">
        <v>11.05</v>
      </c>
      <c r="G783">
        <v>15.04</v>
      </c>
      <c r="H783">
        <v>16.14</v>
      </c>
      <c r="I783" s="4" t="str">
        <f t="shared" si="48"/>
        <v>Admis</v>
      </c>
      <c r="J783" s="4" t="str">
        <f t="shared" si="49"/>
        <v>Non eligible</v>
      </c>
      <c r="K783">
        <v>11.53</v>
      </c>
      <c r="L783" s="6" t="str">
        <f t="shared" si="50"/>
        <v>RAS</v>
      </c>
      <c r="M783" s="6" t="str">
        <f t="shared" si="51"/>
        <v>Hors Data</v>
      </c>
      <c r="N783" s="8" t="str" cm="1">
        <f t="array" ref="N783">_xlfn.IFS(H783&gt;=16,"Excellent",H783&gt;=14,"Très bien",H783&gt;=12,"Bien",H783&gt;=10,"Passable",TRUE,"Insuffisant")</f>
        <v>Excellent</v>
      </c>
      <c r="O783">
        <v>0.69879999999999998</v>
      </c>
      <c r="P783">
        <v>110000</v>
      </c>
      <c r="Q783" s="2">
        <v>46063</v>
      </c>
    </row>
    <row r="784" spans="1:17" x14ac:dyDescent="0.45">
      <c r="A784" t="s">
        <v>1103</v>
      </c>
      <c r="B784" t="s">
        <v>77</v>
      </c>
      <c r="C784" t="s">
        <v>14</v>
      </c>
      <c r="D784" t="s">
        <v>15</v>
      </c>
      <c r="E784" t="s">
        <v>16</v>
      </c>
      <c r="F784">
        <v>12.01</v>
      </c>
      <c r="G784">
        <v>17.72</v>
      </c>
      <c r="H784">
        <v>13.28</v>
      </c>
      <c r="I784" s="4" t="str">
        <f t="shared" si="48"/>
        <v>Admis</v>
      </c>
      <c r="J784" s="4" t="str">
        <f t="shared" si="49"/>
        <v>Eligible</v>
      </c>
      <c r="K784">
        <v>10.57</v>
      </c>
      <c r="L784" s="6" t="str">
        <f t="shared" si="50"/>
        <v>RAS</v>
      </c>
      <c r="M784" s="6" t="str">
        <f t="shared" si="51"/>
        <v>Data</v>
      </c>
      <c r="N784" s="8" t="str" cm="1">
        <f t="array" ref="N784">_xlfn.IFS(H784&gt;=16,"Excellent",H784&gt;=14,"Très bien",H784&gt;=12,"Bien",H784&gt;=10,"Passable",TRUE,"Insuffisant")</f>
        <v>Bien</v>
      </c>
      <c r="O784">
        <v>0.82950000000000002</v>
      </c>
      <c r="P784">
        <v>110000</v>
      </c>
      <c r="Q784" s="2">
        <v>45863</v>
      </c>
    </row>
    <row r="785" spans="1:17" x14ac:dyDescent="0.45">
      <c r="A785" t="s">
        <v>1104</v>
      </c>
      <c r="B785" t="s">
        <v>731</v>
      </c>
      <c r="C785" t="s">
        <v>14</v>
      </c>
      <c r="D785" t="s">
        <v>35</v>
      </c>
      <c r="E785" t="s">
        <v>42</v>
      </c>
      <c r="F785">
        <v>11.92</v>
      </c>
      <c r="G785">
        <v>11.78</v>
      </c>
      <c r="H785">
        <v>15.09</v>
      </c>
      <c r="I785" s="4" t="str">
        <f t="shared" si="48"/>
        <v>Admis</v>
      </c>
      <c r="J785" s="4" t="str">
        <f t="shared" si="49"/>
        <v>Non eligible</v>
      </c>
      <c r="K785">
        <v>10.57</v>
      </c>
      <c r="L785" s="6" t="str">
        <f t="shared" si="50"/>
        <v>RAS</v>
      </c>
      <c r="M785" s="6" t="str">
        <f t="shared" si="51"/>
        <v>Hors Data</v>
      </c>
      <c r="N785" s="8" t="str" cm="1">
        <f t="array" ref="N785">_xlfn.IFS(H785&gt;=16,"Excellent",H785&gt;=14,"Très bien",H785&gt;=12,"Bien",H785&gt;=10,"Passable",TRUE,"Insuffisant")</f>
        <v>Très bien</v>
      </c>
      <c r="O785">
        <v>0.80069999999999997</v>
      </c>
      <c r="P785">
        <v>80000</v>
      </c>
      <c r="Q785" s="2">
        <v>46160</v>
      </c>
    </row>
    <row r="786" spans="1:17" x14ac:dyDescent="0.45">
      <c r="A786" t="s">
        <v>1105</v>
      </c>
      <c r="B786" t="s">
        <v>291</v>
      </c>
      <c r="C786" t="s">
        <v>14</v>
      </c>
      <c r="D786" t="s">
        <v>47</v>
      </c>
      <c r="E786" t="s">
        <v>16</v>
      </c>
      <c r="F786">
        <v>13.36</v>
      </c>
      <c r="G786">
        <v>9.98</v>
      </c>
      <c r="H786">
        <v>9.73</v>
      </c>
      <c r="I786" s="4" t="str">
        <f t="shared" si="48"/>
        <v>Non admis</v>
      </c>
      <c r="J786" s="4" t="str">
        <f t="shared" si="49"/>
        <v>Non eligible</v>
      </c>
      <c r="K786">
        <v>11.87</v>
      </c>
      <c r="L786" s="6" t="str">
        <f t="shared" si="50"/>
        <v>A surveiller</v>
      </c>
      <c r="M786" s="6" t="str">
        <f t="shared" si="51"/>
        <v>Data</v>
      </c>
      <c r="N786" s="8" t="str" cm="1">
        <f t="array" ref="N786">_xlfn.IFS(H786&gt;=16,"Excellent",H786&gt;=14,"Très bien",H786&gt;=12,"Bien",H786&gt;=10,"Passable",TRUE,"Insuffisant")</f>
        <v>Insuffisant</v>
      </c>
      <c r="O786">
        <v>0.93810000000000004</v>
      </c>
      <c r="P786">
        <v>120000</v>
      </c>
      <c r="Q786" s="2">
        <v>45808</v>
      </c>
    </row>
    <row r="787" spans="1:17" x14ac:dyDescent="0.45">
      <c r="A787" t="s">
        <v>1106</v>
      </c>
      <c r="B787" t="s">
        <v>503</v>
      </c>
      <c r="C787" t="s">
        <v>19</v>
      </c>
      <c r="D787" t="s">
        <v>35</v>
      </c>
      <c r="E787" t="s">
        <v>29</v>
      </c>
      <c r="F787">
        <v>12.93</v>
      </c>
      <c r="G787">
        <v>12.56</v>
      </c>
      <c r="H787">
        <v>11.86</v>
      </c>
      <c r="I787" s="4" t="str">
        <f t="shared" si="48"/>
        <v>Admis</v>
      </c>
      <c r="J787" s="4" t="str">
        <f t="shared" si="49"/>
        <v>Non eligible</v>
      </c>
      <c r="K787">
        <v>10.66</v>
      </c>
      <c r="L787" s="6" t="str">
        <f t="shared" si="50"/>
        <v>RAS</v>
      </c>
      <c r="M787" s="6" t="str">
        <f t="shared" si="51"/>
        <v>Hors Data</v>
      </c>
      <c r="N787" s="8" t="str" cm="1">
        <f t="array" ref="N787">_xlfn.IFS(H787&gt;=16,"Excellent",H787&gt;=14,"Très bien",H787&gt;=12,"Bien",H787&gt;=10,"Passable",TRUE,"Insuffisant")</f>
        <v>Passable</v>
      </c>
      <c r="O787">
        <v>0.91359999999999997</v>
      </c>
      <c r="P787">
        <v>90000</v>
      </c>
      <c r="Q787" s="2">
        <v>46100</v>
      </c>
    </row>
    <row r="788" spans="1:17" x14ac:dyDescent="0.45">
      <c r="A788" t="s">
        <v>1107</v>
      </c>
      <c r="B788" t="s">
        <v>924</v>
      </c>
      <c r="C788" t="s">
        <v>14</v>
      </c>
      <c r="D788" t="s">
        <v>20</v>
      </c>
      <c r="E788" t="s">
        <v>42</v>
      </c>
      <c r="F788">
        <v>12.85</v>
      </c>
      <c r="G788">
        <v>14.54</v>
      </c>
      <c r="H788">
        <v>11.04</v>
      </c>
      <c r="I788" s="4" t="str">
        <f t="shared" si="48"/>
        <v>Admis</v>
      </c>
      <c r="J788" s="4" t="str">
        <f t="shared" si="49"/>
        <v>Non eligible</v>
      </c>
      <c r="K788">
        <v>15.68</v>
      </c>
      <c r="L788" s="6" t="str">
        <f t="shared" si="50"/>
        <v>RAS</v>
      </c>
      <c r="M788" s="6" t="str">
        <f t="shared" si="51"/>
        <v>Hors Data</v>
      </c>
      <c r="N788" s="8" t="str" cm="1">
        <f t="array" ref="N788">_xlfn.IFS(H788&gt;=16,"Excellent",H788&gt;=14,"Très bien",H788&gt;=12,"Bien",H788&gt;=10,"Passable",TRUE,"Insuffisant")</f>
        <v>Passable</v>
      </c>
      <c r="O788">
        <v>0.88260000000000005</v>
      </c>
      <c r="P788">
        <v>110000</v>
      </c>
      <c r="Q788" s="2">
        <v>45678</v>
      </c>
    </row>
    <row r="789" spans="1:17" x14ac:dyDescent="0.45">
      <c r="A789" t="s">
        <v>1108</v>
      </c>
      <c r="B789" t="s">
        <v>338</v>
      </c>
      <c r="C789" t="s">
        <v>19</v>
      </c>
      <c r="D789" t="s">
        <v>20</v>
      </c>
      <c r="E789" t="s">
        <v>42</v>
      </c>
      <c r="F789">
        <v>15.81</v>
      </c>
      <c r="G789">
        <v>17.93</v>
      </c>
      <c r="H789">
        <v>16.02</v>
      </c>
      <c r="I789" s="4" t="str">
        <f t="shared" si="48"/>
        <v>Admis</v>
      </c>
      <c r="J789" s="4" t="str">
        <f t="shared" si="49"/>
        <v>Eligible</v>
      </c>
      <c r="K789">
        <v>13.92</v>
      </c>
      <c r="L789" s="6" t="str">
        <f t="shared" si="50"/>
        <v>RAS</v>
      </c>
      <c r="M789" s="6" t="str">
        <f t="shared" si="51"/>
        <v>Hors Data</v>
      </c>
      <c r="N789" s="8" t="str" cm="1">
        <f t="array" ref="N789">_xlfn.IFS(H789&gt;=16,"Excellent",H789&gt;=14,"Très bien",H789&gt;=12,"Bien",H789&gt;=10,"Passable",TRUE,"Insuffisant")</f>
        <v>Excellent</v>
      </c>
      <c r="O789">
        <v>0.81179999999999997</v>
      </c>
      <c r="P789">
        <v>110000</v>
      </c>
      <c r="Q789" s="2">
        <v>45709</v>
      </c>
    </row>
    <row r="790" spans="1:17" x14ac:dyDescent="0.45">
      <c r="A790" t="s">
        <v>1109</v>
      </c>
      <c r="B790" t="s">
        <v>198</v>
      </c>
      <c r="C790" t="s">
        <v>19</v>
      </c>
      <c r="D790" t="s">
        <v>15</v>
      </c>
      <c r="E790" t="s">
        <v>16</v>
      </c>
      <c r="F790">
        <v>13.49</v>
      </c>
      <c r="G790">
        <v>16.03</v>
      </c>
      <c r="H790">
        <v>17.22</v>
      </c>
      <c r="I790" s="4" t="str">
        <f t="shared" si="48"/>
        <v>Admis</v>
      </c>
      <c r="J790" s="4" t="str">
        <f t="shared" si="49"/>
        <v>Non eligible</v>
      </c>
      <c r="K790">
        <v>13.92</v>
      </c>
      <c r="L790" s="6" t="str">
        <f t="shared" si="50"/>
        <v>RAS</v>
      </c>
      <c r="M790" s="6" t="str">
        <f t="shared" si="51"/>
        <v>Data</v>
      </c>
      <c r="N790" s="8" t="str" cm="1">
        <f t="array" ref="N790">_xlfn.IFS(H790&gt;=16,"Excellent",H790&gt;=14,"Très bien",H790&gt;=12,"Bien",H790&gt;=10,"Passable",TRUE,"Insuffisant")</f>
        <v>Excellent</v>
      </c>
      <c r="O790">
        <v>0.55000000000000004</v>
      </c>
      <c r="P790">
        <v>110000</v>
      </c>
      <c r="Q790" s="2">
        <v>45904</v>
      </c>
    </row>
    <row r="791" spans="1:17" x14ac:dyDescent="0.45">
      <c r="A791" t="s">
        <v>1110</v>
      </c>
      <c r="B791" t="s">
        <v>88</v>
      </c>
      <c r="C791" t="s">
        <v>14</v>
      </c>
      <c r="D791" t="s">
        <v>28</v>
      </c>
      <c r="E791" t="s">
        <v>21</v>
      </c>
      <c r="F791">
        <v>19.5</v>
      </c>
      <c r="G791">
        <v>16.93</v>
      </c>
      <c r="H791">
        <v>20</v>
      </c>
      <c r="I791" s="4" t="str">
        <f t="shared" si="48"/>
        <v>Admis</v>
      </c>
      <c r="J791" s="4" t="str">
        <f t="shared" si="49"/>
        <v>Eligible</v>
      </c>
      <c r="K791">
        <v>16.2</v>
      </c>
      <c r="L791" s="6" t="str">
        <f t="shared" si="50"/>
        <v>RAS</v>
      </c>
      <c r="M791" s="6" t="str">
        <f t="shared" si="51"/>
        <v>Hors Data</v>
      </c>
      <c r="N791" s="8" t="str" cm="1">
        <f t="array" ref="N791">_xlfn.IFS(H791&gt;=16,"Excellent",H791&gt;=14,"Très bien",H791&gt;=12,"Bien",H791&gt;=10,"Passable",TRUE,"Insuffisant")</f>
        <v>Excellent</v>
      </c>
      <c r="O791">
        <v>0.85599999999999998</v>
      </c>
      <c r="P791">
        <v>130000</v>
      </c>
      <c r="Q791" s="2">
        <v>45925</v>
      </c>
    </row>
    <row r="792" spans="1:17" x14ac:dyDescent="0.45">
      <c r="A792" t="s">
        <v>1111</v>
      </c>
      <c r="B792" t="s">
        <v>289</v>
      </c>
      <c r="C792" t="s">
        <v>14</v>
      </c>
      <c r="D792" t="s">
        <v>15</v>
      </c>
      <c r="E792" t="s">
        <v>29</v>
      </c>
      <c r="F792">
        <v>20</v>
      </c>
      <c r="G792">
        <v>20</v>
      </c>
      <c r="H792">
        <v>20</v>
      </c>
      <c r="I792" s="4" t="str">
        <f t="shared" si="48"/>
        <v>Admis</v>
      </c>
      <c r="J792" s="4" t="str">
        <f t="shared" si="49"/>
        <v>Eligible</v>
      </c>
      <c r="K792">
        <v>18.510000000000002</v>
      </c>
      <c r="L792" s="6" t="str">
        <f t="shared" si="50"/>
        <v>RAS</v>
      </c>
      <c r="M792" s="6" t="str">
        <f t="shared" si="51"/>
        <v>Hors Data</v>
      </c>
      <c r="N792" s="8" t="str" cm="1">
        <f t="array" ref="N792">_xlfn.IFS(H792&gt;=16,"Excellent",H792&gt;=14,"Très bien",H792&gt;=12,"Bien",H792&gt;=10,"Passable",TRUE,"Insuffisant")</f>
        <v>Excellent</v>
      </c>
      <c r="O792">
        <v>0.96150000000000002</v>
      </c>
      <c r="P792">
        <v>120000</v>
      </c>
      <c r="Q792" s="2">
        <v>46058</v>
      </c>
    </row>
    <row r="793" spans="1:17" x14ac:dyDescent="0.45">
      <c r="A793" t="s">
        <v>1112</v>
      </c>
      <c r="B793" t="s">
        <v>1113</v>
      </c>
      <c r="C793" t="s">
        <v>14</v>
      </c>
      <c r="D793" t="s">
        <v>32</v>
      </c>
      <c r="E793" t="s">
        <v>21</v>
      </c>
      <c r="F793">
        <v>9.3800000000000008</v>
      </c>
      <c r="G793">
        <v>4.12</v>
      </c>
      <c r="H793">
        <v>9.92</v>
      </c>
      <c r="I793" s="4" t="str">
        <f t="shared" si="48"/>
        <v>Non admis</v>
      </c>
      <c r="J793" s="4" t="str">
        <f t="shared" si="49"/>
        <v>Non eligible</v>
      </c>
      <c r="K793">
        <v>12.78</v>
      </c>
      <c r="L793" s="6" t="str">
        <f t="shared" si="50"/>
        <v>A surveiller</v>
      </c>
      <c r="M793" s="6" t="str">
        <f t="shared" si="51"/>
        <v>Hors Data</v>
      </c>
      <c r="N793" s="8" t="str" cm="1">
        <f t="array" ref="N793">_xlfn.IFS(H793&gt;=16,"Excellent",H793&gt;=14,"Très bien",H793&gt;=12,"Bien",H793&gt;=10,"Passable",TRUE,"Insuffisant")</f>
        <v>Insuffisant</v>
      </c>
      <c r="O793">
        <v>0.71220000000000006</v>
      </c>
      <c r="P793">
        <v>80000</v>
      </c>
      <c r="Q793" s="2">
        <v>45744</v>
      </c>
    </row>
    <row r="794" spans="1:17" x14ac:dyDescent="0.45">
      <c r="A794" t="s">
        <v>1114</v>
      </c>
      <c r="B794" t="s">
        <v>140</v>
      </c>
      <c r="C794" t="s">
        <v>19</v>
      </c>
      <c r="D794" t="s">
        <v>35</v>
      </c>
      <c r="E794" t="s">
        <v>42</v>
      </c>
      <c r="F794">
        <v>16.14</v>
      </c>
      <c r="G794">
        <v>14.94</v>
      </c>
      <c r="H794">
        <v>14.3</v>
      </c>
      <c r="I794" s="4" t="str">
        <f t="shared" si="48"/>
        <v>Admis</v>
      </c>
      <c r="J794" s="4" t="str">
        <f t="shared" si="49"/>
        <v>Eligible</v>
      </c>
      <c r="K794">
        <v>16.850000000000001</v>
      </c>
      <c r="L794" s="6" t="str">
        <f t="shared" si="50"/>
        <v>RAS</v>
      </c>
      <c r="M794" s="6" t="str">
        <f t="shared" si="51"/>
        <v>Hors Data</v>
      </c>
      <c r="N794" s="8" t="str" cm="1">
        <f t="array" ref="N794">_xlfn.IFS(H794&gt;=16,"Excellent",H794&gt;=14,"Très bien",H794&gt;=12,"Bien",H794&gt;=10,"Passable",TRUE,"Insuffisant")</f>
        <v>Très bien</v>
      </c>
      <c r="O794">
        <v>0.9073</v>
      </c>
      <c r="P794">
        <v>90000</v>
      </c>
      <c r="Q794" s="2">
        <v>46146</v>
      </c>
    </row>
    <row r="795" spans="1:17" x14ac:dyDescent="0.45">
      <c r="A795" t="s">
        <v>1115</v>
      </c>
      <c r="B795" t="s">
        <v>49</v>
      </c>
      <c r="C795" t="s">
        <v>19</v>
      </c>
      <c r="D795" t="s">
        <v>28</v>
      </c>
      <c r="E795" t="s">
        <v>42</v>
      </c>
      <c r="F795">
        <v>8.26</v>
      </c>
      <c r="G795">
        <v>16.260000000000002</v>
      </c>
      <c r="H795">
        <v>8.69</v>
      </c>
      <c r="I795" s="4" t="str">
        <f t="shared" si="48"/>
        <v>Non admis</v>
      </c>
      <c r="J795" s="4" t="str">
        <f t="shared" si="49"/>
        <v>Non eligible</v>
      </c>
      <c r="K795">
        <v>8.56</v>
      </c>
      <c r="L795" s="6" t="str">
        <f t="shared" si="50"/>
        <v>A surveiller</v>
      </c>
      <c r="M795" s="6" t="str">
        <f t="shared" si="51"/>
        <v>Hors Data</v>
      </c>
      <c r="N795" s="8" t="str" cm="1">
        <f t="array" ref="N795">_xlfn.IFS(H795&gt;=16,"Excellent",H795&gt;=14,"Très bien",H795&gt;=12,"Bien",H795&gt;=10,"Passable",TRUE,"Insuffisant")</f>
        <v>Insuffisant</v>
      </c>
      <c r="O795">
        <v>0.74050000000000005</v>
      </c>
      <c r="P795">
        <v>100000</v>
      </c>
      <c r="Q795" s="2">
        <v>45766</v>
      </c>
    </row>
    <row r="796" spans="1:17" x14ac:dyDescent="0.45">
      <c r="A796" t="s">
        <v>1116</v>
      </c>
      <c r="B796" t="s">
        <v>438</v>
      </c>
      <c r="C796" t="s">
        <v>14</v>
      </c>
      <c r="D796" t="s">
        <v>20</v>
      </c>
      <c r="E796" t="s">
        <v>42</v>
      </c>
      <c r="F796">
        <v>10.039999999999999</v>
      </c>
      <c r="G796">
        <v>8.4</v>
      </c>
      <c r="H796">
        <v>9.34</v>
      </c>
      <c r="I796" s="4" t="str">
        <f t="shared" si="48"/>
        <v>Non admis</v>
      </c>
      <c r="J796" s="4" t="str">
        <f t="shared" si="49"/>
        <v>Non eligible</v>
      </c>
      <c r="K796">
        <v>9.6300000000000008</v>
      </c>
      <c r="L796" s="6" t="str">
        <f t="shared" si="50"/>
        <v>A surveiller</v>
      </c>
      <c r="M796" s="6" t="str">
        <f t="shared" si="51"/>
        <v>Hors Data</v>
      </c>
      <c r="N796" s="8" t="str" cm="1">
        <f t="array" ref="N796">_xlfn.IFS(H796&gt;=16,"Excellent",H796&gt;=14,"Très bien",H796&gt;=12,"Bien",H796&gt;=10,"Passable",TRUE,"Insuffisant")</f>
        <v>Insuffisant</v>
      </c>
      <c r="O796">
        <v>0.67169999999999996</v>
      </c>
      <c r="P796">
        <v>120000</v>
      </c>
      <c r="Q796" s="2">
        <v>45909</v>
      </c>
    </row>
    <row r="797" spans="1:17" x14ac:dyDescent="0.45">
      <c r="A797" t="s">
        <v>1117</v>
      </c>
      <c r="B797" t="s">
        <v>425</v>
      </c>
      <c r="C797" t="s">
        <v>14</v>
      </c>
      <c r="D797" t="s">
        <v>47</v>
      </c>
      <c r="E797" t="s">
        <v>21</v>
      </c>
      <c r="F797">
        <v>15.34</v>
      </c>
      <c r="G797">
        <v>11.6</v>
      </c>
      <c r="H797">
        <v>9.41</v>
      </c>
      <c r="I797" s="4" t="str">
        <f t="shared" si="48"/>
        <v>Non admis</v>
      </c>
      <c r="J797" s="4" t="str">
        <f t="shared" si="49"/>
        <v>Non eligible</v>
      </c>
      <c r="K797">
        <v>9.09</v>
      </c>
      <c r="L797" s="6" t="str">
        <f t="shared" si="50"/>
        <v>A surveiller</v>
      </c>
      <c r="M797" s="6" t="str">
        <f t="shared" si="51"/>
        <v>Hors Data</v>
      </c>
      <c r="N797" s="8" t="str" cm="1">
        <f t="array" ref="N797">_xlfn.IFS(H797&gt;=16,"Excellent",H797&gt;=14,"Très bien",H797&gt;=12,"Bien",H797&gt;=10,"Passable",TRUE,"Insuffisant")</f>
        <v>Insuffisant</v>
      </c>
      <c r="O797">
        <v>0.92059999999999997</v>
      </c>
      <c r="P797">
        <v>80000</v>
      </c>
      <c r="Q797" s="2">
        <v>46188</v>
      </c>
    </row>
    <row r="798" spans="1:17" x14ac:dyDescent="0.45">
      <c r="A798" t="s">
        <v>1118</v>
      </c>
      <c r="B798" t="s">
        <v>398</v>
      </c>
      <c r="C798" t="s">
        <v>19</v>
      </c>
      <c r="D798" t="s">
        <v>20</v>
      </c>
      <c r="E798" t="s">
        <v>16</v>
      </c>
      <c r="F798">
        <v>12.45</v>
      </c>
      <c r="G798">
        <v>10.92</v>
      </c>
      <c r="H798">
        <v>9.7799999999999994</v>
      </c>
      <c r="I798" s="4" t="str">
        <f t="shared" si="48"/>
        <v>Non admis</v>
      </c>
      <c r="J798" s="4" t="str">
        <f t="shared" si="49"/>
        <v>Non eligible</v>
      </c>
      <c r="K798">
        <v>13.31</v>
      </c>
      <c r="L798" s="6" t="str">
        <f t="shared" si="50"/>
        <v>A surveiller</v>
      </c>
      <c r="M798" s="6" t="str">
        <f t="shared" si="51"/>
        <v>Data</v>
      </c>
      <c r="N798" s="8" t="str" cm="1">
        <f t="array" ref="N798">_xlfn.IFS(H798&gt;=16,"Excellent",H798&gt;=14,"Très bien",H798&gt;=12,"Bien",H798&gt;=10,"Passable",TRUE,"Insuffisant")</f>
        <v>Insuffisant</v>
      </c>
      <c r="O798">
        <v>0.96179999999999999</v>
      </c>
      <c r="P798">
        <v>75000</v>
      </c>
      <c r="Q798" s="2">
        <v>45913</v>
      </c>
    </row>
    <row r="799" spans="1:17" x14ac:dyDescent="0.45">
      <c r="A799" t="s">
        <v>1119</v>
      </c>
      <c r="B799" t="s">
        <v>27</v>
      </c>
      <c r="C799" t="s">
        <v>14</v>
      </c>
      <c r="D799" t="s">
        <v>28</v>
      </c>
      <c r="E799" t="s">
        <v>42</v>
      </c>
      <c r="F799">
        <v>9.77</v>
      </c>
      <c r="G799">
        <v>9.94</v>
      </c>
      <c r="H799">
        <v>11.3</v>
      </c>
      <c r="I799" s="4" t="str">
        <f t="shared" si="48"/>
        <v>Admis</v>
      </c>
      <c r="J799" s="4" t="str">
        <f t="shared" si="49"/>
        <v>Non eligible</v>
      </c>
      <c r="K799">
        <v>12.92</v>
      </c>
      <c r="L799" s="6" t="str">
        <f t="shared" si="50"/>
        <v>A surveiller</v>
      </c>
      <c r="M799" s="6" t="str">
        <f t="shared" si="51"/>
        <v>Hors Data</v>
      </c>
      <c r="N799" s="8" t="str" cm="1">
        <f t="array" ref="N799">_xlfn.IFS(H799&gt;=16,"Excellent",H799&gt;=14,"Très bien",H799&gt;=12,"Bien",H799&gt;=10,"Passable",TRUE,"Insuffisant")</f>
        <v>Passable</v>
      </c>
      <c r="O799">
        <v>0.80249999999999999</v>
      </c>
      <c r="P799">
        <v>110000</v>
      </c>
      <c r="Q799" s="2">
        <v>46013</v>
      </c>
    </row>
    <row r="800" spans="1:17" x14ac:dyDescent="0.45">
      <c r="A800" t="s">
        <v>1120</v>
      </c>
      <c r="B800" t="s">
        <v>859</v>
      </c>
      <c r="C800" t="s">
        <v>14</v>
      </c>
      <c r="D800" t="s">
        <v>35</v>
      </c>
      <c r="E800" t="s">
        <v>16</v>
      </c>
      <c r="F800">
        <v>13.73</v>
      </c>
      <c r="G800">
        <v>15.78</v>
      </c>
      <c r="H800">
        <v>9.09</v>
      </c>
      <c r="I800" s="4" t="str">
        <f t="shared" si="48"/>
        <v>Non admis</v>
      </c>
      <c r="J800" s="4" t="str">
        <f t="shared" si="49"/>
        <v>Non eligible</v>
      </c>
      <c r="K800">
        <v>12.76</v>
      </c>
      <c r="L800" s="6" t="str">
        <f t="shared" si="50"/>
        <v>A surveiller</v>
      </c>
      <c r="M800" s="6" t="str">
        <f t="shared" si="51"/>
        <v>Data</v>
      </c>
      <c r="N800" s="8" t="str" cm="1">
        <f t="array" ref="N800">_xlfn.IFS(H800&gt;=16,"Excellent",H800&gt;=14,"Très bien",H800&gt;=12,"Bien",H800&gt;=10,"Passable",TRUE,"Insuffisant")</f>
        <v>Insuffisant</v>
      </c>
      <c r="O800">
        <v>0.74519999999999997</v>
      </c>
      <c r="P800">
        <v>130000</v>
      </c>
      <c r="Q800" s="2">
        <v>46172</v>
      </c>
    </row>
    <row r="801" spans="1:17" x14ac:dyDescent="0.45">
      <c r="A801" t="s">
        <v>1121</v>
      </c>
      <c r="B801" t="s">
        <v>41</v>
      </c>
      <c r="C801" t="s">
        <v>14</v>
      </c>
      <c r="D801" t="s">
        <v>47</v>
      </c>
      <c r="E801" t="s">
        <v>29</v>
      </c>
      <c r="F801">
        <v>10.43</v>
      </c>
      <c r="G801">
        <v>11.53</v>
      </c>
      <c r="H801">
        <v>10.19</v>
      </c>
      <c r="I801" s="4" t="str">
        <f t="shared" si="48"/>
        <v>Admis</v>
      </c>
      <c r="J801" s="4" t="str">
        <f t="shared" si="49"/>
        <v>Non eligible</v>
      </c>
      <c r="K801">
        <v>6.92</v>
      </c>
      <c r="L801" s="6" t="str">
        <f t="shared" si="50"/>
        <v>RAS</v>
      </c>
      <c r="M801" s="6" t="str">
        <f t="shared" si="51"/>
        <v>Hors Data</v>
      </c>
      <c r="N801" s="8" t="str" cm="1">
        <f t="array" ref="N801">_xlfn.IFS(H801&gt;=16,"Excellent",H801&gt;=14,"Très bien",H801&gt;=12,"Bien",H801&gt;=10,"Passable",TRUE,"Insuffisant")</f>
        <v>Passable</v>
      </c>
      <c r="O801">
        <v>0.90649999999999997</v>
      </c>
      <c r="P801">
        <v>130000</v>
      </c>
      <c r="Q801" s="2">
        <v>46218</v>
      </c>
    </row>
    <row r="802" spans="1:17" x14ac:dyDescent="0.45">
      <c r="A802" t="s">
        <v>1122</v>
      </c>
      <c r="B802" t="s">
        <v>558</v>
      </c>
      <c r="C802" t="s">
        <v>14</v>
      </c>
      <c r="D802" t="s">
        <v>28</v>
      </c>
      <c r="E802" t="s">
        <v>21</v>
      </c>
      <c r="F802">
        <v>9.82</v>
      </c>
      <c r="G802">
        <v>16.59</v>
      </c>
      <c r="H802">
        <v>19.39</v>
      </c>
      <c r="I802" s="4" t="str">
        <f t="shared" si="48"/>
        <v>Admis</v>
      </c>
      <c r="J802" s="4" t="str">
        <f t="shared" si="49"/>
        <v>Non eligible</v>
      </c>
      <c r="K802">
        <v>12.88</v>
      </c>
      <c r="L802" s="6" t="str">
        <f t="shared" si="50"/>
        <v>A surveiller</v>
      </c>
      <c r="M802" s="6" t="str">
        <f t="shared" si="51"/>
        <v>Hors Data</v>
      </c>
      <c r="N802" s="8" t="str" cm="1">
        <f t="array" ref="N802">_xlfn.IFS(H802&gt;=16,"Excellent",H802&gt;=14,"Très bien",H802&gt;=12,"Bien",H802&gt;=10,"Passable",TRUE,"Insuffisant")</f>
        <v>Excellent</v>
      </c>
      <c r="O802">
        <v>0.9163</v>
      </c>
      <c r="P802">
        <v>60000</v>
      </c>
      <c r="Q802" s="2">
        <v>45885</v>
      </c>
    </row>
    <row r="803" spans="1:17" x14ac:dyDescent="0.45">
      <c r="A803" t="s">
        <v>1123</v>
      </c>
      <c r="B803" t="s">
        <v>245</v>
      </c>
      <c r="C803" t="s">
        <v>14</v>
      </c>
      <c r="D803" t="s">
        <v>28</v>
      </c>
      <c r="E803" t="s">
        <v>21</v>
      </c>
      <c r="F803">
        <v>8.94</v>
      </c>
      <c r="G803">
        <v>13.08</v>
      </c>
      <c r="H803">
        <v>13.6</v>
      </c>
      <c r="I803" s="4" t="str">
        <f t="shared" si="48"/>
        <v>Admis</v>
      </c>
      <c r="J803" s="4" t="str">
        <f t="shared" si="49"/>
        <v>Non eligible</v>
      </c>
      <c r="K803">
        <v>11.21</v>
      </c>
      <c r="L803" s="6" t="str">
        <f t="shared" si="50"/>
        <v>A surveiller</v>
      </c>
      <c r="M803" s="6" t="str">
        <f t="shared" si="51"/>
        <v>Hors Data</v>
      </c>
      <c r="N803" s="8" t="str" cm="1">
        <f t="array" ref="N803">_xlfn.IFS(H803&gt;=16,"Excellent",H803&gt;=14,"Très bien",H803&gt;=12,"Bien",H803&gt;=10,"Passable",TRUE,"Insuffisant")</f>
        <v>Bien</v>
      </c>
      <c r="O803">
        <v>0.92020000000000002</v>
      </c>
      <c r="P803">
        <v>130000</v>
      </c>
      <c r="Q803" s="2">
        <v>45827</v>
      </c>
    </row>
    <row r="804" spans="1:17" x14ac:dyDescent="0.45">
      <c r="A804" t="s">
        <v>1124</v>
      </c>
      <c r="B804" t="s">
        <v>1125</v>
      </c>
      <c r="C804" t="s">
        <v>19</v>
      </c>
      <c r="D804" t="s">
        <v>28</v>
      </c>
      <c r="E804" t="s">
        <v>29</v>
      </c>
      <c r="F804">
        <v>20</v>
      </c>
      <c r="G804">
        <v>20</v>
      </c>
      <c r="H804">
        <v>20</v>
      </c>
      <c r="I804" s="4" t="str">
        <f t="shared" si="48"/>
        <v>Admis</v>
      </c>
      <c r="J804" s="4" t="str">
        <f t="shared" si="49"/>
        <v>Eligible</v>
      </c>
      <c r="K804">
        <v>20</v>
      </c>
      <c r="L804" s="6" t="str">
        <f t="shared" si="50"/>
        <v>RAS</v>
      </c>
      <c r="M804" s="6" t="str">
        <f t="shared" si="51"/>
        <v>Hors Data</v>
      </c>
      <c r="N804" s="8" t="str" cm="1">
        <f t="array" ref="N804">_xlfn.IFS(H804&gt;=16,"Excellent",H804&gt;=14,"Très bien",H804&gt;=12,"Bien",H804&gt;=10,"Passable",TRUE,"Insuffisant")</f>
        <v>Excellent</v>
      </c>
      <c r="O804">
        <v>0.87329999999999997</v>
      </c>
      <c r="P804">
        <v>110000</v>
      </c>
      <c r="Q804" s="2">
        <v>45673</v>
      </c>
    </row>
    <row r="805" spans="1:17" x14ac:dyDescent="0.45">
      <c r="A805" t="s">
        <v>1126</v>
      </c>
      <c r="B805" t="s">
        <v>797</v>
      </c>
      <c r="C805" t="s">
        <v>19</v>
      </c>
      <c r="D805" t="s">
        <v>47</v>
      </c>
      <c r="E805" t="s">
        <v>29</v>
      </c>
      <c r="F805">
        <v>11.45</v>
      </c>
      <c r="G805">
        <v>19.63</v>
      </c>
      <c r="H805">
        <v>9.36</v>
      </c>
      <c r="I805" s="4" t="str">
        <f t="shared" si="48"/>
        <v>Non admis</v>
      </c>
      <c r="J805" s="4" t="str">
        <f t="shared" si="49"/>
        <v>Non eligible</v>
      </c>
      <c r="K805">
        <v>7.59</v>
      </c>
      <c r="L805" s="6" t="str">
        <f t="shared" si="50"/>
        <v>A surveiller</v>
      </c>
      <c r="M805" s="6" t="str">
        <f t="shared" si="51"/>
        <v>Hors Data</v>
      </c>
      <c r="N805" s="8" t="str" cm="1">
        <f t="array" ref="N805">_xlfn.IFS(H805&gt;=16,"Excellent",H805&gt;=14,"Très bien",H805&gt;=12,"Bien",H805&gt;=10,"Passable",TRUE,"Insuffisant")</f>
        <v>Insuffisant</v>
      </c>
      <c r="O805">
        <v>0.94850000000000001</v>
      </c>
      <c r="P805">
        <v>60000</v>
      </c>
      <c r="Q805" s="2">
        <v>45912</v>
      </c>
    </row>
    <row r="806" spans="1:17" x14ac:dyDescent="0.45">
      <c r="A806" t="s">
        <v>1127</v>
      </c>
      <c r="B806" t="s">
        <v>237</v>
      </c>
      <c r="C806" t="s">
        <v>19</v>
      </c>
      <c r="D806" t="s">
        <v>15</v>
      </c>
      <c r="E806" t="s">
        <v>42</v>
      </c>
      <c r="F806">
        <v>14.25</v>
      </c>
      <c r="G806">
        <v>14.43</v>
      </c>
      <c r="H806">
        <v>14.91</v>
      </c>
      <c r="I806" s="4" t="str">
        <f t="shared" si="48"/>
        <v>Admis</v>
      </c>
      <c r="J806" s="4" t="str">
        <f t="shared" si="49"/>
        <v>Eligible</v>
      </c>
      <c r="K806">
        <v>12.89</v>
      </c>
      <c r="L806" s="6" t="str">
        <f t="shared" si="50"/>
        <v>RAS</v>
      </c>
      <c r="M806" s="6" t="str">
        <f t="shared" si="51"/>
        <v>Hors Data</v>
      </c>
      <c r="N806" s="8" t="str" cm="1">
        <f t="array" ref="N806">_xlfn.IFS(H806&gt;=16,"Excellent",H806&gt;=14,"Très bien",H806&gt;=12,"Bien",H806&gt;=10,"Passable",TRUE,"Insuffisant")</f>
        <v>Très bien</v>
      </c>
      <c r="O806">
        <v>0.89100000000000001</v>
      </c>
      <c r="P806">
        <v>50000</v>
      </c>
      <c r="Q806" s="2">
        <v>46178</v>
      </c>
    </row>
    <row r="807" spans="1:17" x14ac:dyDescent="0.45">
      <c r="A807" t="s">
        <v>1128</v>
      </c>
      <c r="B807" t="s">
        <v>427</v>
      </c>
      <c r="C807" t="s">
        <v>19</v>
      </c>
      <c r="D807" t="s">
        <v>32</v>
      </c>
      <c r="E807" t="s">
        <v>29</v>
      </c>
      <c r="F807">
        <v>12.36</v>
      </c>
      <c r="G807">
        <v>10.7</v>
      </c>
      <c r="H807">
        <v>4.97</v>
      </c>
      <c r="I807" s="4" t="str">
        <f t="shared" si="48"/>
        <v>Non admis</v>
      </c>
      <c r="J807" s="4" t="str">
        <f t="shared" si="49"/>
        <v>Non eligible</v>
      </c>
      <c r="K807">
        <v>13.33</v>
      </c>
      <c r="L807" s="6" t="str">
        <f t="shared" si="50"/>
        <v>A surveiller</v>
      </c>
      <c r="M807" s="6" t="str">
        <f t="shared" si="51"/>
        <v>Hors Data</v>
      </c>
      <c r="N807" s="8" t="str" cm="1">
        <f t="array" ref="N807">_xlfn.IFS(H807&gt;=16,"Excellent",H807&gt;=14,"Très bien",H807&gt;=12,"Bien",H807&gt;=10,"Passable",TRUE,"Insuffisant")</f>
        <v>Insuffisant</v>
      </c>
      <c r="O807">
        <v>0.84650000000000003</v>
      </c>
      <c r="P807">
        <v>70000</v>
      </c>
      <c r="Q807" s="2">
        <v>45876</v>
      </c>
    </row>
    <row r="808" spans="1:17" x14ac:dyDescent="0.45">
      <c r="A808" t="s">
        <v>1129</v>
      </c>
      <c r="B808" t="s">
        <v>669</v>
      </c>
      <c r="C808" t="s">
        <v>19</v>
      </c>
      <c r="D808" t="s">
        <v>28</v>
      </c>
      <c r="E808" t="s">
        <v>16</v>
      </c>
      <c r="F808">
        <v>17.57</v>
      </c>
      <c r="G808">
        <v>14.91</v>
      </c>
      <c r="H808">
        <v>20</v>
      </c>
      <c r="I808" s="4" t="str">
        <f t="shared" si="48"/>
        <v>Admis</v>
      </c>
      <c r="J808" s="4" t="str">
        <f t="shared" si="49"/>
        <v>Eligible</v>
      </c>
      <c r="K808">
        <v>17.7</v>
      </c>
      <c r="L808" s="6" t="str">
        <f t="shared" si="50"/>
        <v>RAS</v>
      </c>
      <c r="M808" s="6" t="str">
        <f t="shared" si="51"/>
        <v>Data</v>
      </c>
      <c r="N808" s="8" t="str" cm="1">
        <f t="array" ref="N808">_xlfn.IFS(H808&gt;=16,"Excellent",H808&gt;=14,"Très bien",H808&gt;=12,"Bien",H808&gt;=10,"Passable",TRUE,"Insuffisant")</f>
        <v>Excellent</v>
      </c>
      <c r="O808">
        <v>0.94710000000000005</v>
      </c>
      <c r="P808">
        <v>130000</v>
      </c>
      <c r="Q808" s="2">
        <v>45779</v>
      </c>
    </row>
    <row r="809" spans="1:17" x14ac:dyDescent="0.45">
      <c r="A809" t="s">
        <v>1130</v>
      </c>
      <c r="B809" t="s">
        <v>59</v>
      </c>
      <c r="C809" t="s">
        <v>14</v>
      </c>
      <c r="D809" t="s">
        <v>32</v>
      </c>
      <c r="E809" t="s">
        <v>29</v>
      </c>
      <c r="F809">
        <v>14.31</v>
      </c>
      <c r="G809">
        <v>15.84</v>
      </c>
      <c r="H809">
        <v>16.36</v>
      </c>
      <c r="I809" s="4" t="str">
        <f t="shared" si="48"/>
        <v>Admis</v>
      </c>
      <c r="J809" s="4" t="str">
        <f t="shared" si="49"/>
        <v>Eligible</v>
      </c>
      <c r="K809">
        <v>19.809999999999999</v>
      </c>
      <c r="L809" s="6" t="str">
        <f t="shared" si="50"/>
        <v>RAS</v>
      </c>
      <c r="M809" s="6" t="str">
        <f t="shared" si="51"/>
        <v>Hors Data</v>
      </c>
      <c r="N809" s="8" t="str" cm="1">
        <f t="array" ref="N809">_xlfn.IFS(H809&gt;=16,"Excellent",H809&gt;=14,"Très bien",H809&gt;=12,"Bien",H809&gt;=10,"Passable",TRUE,"Insuffisant")</f>
        <v>Excellent</v>
      </c>
      <c r="O809">
        <v>0.92200000000000004</v>
      </c>
      <c r="P809">
        <v>110000</v>
      </c>
      <c r="Q809" s="2">
        <v>45611</v>
      </c>
    </row>
    <row r="810" spans="1:17" x14ac:dyDescent="0.45">
      <c r="A810" t="s">
        <v>1131</v>
      </c>
      <c r="B810" t="s">
        <v>468</v>
      </c>
      <c r="C810" t="s">
        <v>14</v>
      </c>
      <c r="D810" t="s">
        <v>15</v>
      </c>
      <c r="E810" t="s">
        <v>29</v>
      </c>
      <c r="F810">
        <v>15.05</v>
      </c>
      <c r="G810">
        <v>17.260000000000002</v>
      </c>
      <c r="H810">
        <v>18.559999999999999</v>
      </c>
      <c r="I810" s="4" t="str">
        <f t="shared" si="48"/>
        <v>Admis</v>
      </c>
      <c r="J810" s="4" t="str">
        <f t="shared" si="49"/>
        <v>Eligible</v>
      </c>
      <c r="K810">
        <v>15.66</v>
      </c>
      <c r="L810" s="6" t="str">
        <f t="shared" si="50"/>
        <v>RAS</v>
      </c>
      <c r="M810" s="6" t="str">
        <f t="shared" si="51"/>
        <v>Hors Data</v>
      </c>
      <c r="N810" s="8" t="str" cm="1">
        <f t="array" ref="N810">_xlfn.IFS(H810&gt;=16,"Excellent",H810&gt;=14,"Très bien",H810&gt;=12,"Bien",H810&gt;=10,"Passable",TRUE,"Insuffisant")</f>
        <v>Excellent</v>
      </c>
      <c r="O810">
        <v>0.95009999999999994</v>
      </c>
      <c r="P810">
        <v>90000</v>
      </c>
      <c r="Q810" s="2">
        <v>45808</v>
      </c>
    </row>
    <row r="811" spans="1:17" x14ac:dyDescent="0.45">
      <c r="A811" t="s">
        <v>1132</v>
      </c>
      <c r="B811" t="s">
        <v>31</v>
      </c>
      <c r="C811" t="s">
        <v>19</v>
      </c>
      <c r="D811" t="s">
        <v>28</v>
      </c>
      <c r="E811" t="s">
        <v>42</v>
      </c>
      <c r="F811">
        <v>9.01</v>
      </c>
      <c r="G811">
        <v>7.19</v>
      </c>
      <c r="H811">
        <v>6.13</v>
      </c>
      <c r="I811" s="4" t="str">
        <f t="shared" si="48"/>
        <v>Non admis</v>
      </c>
      <c r="J811" s="4" t="str">
        <f t="shared" si="49"/>
        <v>Non eligible</v>
      </c>
      <c r="K811">
        <v>7.24</v>
      </c>
      <c r="L811" s="6" t="str">
        <f t="shared" si="50"/>
        <v>A surveiller</v>
      </c>
      <c r="M811" s="6" t="str">
        <f t="shared" si="51"/>
        <v>Hors Data</v>
      </c>
      <c r="N811" s="8" t="str" cm="1">
        <f t="array" ref="N811">_xlfn.IFS(H811&gt;=16,"Excellent",H811&gt;=14,"Très bien",H811&gt;=12,"Bien",H811&gt;=10,"Passable",TRUE,"Insuffisant")</f>
        <v>Insuffisant</v>
      </c>
      <c r="O811">
        <v>0.74590000000000001</v>
      </c>
      <c r="P811">
        <v>90000</v>
      </c>
      <c r="Q811" s="2">
        <v>45701</v>
      </c>
    </row>
    <row r="812" spans="1:17" x14ac:dyDescent="0.45">
      <c r="A812" t="s">
        <v>1133</v>
      </c>
      <c r="B812" t="s">
        <v>382</v>
      </c>
      <c r="C812" t="s">
        <v>14</v>
      </c>
      <c r="D812" t="s">
        <v>47</v>
      </c>
      <c r="E812" t="s">
        <v>21</v>
      </c>
      <c r="F812">
        <v>13.75</v>
      </c>
      <c r="G812">
        <v>9.74</v>
      </c>
      <c r="H812">
        <v>16.309999999999999</v>
      </c>
      <c r="I812" s="4" t="str">
        <f t="shared" si="48"/>
        <v>Admis</v>
      </c>
      <c r="J812" s="4" t="str">
        <f t="shared" si="49"/>
        <v>Eligible</v>
      </c>
      <c r="K812">
        <v>13.35</v>
      </c>
      <c r="L812" s="6" t="str">
        <f t="shared" si="50"/>
        <v>RAS</v>
      </c>
      <c r="M812" s="6" t="str">
        <f t="shared" si="51"/>
        <v>Hors Data</v>
      </c>
      <c r="N812" s="8" t="str" cm="1">
        <f t="array" ref="N812">_xlfn.IFS(H812&gt;=16,"Excellent",H812&gt;=14,"Très bien",H812&gt;=12,"Bien",H812&gt;=10,"Passable",TRUE,"Insuffisant")</f>
        <v>Excellent</v>
      </c>
      <c r="O812">
        <v>0.85399999999999998</v>
      </c>
      <c r="P812">
        <v>80000</v>
      </c>
      <c r="Q812" s="2">
        <v>46219</v>
      </c>
    </row>
    <row r="813" spans="1:17" x14ac:dyDescent="0.45">
      <c r="A813" t="s">
        <v>1134</v>
      </c>
      <c r="B813" t="s">
        <v>266</v>
      </c>
      <c r="C813" t="s">
        <v>19</v>
      </c>
      <c r="D813" t="s">
        <v>20</v>
      </c>
      <c r="E813" t="s">
        <v>42</v>
      </c>
      <c r="F813">
        <v>9.7200000000000006</v>
      </c>
      <c r="G813">
        <v>10.83</v>
      </c>
      <c r="H813">
        <v>10.34</v>
      </c>
      <c r="I813" s="4" t="str">
        <f t="shared" si="48"/>
        <v>Admis</v>
      </c>
      <c r="J813" s="4" t="str">
        <f t="shared" si="49"/>
        <v>Non eligible</v>
      </c>
      <c r="K813">
        <v>9.98</v>
      </c>
      <c r="L813" s="6" t="str">
        <f t="shared" si="50"/>
        <v>A surveiller</v>
      </c>
      <c r="M813" s="6" t="str">
        <f t="shared" si="51"/>
        <v>Hors Data</v>
      </c>
      <c r="N813" s="8" t="str" cm="1">
        <f t="array" ref="N813">_xlfn.IFS(H813&gt;=16,"Excellent",H813&gt;=14,"Très bien",H813&gt;=12,"Bien",H813&gt;=10,"Passable",TRUE,"Insuffisant")</f>
        <v>Passable</v>
      </c>
      <c r="O813">
        <v>0.7349</v>
      </c>
      <c r="P813">
        <v>120000</v>
      </c>
      <c r="Q813" s="2">
        <v>45905</v>
      </c>
    </row>
    <row r="814" spans="1:17" x14ac:dyDescent="0.45">
      <c r="A814" t="s">
        <v>1135</v>
      </c>
      <c r="B814" t="s">
        <v>1100</v>
      </c>
      <c r="C814" t="s">
        <v>19</v>
      </c>
      <c r="D814" t="s">
        <v>20</v>
      </c>
      <c r="E814" t="s">
        <v>29</v>
      </c>
      <c r="F814">
        <v>20</v>
      </c>
      <c r="G814">
        <v>20</v>
      </c>
      <c r="H814">
        <v>17.07</v>
      </c>
      <c r="I814" s="4" t="str">
        <f t="shared" si="48"/>
        <v>Admis</v>
      </c>
      <c r="J814" s="4" t="str">
        <f t="shared" si="49"/>
        <v>Eligible</v>
      </c>
      <c r="K814">
        <v>15.4</v>
      </c>
      <c r="L814" s="6" t="str">
        <f t="shared" si="50"/>
        <v>RAS</v>
      </c>
      <c r="M814" s="6" t="str">
        <f t="shared" si="51"/>
        <v>Hors Data</v>
      </c>
      <c r="N814" s="8" t="str" cm="1">
        <f t="array" ref="N814">_xlfn.IFS(H814&gt;=16,"Excellent",H814&gt;=14,"Très bien",H814&gt;=12,"Bien",H814&gt;=10,"Passable",TRUE,"Insuffisant")</f>
        <v>Excellent</v>
      </c>
      <c r="O814">
        <v>0.91690000000000005</v>
      </c>
      <c r="P814">
        <v>60000</v>
      </c>
      <c r="Q814" s="2">
        <v>45631</v>
      </c>
    </row>
    <row r="815" spans="1:17" x14ac:dyDescent="0.45">
      <c r="A815" t="s">
        <v>1136</v>
      </c>
      <c r="B815" t="s">
        <v>84</v>
      </c>
      <c r="C815" t="s">
        <v>14</v>
      </c>
      <c r="D815" t="s">
        <v>47</v>
      </c>
      <c r="E815" t="s">
        <v>42</v>
      </c>
      <c r="F815">
        <v>10.84</v>
      </c>
      <c r="G815">
        <v>16.260000000000002</v>
      </c>
      <c r="H815">
        <v>12.95</v>
      </c>
      <c r="I815" s="4" t="str">
        <f t="shared" si="48"/>
        <v>Admis</v>
      </c>
      <c r="J815" s="4" t="str">
        <f t="shared" si="49"/>
        <v>Non eligible</v>
      </c>
      <c r="K815">
        <v>13.53</v>
      </c>
      <c r="L815" s="6" t="str">
        <f t="shared" si="50"/>
        <v>RAS</v>
      </c>
      <c r="M815" s="6" t="str">
        <f t="shared" si="51"/>
        <v>Hors Data</v>
      </c>
      <c r="N815" s="8" t="str" cm="1">
        <f t="array" ref="N815">_xlfn.IFS(H815&gt;=16,"Excellent",H815&gt;=14,"Très bien",H815&gt;=12,"Bien",H815&gt;=10,"Passable",TRUE,"Insuffisant")</f>
        <v>Bien</v>
      </c>
      <c r="O815">
        <v>0.88139999999999996</v>
      </c>
      <c r="P815">
        <v>75000</v>
      </c>
      <c r="Q815" s="2">
        <v>45583</v>
      </c>
    </row>
    <row r="816" spans="1:17" x14ac:dyDescent="0.45">
      <c r="A816" t="s">
        <v>1137</v>
      </c>
      <c r="B816" t="s">
        <v>73</v>
      </c>
      <c r="C816" t="s">
        <v>19</v>
      </c>
      <c r="D816" t="s">
        <v>47</v>
      </c>
      <c r="E816" t="s">
        <v>21</v>
      </c>
      <c r="F816">
        <v>12.91</v>
      </c>
      <c r="G816">
        <v>13.43</v>
      </c>
      <c r="H816">
        <v>15.28</v>
      </c>
      <c r="I816" s="4" t="str">
        <f t="shared" si="48"/>
        <v>Admis</v>
      </c>
      <c r="J816" s="4" t="str">
        <f t="shared" si="49"/>
        <v>Eligible</v>
      </c>
      <c r="K816">
        <v>16.98</v>
      </c>
      <c r="L816" s="6" t="str">
        <f t="shared" si="50"/>
        <v>RAS</v>
      </c>
      <c r="M816" s="6" t="str">
        <f t="shared" si="51"/>
        <v>Hors Data</v>
      </c>
      <c r="N816" s="8" t="str" cm="1">
        <f t="array" ref="N816">_xlfn.IFS(H816&gt;=16,"Excellent",H816&gt;=14,"Très bien",H816&gt;=12,"Bien",H816&gt;=10,"Passable",TRUE,"Insuffisant")</f>
        <v>Très bien</v>
      </c>
      <c r="O816">
        <v>0.92849999999999999</v>
      </c>
      <c r="P816">
        <v>70000</v>
      </c>
      <c r="Q816" s="2">
        <v>46131</v>
      </c>
    </row>
    <row r="817" spans="1:17" x14ac:dyDescent="0.45">
      <c r="A817" t="s">
        <v>1138</v>
      </c>
      <c r="B817" t="s">
        <v>409</v>
      </c>
      <c r="C817" t="s">
        <v>19</v>
      </c>
      <c r="D817" t="s">
        <v>35</v>
      </c>
      <c r="E817" t="s">
        <v>29</v>
      </c>
      <c r="F817">
        <v>6.67</v>
      </c>
      <c r="G817">
        <v>2.99</v>
      </c>
      <c r="H817">
        <v>8.3699999999999992</v>
      </c>
      <c r="I817" s="4" t="str">
        <f t="shared" si="48"/>
        <v>Non admis</v>
      </c>
      <c r="J817" s="4" t="str">
        <f t="shared" si="49"/>
        <v>Non eligible</v>
      </c>
      <c r="K817">
        <v>4.43</v>
      </c>
      <c r="L817" s="6" t="str">
        <f t="shared" si="50"/>
        <v>A surveiller</v>
      </c>
      <c r="M817" s="6" t="str">
        <f t="shared" si="51"/>
        <v>Hors Data</v>
      </c>
      <c r="N817" s="8" t="str" cm="1">
        <f t="array" ref="N817">_xlfn.IFS(H817&gt;=16,"Excellent",H817&gt;=14,"Très bien",H817&gt;=12,"Bien",H817&gt;=10,"Passable",TRUE,"Insuffisant")</f>
        <v>Insuffisant</v>
      </c>
      <c r="O817">
        <v>0.80820000000000003</v>
      </c>
      <c r="P817">
        <v>120000</v>
      </c>
      <c r="Q817" s="2">
        <v>46188</v>
      </c>
    </row>
    <row r="818" spans="1:17" x14ac:dyDescent="0.45">
      <c r="A818" t="s">
        <v>1139</v>
      </c>
      <c r="B818" t="s">
        <v>569</v>
      </c>
      <c r="C818" t="s">
        <v>14</v>
      </c>
      <c r="D818" t="s">
        <v>32</v>
      </c>
      <c r="E818" t="s">
        <v>29</v>
      </c>
      <c r="F818">
        <v>9.0299999999999994</v>
      </c>
      <c r="G818">
        <v>12.14</v>
      </c>
      <c r="H818">
        <v>14.87</v>
      </c>
      <c r="I818" s="4" t="str">
        <f t="shared" si="48"/>
        <v>Admis</v>
      </c>
      <c r="J818" s="4" t="str">
        <f t="shared" si="49"/>
        <v>Non eligible</v>
      </c>
      <c r="K818">
        <v>13.02</v>
      </c>
      <c r="L818" s="6" t="str">
        <f t="shared" si="50"/>
        <v>A surveiller</v>
      </c>
      <c r="M818" s="6" t="str">
        <f t="shared" si="51"/>
        <v>Hors Data</v>
      </c>
      <c r="N818" s="8" t="str" cm="1">
        <f t="array" ref="N818">_xlfn.IFS(H818&gt;=16,"Excellent",H818&gt;=14,"Très bien",H818&gt;=12,"Bien",H818&gt;=10,"Passable",TRUE,"Insuffisant")</f>
        <v>Très bien</v>
      </c>
      <c r="O818">
        <v>0.82210000000000005</v>
      </c>
      <c r="P818">
        <v>85000</v>
      </c>
      <c r="Q818" s="2">
        <v>46070</v>
      </c>
    </row>
    <row r="819" spans="1:17" x14ac:dyDescent="0.45">
      <c r="A819" t="s">
        <v>1140</v>
      </c>
      <c r="B819" t="s">
        <v>1141</v>
      </c>
      <c r="C819" t="s">
        <v>14</v>
      </c>
      <c r="D819" t="s">
        <v>35</v>
      </c>
      <c r="E819" t="s">
        <v>16</v>
      </c>
      <c r="F819">
        <v>17.41</v>
      </c>
      <c r="G819">
        <v>17.28</v>
      </c>
      <c r="H819">
        <v>17.84</v>
      </c>
      <c r="I819" s="4" t="str">
        <f t="shared" si="48"/>
        <v>Admis</v>
      </c>
      <c r="J819" s="4" t="str">
        <f t="shared" si="49"/>
        <v>Eligible</v>
      </c>
      <c r="K819">
        <v>14.37</v>
      </c>
      <c r="L819" s="6" t="str">
        <f t="shared" si="50"/>
        <v>RAS</v>
      </c>
      <c r="M819" s="6" t="str">
        <f t="shared" si="51"/>
        <v>Data</v>
      </c>
      <c r="N819" s="8" t="str" cm="1">
        <f t="array" ref="N819">_xlfn.IFS(H819&gt;=16,"Excellent",H819&gt;=14,"Très bien",H819&gt;=12,"Bien",H819&gt;=10,"Passable",TRUE,"Insuffisant")</f>
        <v>Excellent</v>
      </c>
      <c r="O819">
        <v>0.86709999999999998</v>
      </c>
      <c r="P819">
        <v>100000</v>
      </c>
      <c r="Q819" s="2">
        <v>45622</v>
      </c>
    </row>
    <row r="820" spans="1:17" x14ac:dyDescent="0.45">
      <c r="A820" t="s">
        <v>1142</v>
      </c>
      <c r="B820" t="s">
        <v>714</v>
      </c>
      <c r="C820" t="s">
        <v>19</v>
      </c>
      <c r="D820" t="s">
        <v>15</v>
      </c>
      <c r="E820" t="s">
        <v>21</v>
      </c>
      <c r="F820">
        <v>18.690000000000001</v>
      </c>
      <c r="G820">
        <v>13.38</v>
      </c>
      <c r="H820">
        <v>15.79</v>
      </c>
      <c r="I820" s="4" t="str">
        <f t="shared" si="48"/>
        <v>Admis</v>
      </c>
      <c r="J820" s="4" t="str">
        <f t="shared" si="49"/>
        <v>Eligible</v>
      </c>
      <c r="K820">
        <v>16.739999999999998</v>
      </c>
      <c r="L820" s="6" t="str">
        <f t="shared" si="50"/>
        <v>RAS</v>
      </c>
      <c r="M820" s="6" t="str">
        <f t="shared" si="51"/>
        <v>Hors Data</v>
      </c>
      <c r="N820" s="8" t="str" cm="1">
        <f t="array" ref="N820">_xlfn.IFS(H820&gt;=16,"Excellent",H820&gt;=14,"Très bien",H820&gt;=12,"Bien",H820&gt;=10,"Passable",TRUE,"Insuffisant")</f>
        <v>Très bien</v>
      </c>
      <c r="O820">
        <v>0.95279999999999998</v>
      </c>
      <c r="P820">
        <v>130000</v>
      </c>
      <c r="Q820" s="2">
        <v>45604</v>
      </c>
    </row>
    <row r="821" spans="1:17" x14ac:dyDescent="0.45">
      <c r="A821" t="s">
        <v>1143</v>
      </c>
      <c r="B821" t="s">
        <v>44</v>
      </c>
      <c r="C821" t="s">
        <v>19</v>
      </c>
      <c r="D821" t="s">
        <v>15</v>
      </c>
      <c r="E821" t="s">
        <v>21</v>
      </c>
      <c r="F821">
        <v>16.5</v>
      </c>
      <c r="G821">
        <v>19.5</v>
      </c>
      <c r="H821">
        <v>14.6</v>
      </c>
      <c r="I821" s="4" t="str">
        <f t="shared" si="48"/>
        <v>Admis</v>
      </c>
      <c r="J821" s="4" t="str">
        <f t="shared" si="49"/>
        <v>Eligible</v>
      </c>
      <c r="K821">
        <v>17.739999999999998</v>
      </c>
      <c r="L821" s="6" t="str">
        <f t="shared" si="50"/>
        <v>RAS</v>
      </c>
      <c r="M821" s="6" t="str">
        <f t="shared" si="51"/>
        <v>Hors Data</v>
      </c>
      <c r="N821" s="8" t="str" cm="1">
        <f t="array" ref="N821">_xlfn.IFS(H821&gt;=16,"Excellent",H821&gt;=14,"Très bien",H821&gt;=12,"Bien",H821&gt;=10,"Passable",TRUE,"Insuffisant")</f>
        <v>Très bien</v>
      </c>
      <c r="O821">
        <v>0.95979999999999999</v>
      </c>
      <c r="P821">
        <v>70000</v>
      </c>
      <c r="Q821" s="2">
        <v>45674</v>
      </c>
    </row>
    <row r="822" spans="1:17" x14ac:dyDescent="0.45">
      <c r="A822" t="s">
        <v>1144</v>
      </c>
      <c r="B822" t="s">
        <v>1092</v>
      </c>
      <c r="C822" t="s">
        <v>14</v>
      </c>
      <c r="D822" t="s">
        <v>32</v>
      </c>
      <c r="E822" t="s">
        <v>16</v>
      </c>
      <c r="F822">
        <v>8.4499999999999993</v>
      </c>
      <c r="G822">
        <v>11.13</v>
      </c>
      <c r="H822">
        <v>6.23</v>
      </c>
      <c r="I822" s="4" t="str">
        <f t="shared" si="48"/>
        <v>Non admis</v>
      </c>
      <c r="J822" s="4" t="str">
        <f t="shared" si="49"/>
        <v>Non eligible</v>
      </c>
      <c r="K822">
        <v>7.63</v>
      </c>
      <c r="L822" s="6" t="str">
        <f t="shared" si="50"/>
        <v>A surveiller</v>
      </c>
      <c r="M822" s="6" t="str">
        <f t="shared" si="51"/>
        <v>Data</v>
      </c>
      <c r="N822" s="8" t="str" cm="1">
        <f t="array" ref="N822">_xlfn.IFS(H822&gt;=16,"Excellent",H822&gt;=14,"Très bien",H822&gt;=12,"Bien",H822&gt;=10,"Passable",TRUE,"Insuffisant")</f>
        <v>Insuffisant</v>
      </c>
      <c r="O822">
        <v>0.84289999999999998</v>
      </c>
      <c r="P822">
        <v>130000</v>
      </c>
      <c r="Q822" s="2">
        <v>46061</v>
      </c>
    </row>
    <row r="823" spans="1:17" x14ac:dyDescent="0.45">
      <c r="A823" t="s">
        <v>1145</v>
      </c>
      <c r="B823" t="s">
        <v>645</v>
      </c>
      <c r="C823" t="s">
        <v>19</v>
      </c>
      <c r="D823" t="s">
        <v>28</v>
      </c>
      <c r="E823" t="s">
        <v>29</v>
      </c>
      <c r="F823">
        <v>14.1</v>
      </c>
      <c r="G823">
        <v>17.239999999999998</v>
      </c>
      <c r="H823">
        <v>17.79</v>
      </c>
      <c r="I823" s="4" t="str">
        <f t="shared" si="48"/>
        <v>Admis</v>
      </c>
      <c r="J823" s="4" t="str">
        <f t="shared" si="49"/>
        <v>Eligible</v>
      </c>
      <c r="K823">
        <v>15.49</v>
      </c>
      <c r="L823" s="6" t="str">
        <f t="shared" si="50"/>
        <v>RAS</v>
      </c>
      <c r="M823" s="6" t="str">
        <f t="shared" si="51"/>
        <v>Hors Data</v>
      </c>
      <c r="N823" s="8" t="str" cm="1">
        <f t="array" ref="N823">_xlfn.IFS(H823&gt;=16,"Excellent",H823&gt;=14,"Très bien",H823&gt;=12,"Bien",H823&gt;=10,"Passable",TRUE,"Insuffisant")</f>
        <v>Excellent</v>
      </c>
      <c r="O823">
        <v>0.96679999999999999</v>
      </c>
      <c r="P823">
        <v>60000</v>
      </c>
      <c r="Q823" s="2">
        <v>46071</v>
      </c>
    </row>
    <row r="824" spans="1:17" x14ac:dyDescent="0.45">
      <c r="A824" t="s">
        <v>1146</v>
      </c>
      <c r="B824" t="s">
        <v>282</v>
      </c>
      <c r="C824" t="s">
        <v>14</v>
      </c>
      <c r="D824" t="s">
        <v>47</v>
      </c>
      <c r="E824" t="s">
        <v>29</v>
      </c>
      <c r="F824">
        <v>16.11</v>
      </c>
      <c r="G824">
        <v>18.03</v>
      </c>
      <c r="H824">
        <v>14.83</v>
      </c>
      <c r="I824" s="4" t="str">
        <f t="shared" si="48"/>
        <v>Admis</v>
      </c>
      <c r="J824" s="4" t="str">
        <f t="shared" si="49"/>
        <v>Eligible</v>
      </c>
      <c r="K824">
        <v>11.74</v>
      </c>
      <c r="L824" s="6" t="str">
        <f t="shared" si="50"/>
        <v>RAS</v>
      </c>
      <c r="M824" s="6" t="str">
        <f t="shared" si="51"/>
        <v>Hors Data</v>
      </c>
      <c r="N824" s="8" t="str" cm="1">
        <f t="array" ref="N824">_xlfn.IFS(H824&gt;=16,"Excellent",H824&gt;=14,"Très bien",H824&gt;=12,"Bien",H824&gt;=10,"Passable",TRUE,"Insuffisant")</f>
        <v>Très bien</v>
      </c>
      <c r="O824">
        <v>0.95730000000000004</v>
      </c>
      <c r="P824">
        <v>110000</v>
      </c>
      <c r="Q824" s="2">
        <v>46122</v>
      </c>
    </row>
    <row r="825" spans="1:17" x14ac:dyDescent="0.45">
      <c r="A825" t="s">
        <v>1147</v>
      </c>
      <c r="B825" t="s">
        <v>71</v>
      </c>
      <c r="C825" t="s">
        <v>19</v>
      </c>
      <c r="D825" t="s">
        <v>15</v>
      </c>
      <c r="E825" t="s">
        <v>21</v>
      </c>
      <c r="F825">
        <v>8.68</v>
      </c>
      <c r="G825">
        <v>10.69</v>
      </c>
      <c r="H825">
        <v>12.31</v>
      </c>
      <c r="I825" s="4" t="str">
        <f t="shared" si="48"/>
        <v>Admis</v>
      </c>
      <c r="J825" s="4" t="str">
        <f t="shared" si="49"/>
        <v>Non eligible</v>
      </c>
      <c r="K825">
        <v>9.7200000000000006</v>
      </c>
      <c r="L825" s="6" t="str">
        <f t="shared" si="50"/>
        <v>A surveiller</v>
      </c>
      <c r="M825" s="6" t="str">
        <f t="shared" si="51"/>
        <v>Hors Data</v>
      </c>
      <c r="N825" s="8" t="str" cm="1">
        <f t="array" ref="N825">_xlfn.IFS(H825&gt;=16,"Excellent",H825&gt;=14,"Très bien",H825&gt;=12,"Bien",H825&gt;=10,"Passable",TRUE,"Insuffisant")</f>
        <v>Bien</v>
      </c>
      <c r="O825">
        <v>0.94520000000000004</v>
      </c>
      <c r="P825">
        <v>100000</v>
      </c>
      <c r="Q825" s="2">
        <v>45603</v>
      </c>
    </row>
    <row r="826" spans="1:17" x14ac:dyDescent="0.45">
      <c r="A826" t="s">
        <v>1148</v>
      </c>
      <c r="B826" t="s">
        <v>207</v>
      </c>
      <c r="C826" t="s">
        <v>19</v>
      </c>
      <c r="D826" t="s">
        <v>15</v>
      </c>
      <c r="E826" t="s">
        <v>16</v>
      </c>
      <c r="F826">
        <v>13.06</v>
      </c>
      <c r="G826">
        <v>15.02</v>
      </c>
      <c r="H826">
        <v>14.83</v>
      </c>
      <c r="I826" s="4" t="str">
        <f t="shared" si="48"/>
        <v>Admis</v>
      </c>
      <c r="J826" s="4" t="str">
        <f t="shared" si="49"/>
        <v>Eligible</v>
      </c>
      <c r="K826">
        <v>7.95</v>
      </c>
      <c r="L826" s="6" t="str">
        <f t="shared" si="50"/>
        <v>RAS</v>
      </c>
      <c r="M826" s="6" t="str">
        <f t="shared" si="51"/>
        <v>Data</v>
      </c>
      <c r="N826" s="8" t="str" cm="1">
        <f t="array" ref="N826">_xlfn.IFS(H826&gt;=16,"Excellent",H826&gt;=14,"Très bien",H826&gt;=12,"Bien",H826&gt;=10,"Passable",TRUE,"Insuffisant")</f>
        <v>Très bien</v>
      </c>
      <c r="O826">
        <v>0.88039999999999996</v>
      </c>
      <c r="P826">
        <v>120000</v>
      </c>
      <c r="Q826" s="2">
        <v>45643</v>
      </c>
    </row>
    <row r="827" spans="1:17" x14ac:dyDescent="0.45">
      <c r="A827" t="s">
        <v>1149</v>
      </c>
      <c r="B827" t="s">
        <v>129</v>
      </c>
      <c r="C827" t="s">
        <v>14</v>
      </c>
      <c r="D827" t="s">
        <v>47</v>
      </c>
      <c r="E827" t="s">
        <v>16</v>
      </c>
      <c r="F827">
        <v>14.82</v>
      </c>
      <c r="G827">
        <v>16.579999999999998</v>
      </c>
      <c r="H827">
        <v>15.19</v>
      </c>
      <c r="I827" s="4" t="str">
        <f t="shared" si="48"/>
        <v>Admis</v>
      </c>
      <c r="J827" s="4" t="str">
        <f t="shared" si="49"/>
        <v>Eligible</v>
      </c>
      <c r="K827">
        <v>13.67</v>
      </c>
      <c r="L827" s="6" t="str">
        <f t="shared" si="50"/>
        <v>RAS</v>
      </c>
      <c r="M827" s="6" t="str">
        <f t="shared" si="51"/>
        <v>Data</v>
      </c>
      <c r="N827" s="8" t="str" cm="1">
        <f t="array" ref="N827">_xlfn.IFS(H827&gt;=16,"Excellent",H827&gt;=14,"Très bien",H827&gt;=12,"Bien",H827&gt;=10,"Passable",TRUE,"Insuffisant")</f>
        <v>Très bien</v>
      </c>
      <c r="O827">
        <v>0.93130000000000002</v>
      </c>
      <c r="P827">
        <v>60000</v>
      </c>
      <c r="Q827" s="2">
        <v>46166</v>
      </c>
    </row>
    <row r="828" spans="1:17" x14ac:dyDescent="0.45">
      <c r="A828" t="s">
        <v>1150</v>
      </c>
      <c r="B828" t="s">
        <v>406</v>
      </c>
      <c r="C828" t="s">
        <v>19</v>
      </c>
      <c r="D828" t="s">
        <v>15</v>
      </c>
      <c r="E828" t="s">
        <v>29</v>
      </c>
      <c r="F828">
        <v>14.31</v>
      </c>
      <c r="G828">
        <v>9.06</v>
      </c>
      <c r="H828">
        <v>12.18</v>
      </c>
      <c r="I828" s="4" t="str">
        <f t="shared" si="48"/>
        <v>Admis</v>
      </c>
      <c r="J828" s="4" t="str">
        <f t="shared" si="49"/>
        <v>Non eligible</v>
      </c>
      <c r="K828">
        <v>14.44</v>
      </c>
      <c r="L828" s="6" t="str">
        <f t="shared" si="50"/>
        <v>RAS</v>
      </c>
      <c r="M828" s="6" t="str">
        <f t="shared" si="51"/>
        <v>Hors Data</v>
      </c>
      <c r="N828" s="8" t="str" cm="1">
        <f t="array" ref="N828">_xlfn.IFS(H828&gt;=16,"Excellent",H828&gt;=14,"Très bien",H828&gt;=12,"Bien",H828&gt;=10,"Passable",TRUE,"Insuffisant")</f>
        <v>Bien</v>
      </c>
      <c r="O828">
        <v>0.73350000000000004</v>
      </c>
      <c r="P828">
        <v>130000</v>
      </c>
      <c r="Q828" s="2">
        <v>46186</v>
      </c>
    </row>
    <row r="829" spans="1:17" x14ac:dyDescent="0.45">
      <c r="A829" t="s">
        <v>1151</v>
      </c>
      <c r="B829" t="s">
        <v>398</v>
      </c>
      <c r="C829" t="s">
        <v>19</v>
      </c>
      <c r="D829" t="s">
        <v>28</v>
      </c>
      <c r="E829" t="s">
        <v>42</v>
      </c>
      <c r="F829">
        <v>5.61</v>
      </c>
      <c r="G829">
        <v>5.41</v>
      </c>
      <c r="H829">
        <v>9.9700000000000006</v>
      </c>
      <c r="I829" s="4" t="str">
        <f t="shared" si="48"/>
        <v>Non admis</v>
      </c>
      <c r="J829" s="4" t="str">
        <f t="shared" si="49"/>
        <v>Non eligible</v>
      </c>
      <c r="K829">
        <v>9.58</v>
      </c>
      <c r="L829" s="6" t="str">
        <f t="shared" si="50"/>
        <v>A surveiller</v>
      </c>
      <c r="M829" s="6" t="str">
        <f t="shared" si="51"/>
        <v>Hors Data</v>
      </c>
      <c r="N829" s="8" t="str" cm="1">
        <f t="array" ref="N829">_xlfn.IFS(H829&gt;=16,"Excellent",H829&gt;=14,"Très bien",H829&gt;=12,"Bien",H829&gt;=10,"Passable",TRUE,"Insuffisant")</f>
        <v>Insuffisant</v>
      </c>
      <c r="O829">
        <v>0.97170000000000001</v>
      </c>
      <c r="P829">
        <v>110000</v>
      </c>
      <c r="Q829" s="2">
        <v>46043</v>
      </c>
    </row>
    <row r="830" spans="1:17" x14ac:dyDescent="0.45">
      <c r="A830" t="s">
        <v>1152</v>
      </c>
      <c r="B830" t="s">
        <v>691</v>
      </c>
      <c r="C830" t="s">
        <v>19</v>
      </c>
      <c r="D830" t="s">
        <v>20</v>
      </c>
      <c r="E830" t="s">
        <v>16</v>
      </c>
      <c r="F830">
        <v>10.28</v>
      </c>
      <c r="G830">
        <v>11.37</v>
      </c>
      <c r="H830">
        <v>12.75</v>
      </c>
      <c r="I830" s="4" t="str">
        <f t="shared" si="48"/>
        <v>Admis</v>
      </c>
      <c r="J830" s="4" t="str">
        <f t="shared" si="49"/>
        <v>Non eligible</v>
      </c>
      <c r="K830">
        <v>9.6300000000000008</v>
      </c>
      <c r="L830" s="6" t="str">
        <f t="shared" si="50"/>
        <v>RAS</v>
      </c>
      <c r="M830" s="6" t="str">
        <f t="shared" si="51"/>
        <v>Data</v>
      </c>
      <c r="N830" s="8" t="str" cm="1">
        <f t="array" ref="N830">_xlfn.IFS(H830&gt;=16,"Excellent",H830&gt;=14,"Très bien",H830&gt;=12,"Bien",H830&gt;=10,"Passable",TRUE,"Insuffisant")</f>
        <v>Bien</v>
      </c>
      <c r="O830">
        <v>0.81640000000000001</v>
      </c>
      <c r="P830">
        <v>60000</v>
      </c>
      <c r="Q830" s="2">
        <v>45610</v>
      </c>
    </row>
    <row r="831" spans="1:17" x14ac:dyDescent="0.45">
      <c r="A831" t="s">
        <v>1153</v>
      </c>
      <c r="B831" t="s">
        <v>180</v>
      </c>
      <c r="C831" t="s">
        <v>14</v>
      </c>
      <c r="D831" t="s">
        <v>47</v>
      </c>
      <c r="E831" t="s">
        <v>42</v>
      </c>
      <c r="F831">
        <v>8.74</v>
      </c>
      <c r="G831">
        <v>12.7</v>
      </c>
      <c r="H831">
        <v>11.97</v>
      </c>
      <c r="I831" s="4" t="str">
        <f t="shared" si="48"/>
        <v>Admis</v>
      </c>
      <c r="J831" s="4" t="str">
        <f t="shared" si="49"/>
        <v>Non eligible</v>
      </c>
      <c r="K831">
        <v>9.91</v>
      </c>
      <c r="L831" s="6" t="str">
        <f t="shared" si="50"/>
        <v>A surveiller</v>
      </c>
      <c r="M831" s="6" t="str">
        <f t="shared" si="51"/>
        <v>Hors Data</v>
      </c>
      <c r="N831" s="8" t="str" cm="1">
        <f t="array" ref="N831">_xlfn.IFS(H831&gt;=16,"Excellent",H831&gt;=14,"Très bien",H831&gt;=12,"Bien",H831&gt;=10,"Passable",TRUE,"Insuffisant")</f>
        <v>Passable</v>
      </c>
      <c r="O831">
        <v>0.98939999999999995</v>
      </c>
      <c r="P831">
        <v>90000</v>
      </c>
      <c r="Q831" s="2">
        <v>45584</v>
      </c>
    </row>
    <row r="832" spans="1:17" x14ac:dyDescent="0.45">
      <c r="A832" t="s">
        <v>1154</v>
      </c>
      <c r="B832" t="s">
        <v>125</v>
      </c>
      <c r="C832" t="s">
        <v>14</v>
      </c>
      <c r="D832" t="s">
        <v>35</v>
      </c>
      <c r="E832" t="s">
        <v>42</v>
      </c>
      <c r="F832">
        <v>14.99</v>
      </c>
      <c r="G832">
        <v>14.34</v>
      </c>
      <c r="H832">
        <v>14.82</v>
      </c>
      <c r="I832" s="4" t="str">
        <f t="shared" si="48"/>
        <v>Admis</v>
      </c>
      <c r="J832" s="4" t="str">
        <f t="shared" si="49"/>
        <v>Eligible</v>
      </c>
      <c r="K832">
        <v>11.47</v>
      </c>
      <c r="L832" s="6" t="str">
        <f t="shared" si="50"/>
        <v>RAS</v>
      </c>
      <c r="M832" s="6" t="str">
        <f t="shared" si="51"/>
        <v>Hors Data</v>
      </c>
      <c r="N832" s="8" t="str" cm="1">
        <f t="array" ref="N832">_xlfn.IFS(H832&gt;=16,"Excellent",H832&gt;=14,"Très bien",H832&gt;=12,"Bien",H832&gt;=10,"Passable",TRUE,"Insuffisant")</f>
        <v>Très bien</v>
      </c>
      <c r="O832">
        <v>0.87290000000000001</v>
      </c>
      <c r="P832">
        <v>110000</v>
      </c>
      <c r="Q832" s="2">
        <v>45574</v>
      </c>
    </row>
    <row r="833" spans="1:17" x14ac:dyDescent="0.45">
      <c r="A833" t="s">
        <v>1155</v>
      </c>
      <c r="B833" t="s">
        <v>404</v>
      </c>
      <c r="C833" t="s">
        <v>14</v>
      </c>
      <c r="D833" t="s">
        <v>35</v>
      </c>
      <c r="E833" t="s">
        <v>21</v>
      </c>
      <c r="F833">
        <v>12.47</v>
      </c>
      <c r="G833">
        <v>13.04</v>
      </c>
      <c r="H833">
        <v>11.81</v>
      </c>
      <c r="I833" s="4" t="str">
        <f t="shared" si="48"/>
        <v>Admis</v>
      </c>
      <c r="J833" s="4" t="str">
        <f t="shared" si="49"/>
        <v>Non eligible</v>
      </c>
      <c r="K833">
        <v>12.23</v>
      </c>
      <c r="L833" s="6" t="str">
        <f t="shared" si="50"/>
        <v>RAS</v>
      </c>
      <c r="M833" s="6" t="str">
        <f t="shared" si="51"/>
        <v>Hors Data</v>
      </c>
      <c r="N833" s="8" t="str" cm="1">
        <f t="array" ref="N833">_xlfn.IFS(H833&gt;=16,"Excellent",H833&gt;=14,"Très bien",H833&gt;=12,"Bien",H833&gt;=10,"Passable",TRUE,"Insuffisant")</f>
        <v>Passable</v>
      </c>
      <c r="O833">
        <v>0.77400000000000002</v>
      </c>
      <c r="P833">
        <v>85000</v>
      </c>
      <c r="Q833" s="2">
        <v>46020</v>
      </c>
    </row>
    <row r="834" spans="1:17" x14ac:dyDescent="0.45">
      <c r="A834" t="s">
        <v>1156</v>
      </c>
      <c r="B834" t="s">
        <v>351</v>
      </c>
      <c r="C834" t="s">
        <v>14</v>
      </c>
      <c r="D834" t="s">
        <v>20</v>
      </c>
      <c r="E834" t="s">
        <v>16</v>
      </c>
      <c r="F834">
        <v>13.37</v>
      </c>
      <c r="G834">
        <v>15.12</v>
      </c>
      <c r="H834">
        <v>10.7</v>
      </c>
      <c r="I834" s="4" t="str">
        <f t="shared" si="48"/>
        <v>Admis</v>
      </c>
      <c r="J834" s="4" t="str">
        <f t="shared" si="49"/>
        <v>Non eligible</v>
      </c>
      <c r="K834">
        <v>7.69</v>
      </c>
      <c r="L834" s="6" t="str">
        <f t="shared" si="50"/>
        <v>RAS</v>
      </c>
      <c r="M834" s="6" t="str">
        <f t="shared" si="51"/>
        <v>Data</v>
      </c>
      <c r="N834" s="8" t="str" cm="1">
        <f t="array" ref="N834">_xlfn.IFS(H834&gt;=16,"Excellent",H834&gt;=14,"Très bien",H834&gt;=12,"Bien",H834&gt;=10,"Passable",TRUE,"Insuffisant")</f>
        <v>Passable</v>
      </c>
      <c r="O834">
        <v>0.88780000000000003</v>
      </c>
      <c r="P834">
        <v>80000</v>
      </c>
      <c r="Q834" s="2">
        <v>46128</v>
      </c>
    </row>
    <row r="835" spans="1:17" x14ac:dyDescent="0.45">
      <c r="A835" t="s">
        <v>1157</v>
      </c>
      <c r="B835" t="s">
        <v>67</v>
      </c>
      <c r="C835" t="s">
        <v>14</v>
      </c>
      <c r="D835" t="s">
        <v>35</v>
      </c>
      <c r="E835" t="s">
        <v>16</v>
      </c>
      <c r="F835">
        <v>10.24</v>
      </c>
      <c r="G835">
        <v>16.32</v>
      </c>
      <c r="H835">
        <v>14.91</v>
      </c>
      <c r="I835" s="4" t="str">
        <f t="shared" ref="I835:I898" si="52">IF(H835&gt;=10,"Admis","Non admis")</f>
        <v>Admis</v>
      </c>
      <c r="J835" s="4" t="str">
        <f t="shared" ref="J835:J898" si="53">IF(AND(F835&gt;=12,H835&gt;=12,O835&gt;=0.8),"Eligible","Non eligible")</f>
        <v>Non eligible</v>
      </c>
      <c r="K835">
        <v>13.26</v>
      </c>
      <c r="L835" s="6" t="str">
        <f t="shared" ref="L835:L898" si="54">IF(OR(F835&lt;10,H835&lt;10),"A surveiller","RAS")</f>
        <v>RAS</v>
      </c>
      <c r="M835" s="6" t="str">
        <f t="shared" ref="M835:M898" si="55">IF(NOT(E835="Data"),"Hors Data","Data")</f>
        <v>Data</v>
      </c>
      <c r="N835" s="8" t="str" cm="1">
        <f t="array" ref="N835">_xlfn.IFS(H835&gt;=16,"Excellent",H835&gt;=14,"Très bien",H835&gt;=12,"Bien",H835&gt;=10,"Passable",TRUE,"Insuffisant")</f>
        <v>Très bien</v>
      </c>
      <c r="O835">
        <v>0.86470000000000002</v>
      </c>
      <c r="P835">
        <v>75000</v>
      </c>
      <c r="Q835" s="2">
        <v>45978</v>
      </c>
    </row>
    <row r="836" spans="1:17" x14ac:dyDescent="0.45">
      <c r="A836" t="s">
        <v>1158</v>
      </c>
      <c r="B836" t="s">
        <v>135</v>
      </c>
      <c r="C836" t="s">
        <v>19</v>
      </c>
      <c r="D836" t="s">
        <v>15</v>
      </c>
      <c r="E836" t="s">
        <v>16</v>
      </c>
      <c r="F836">
        <v>18.670000000000002</v>
      </c>
      <c r="G836">
        <v>13.22</v>
      </c>
      <c r="H836">
        <v>14.8</v>
      </c>
      <c r="I836" s="4" t="str">
        <f t="shared" si="52"/>
        <v>Admis</v>
      </c>
      <c r="J836" s="4" t="str">
        <f t="shared" si="53"/>
        <v>Eligible</v>
      </c>
      <c r="K836">
        <v>15.32</v>
      </c>
      <c r="L836" s="6" t="str">
        <f t="shared" si="54"/>
        <v>RAS</v>
      </c>
      <c r="M836" s="6" t="str">
        <f t="shared" si="55"/>
        <v>Data</v>
      </c>
      <c r="N836" s="8" t="str" cm="1">
        <f t="array" ref="N836">_xlfn.IFS(H836&gt;=16,"Excellent",H836&gt;=14,"Très bien",H836&gt;=12,"Bien",H836&gt;=10,"Passable",TRUE,"Insuffisant")</f>
        <v>Très bien</v>
      </c>
      <c r="O836">
        <v>0.84540000000000004</v>
      </c>
      <c r="P836">
        <v>85000</v>
      </c>
      <c r="Q836" s="2">
        <v>45719</v>
      </c>
    </row>
    <row r="837" spans="1:17" x14ac:dyDescent="0.45">
      <c r="A837" t="s">
        <v>1159</v>
      </c>
      <c r="B837" t="s">
        <v>409</v>
      </c>
      <c r="C837" t="s">
        <v>19</v>
      </c>
      <c r="D837" t="s">
        <v>20</v>
      </c>
      <c r="E837" t="s">
        <v>21</v>
      </c>
      <c r="F837">
        <v>11.31</v>
      </c>
      <c r="G837">
        <v>13.57</v>
      </c>
      <c r="H837">
        <v>13.92</v>
      </c>
      <c r="I837" s="4" t="str">
        <f t="shared" si="52"/>
        <v>Admis</v>
      </c>
      <c r="J837" s="4" t="str">
        <f t="shared" si="53"/>
        <v>Non eligible</v>
      </c>
      <c r="K837">
        <v>11.92</v>
      </c>
      <c r="L837" s="6" t="str">
        <f t="shared" si="54"/>
        <v>RAS</v>
      </c>
      <c r="M837" s="6" t="str">
        <f t="shared" si="55"/>
        <v>Hors Data</v>
      </c>
      <c r="N837" s="8" t="str" cm="1">
        <f t="array" ref="N837">_xlfn.IFS(H837&gt;=16,"Excellent",H837&gt;=14,"Très bien",H837&gt;=12,"Bien",H837&gt;=10,"Passable",TRUE,"Insuffisant")</f>
        <v>Bien</v>
      </c>
      <c r="O837">
        <v>0.98080000000000001</v>
      </c>
      <c r="P837">
        <v>130000</v>
      </c>
      <c r="Q837" s="2">
        <v>46066</v>
      </c>
    </row>
    <row r="838" spans="1:17" x14ac:dyDescent="0.45">
      <c r="A838" t="s">
        <v>1160</v>
      </c>
      <c r="B838" t="s">
        <v>96</v>
      </c>
      <c r="C838" t="s">
        <v>19</v>
      </c>
      <c r="D838" t="s">
        <v>20</v>
      </c>
      <c r="E838" t="s">
        <v>42</v>
      </c>
      <c r="F838">
        <v>12.72</v>
      </c>
      <c r="G838">
        <v>10.89</v>
      </c>
      <c r="H838">
        <v>11.55</v>
      </c>
      <c r="I838" s="4" t="str">
        <f t="shared" si="52"/>
        <v>Admis</v>
      </c>
      <c r="J838" s="4" t="str">
        <f t="shared" si="53"/>
        <v>Non eligible</v>
      </c>
      <c r="K838">
        <v>13.41</v>
      </c>
      <c r="L838" s="6" t="str">
        <f t="shared" si="54"/>
        <v>RAS</v>
      </c>
      <c r="M838" s="6" t="str">
        <f t="shared" si="55"/>
        <v>Hors Data</v>
      </c>
      <c r="N838" s="8" t="str" cm="1">
        <f t="array" ref="N838">_xlfn.IFS(H838&gt;=16,"Excellent",H838&gt;=14,"Très bien",H838&gt;=12,"Bien",H838&gt;=10,"Passable",TRUE,"Insuffisant")</f>
        <v>Passable</v>
      </c>
      <c r="O838">
        <v>0.69789999999999996</v>
      </c>
      <c r="P838">
        <v>90000</v>
      </c>
      <c r="Q838" s="2">
        <v>45577</v>
      </c>
    </row>
    <row r="839" spans="1:17" x14ac:dyDescent="0.45">
      <c r="A839" t="s">
        <v>1161</v>
      </c>
      <c r="B839" t="s">
        <v>1030</v>
      </c>
      <c r="C839" t="s">
        <v>14</v>
      </c>
      <c r="D839" t="s">
        <v>28</v>
      </c>
      <c r="E839" t="s">
        <v>42</v>
      </c>
      <c r="F839">
        <v>15.64</v>
      </c>
      <c r="G839">
        <v>13.74</v>
      </c>
      <c r="H839">
        <v>11.3</v>
      </c>
      <c r="I839" s="4" t="str">
        <f t="shared" si="52"/>
        <v>Admis</v>
      </c>
      <c r="J839" s="4" t="str">
        <f t="shared" si="53"/>
        <v>Non eligible</v>
      </c>
      <c r="K839">
        <v>14.15</v>
      </c>
      <c r="L839" s="6" t="str">
        <f t="shared" si="54"/>
        <v>RAS</v>
      </c>
      <c r="M839" s="6" t="str">
        <f t="shared" si="55"/>
        <v>Hors Data</v>
      </c>
      <c r="N839" s="8" t="str" cm="1">
        <f t="array" ref="N839">_xlfn.IFS(H839&gt;=16,"Excellent",H839&gt;=14,"Très bien",H839&gt;=12,"Bien",H839&gt;=10,"Passable",TRUE,"Insuffisant")</f>
        <v>Passable</v>
      </c>
      <c r="O839">
        <v>0.60809999999999997</v>
      </c>
      <c r="P839">
        <v>100000</v>
      </c>
      <c r="Q839" s="2">
        <v>46115</v>
      </c>
    </row>
    <row r="840" spans="1:17" x14ac:dyDescent="0.45">
      <c r="A840" t="s">
        <v>1162</v>
      </c>
      <c r="B840" t="s">
        <v>425</v>
      </c>
      <c r="C840" t="s">
        <v>14</v>
      </c>
      <c r="D840" t="s">
        <v>32</v>
      </c>
      <c r="E840" t="s">
        <v>21</v>
      </c>
      <c r="F840">
        <v>5.95</v>
      </c>
      <c r="G840">
        <v>9.23</v>
      </c>
      <c r="H840">
        <v>12.14</v>
      </c>
      <c r="I840" s="4" t="str">
        <f t="shared" si="52"/>
        <v>Admis</v>
      </c>
      <c r="J840" s="4" t="str">
        <f t="shared" si="53"/>
        <v>Non eligible</v>
      </c>
      <c r="K840">
        <v>6.83</v>
      </c>
      <c r="L840" s="6" t="str">
        <f t="shared" si="54"/>
        <v>A surveiller</v>
      </c>
      <c r="M840" s="6" t="str">
        <f t="shared" si="55"/>
        <v>Hors Data</v>
      </c>
      <c r="N840" s="8" t="str" cm="1">
        <f t="array" ref="N840">_xlfn.IFS(H840&gt;=16,"Excellent",H840&gt;=14,"Très bien",H840&gt;=12,"Bien",H840&gt;=10,"Passable",TRUE,"Insuffisant")</f>
        <v>Bien</v>
      </c>
      <c r="O840">
        <v>0.7288</v>
      </c>
      <c r="P840">
        <v>110000</v>
      </c>
      <c r="Q840" s="2">
        <v>46160</v>
      </c>
    </row>
    <row r="841" spans="1:17" x14ac:dyDescent="0.45">
      <c r="A841" t="s">
        <v>1163</v>
      </c>
      <c r="B841" t="s">
        <v>512</v>
      </c>
      <c r="C841" t="s">
        <v>19</v>
      </c>
      <c r="D841" t="s">
        <v>28</v>
      </c>
      <c r="E841" t="s">
        <v>42</v>
      </c>
      <c r="F841">
        <v>13.63</v>
      </c>
      <c r="G841">
        <v>7.74</v>
      </c>
      <c r="H841">
        <v>18.440000000000001</v>
      </c>
      <c r="I841" s="4" t="str">
        <f t="shared" si="52"/>
        <v>Admis</v>
      </c>
      <c r="J841" s="4" t="str">
        <f t="shared" si="53"/>
        <v>Eligible</v>
      </c>
      <c r="K841">
        <v>10.48</v>
      </c>
      <c r="L841" s="6" t="str">
        <f t="shared" si="54"/>
        <v>RAS</v>
      </c>
      <c r="M841" s="6" t="str">
        <f t="shared" si="55"/>
        <v>Hors Data</v>
      </c>
      <c r="N841" s="8" t="str" cm="1">
        <f t="array" ref="N841">_xlfn.IFS(H841&gt;=16,"Excellent",H841&gt;=14,"Très bien",H841&gt;=12,"Bien",H841&gt;=10,"Passable",TRUE,"Insuffisant")</f>
        <v>Excellent</v>
      </c>
      <c r="O841">
        <v>0.92059999999999997</v>
      </c>
      <c r="P841">
        <v>110000</v>
      </c>
      <c r="Q841" s="2">
        <v>46038</v>
      </c>
    </row>
    <row r="842" spans="1:17" x14ac:dyDescent="0.45">
      <c r="A842" t="s">
        <v>1164</v>
      </c>
      <c r="B842" t="s">
        <v>1032</v>
      </c>
      <c r="C842" t="s">
        <v>14</v>
      </c>
      <c r="D842" t="s">
        <v>35</v>
      </c>
      <c r="E842" t="s">
        <v>16</v>
      </c>
      <c r="F842">
        <v>13.89</v>
      </c>
      <c r="G842">
        <v>19.2</v>
      </c>
      <c r="H842">
        <v>15.64</v>
      </c>
      <c r="I842" s="4" t="str">
        <f t="shared" si="52"/>
        <v>Admis</v>
      </c>
      <c r="J842" s="4" t="str">
        <f t="shared" si="53"/>
        <v>Non eligible</v>
      </c>
      <c r="K842">
        <v>13.69</v>
      </c>
      <c r="L842" s="6" t="str">
        <f t="shared" si="54"/>
        <v>RAS</v>
      </c>
      <c r="M842" s="6" t="str">
        <f t="shared" si="55"/>
        <v>Data</v>
      </c>
      <c r="N842" s="8" t="str" cm="1">
        <f t="array" ref="N842">_xlfn.IFS(H842&gt;=16,"Excellent",H842&gt;=14,"Très bien",H842&gt;=12,"Bien",H842&gt;=10,"Passable",TRUE,"Insuffisant")</f>
        <v>Très bien</v>
      </c>
      <c r="O842">
        <v>0.69040000000000001</v>
      </c>
      <c r="P842">
        <v>80000</v>
      </c>
      <c r="Q842" s="2">
        <v>46151</v>
      </c>
    </row>
    <row r="843" spans="1:17" x14ac:dyDescent="0.45">
      <c r="A843" t="s">
        <v>1165</v>
      </c>
      <c r="B843" t="s">
        <v>98</v>
      </c>
      <c r="C843" t="s">
        <v>19</v>
      </c>
      <c r="D843" t="s">
        <v>35</v>
      </c>
      <c r="E843" t="s">
        <v>42</v>
      </c>
      <c r="F843">
        <v>19.899999999999999</v>
      </c>
      <c r="G843">
        <v>15.26</v>
      </c>
      <c r="H843">
        <v>12.96</v>
      </c>
      <c r="I843" s="4" t="str">
        <f t="shared" si="52"/>
        <v>Admis</v>
      </c>
      <c r="J843" s="4" t="str">
        <f t="shared" si="53"/>
        <v>Eligible</v>
      </c>
      <c r="K843">
        <v>11.41</v>
      </c>
      <c r="L843" s="6" t="str">
        <f t="shared" si="54"/>
        <v>RAS</v>
      </c>
      <c r="M843" s="6" t="str">
        <f t="shared" si="55"/>
        <v>Hors Data</v>
      </c>
      <c r="N843" s="8" t="str" cm="1">
        <f t="array" ref="N843">_xlfn.IFS(H843&gt;=16,"Excellent",H843&gt;=14,"Très bien",H843&gt;=12,"Bien",H843&gt;=10,"Passable",TRUE,"Insuffisant")</f>
        <v>Bien</v>
      </c>
      <c r="O843">
        <v>0.93700000000000006</v>
      </c>
      <c r="P843">
        <v>110000</v>
      </c>
      <c r="Q843" s="2">
        <v>45946</v>
      </c>
    </row>
    <row r="844" spans="1:17" x14ac:dyDescent="0.45">
      <c r="A844" t="s">
        <v>1166</v>
      </c>
      <c r="B844" t="s">
        <v>105</v>
      </c>
      <c r="C844" t="s">
        <v>19</v>
      </c>
      <c r="D844" t="s">
        <v>15</v>
      </c>
      <c r="E844" t="s">
        <v>42</v>
      </c>
      <c r="F844">
        <v>16.850000000000001</v>
      </c>
      <c r="G844">
        <v>15.28</v>
      </c>
      <c r="H844">
        <v>15.73</v>
      </c>
      <c r="I844" s="4" t="str">
        <f t="shared" si="52"/>
        <v>Admis</v>
      </c>
      <c r="J844" s="4" t="str">
        <f t="shared" si="53"/>
        <v>Non eligible</v>
      </c>
      <c r="K844">
        <v>14.82</v>
      </c>
      <c r="L844" s="6" t="str">
        <f t="shared" si="54"/>
        <v>RAS</v>
      </c>
      <c r="M844" s="6" t="str">
        <f t="shared" si="55"/>
        <v>Hors Data</v>
      </c>
      <c r="N844" s="8" t="str" cm="1">
        <f t="array" ref="N844">_xlfn.IFS(H844&gt;=16,"Excellent",H844&gt;=14,"Très bien",H844&gt;=12,"Bien",H844&gt;=10,"Passable",TRUE,"Insuffisant")</f>
        <v>Très bien</v>
      </c>
      <c r="O844">
        <v>0.77559999999999996</v>
      </c>
      <c r="P844">
        <v>75000</v>
      </c>
      <c r="Q844" s="2">
        <v>45863</v>
      </c>
    </row>
    <row r="845" spans="1:17" x14ac:dyDescent="0.45">
      <c r="A845" t="s">
        <v>1167</v>
      </c>
      <c r="B845" t="s">
        <v>366</v>
      </c>
      <c r="C845" t="s">
        <v>14</v>
      </c>
      <c r="D845" t="s">
        <v>32</v>
      </c>
      <c r="E845" t="s">
        <v>16</v>
      </c>
      <c r="F845">
        <v>11.57</v>
      </c>
      <c r="G845">
        <v>12.67</v>
      </c>
      <c r="H845">
        <v>11.27</v>
      </c>
      <c r="I845" s="4" t="str">
        <f t="shared" si="52"/>
        <v>Admis</v>
      </c>
      <c r="J845" s="4" t="str">
        <f t="shared" si="53"/>
        <v>Non eligible</v>
      </c>
      <c r="K845">
        <v>8.99</v>
      </c>
      <c r="L845" s="6" t="str">
        <f t="shared" si="54"/>
        <v>RAS</v>
      </c>
      <c r="M845" s="6" t="str">
        <f t="shared" si="55"/>
        <v>Data</v>
      </c>
      <c r="N845" s="8" t="str" cm="1">
        <f t="array" ref="N845">_xlfn.IFS(H845&gt;=16,"Excellent",H845&gt;=14,"Très bien",H845&gt;=12,"Bien",H845&gt;=10,"Passable",TRUE,"Insuffisant")</f>
        <v>Passable</v>
      </c>
      <c r="O845">
        <v>0.63160000000000005</v>
      </c>
      <c r="P845">
        <v>90000</v>
      </c>
      <c r="Q845" s="2">
        <v>45761</v>
      </c>
    </row>
    <row r="846" spans="1:17" x14ac:dyDescent="0.45">
      <c r="A846" t="s">
        <v>1168</v>
      </c>
      <c r="B846" t="s">
        <v>268</v>
      </c>
      <c r="C846" t="s">
        <v>14</v>
      </c>
      <c r="D846" t="s">
        <v>20</v>
      </c>
      <c r="E846" t="s">
        <v>42</v>
      </c>
      <c r="F846">
        <v>10.63</v>
      </c>
      <c r="G846">
        <v>7.61</v>
      </c>
      <c r="H846">
        <v>7.39</v>
      </c>
      <c r="I846" s="4" t="str">
        <f t="shared" si="52"/>
        <v>Non admis</v>
      </c>
      <c r="J846" s="4" t="str">
        <f t="shared" si="53"/>
        <v>Non eligible</v>
      </c>
      <c r="K846">
        <v>10.99</v>
      </c>
      <c r="L846" s="6" t="str">
        <f t="shared" si="54"/>
        <v>A surveiller</v>
      </c>
      <c r="M846" s="6" t="str">
        <f t="shared" si="55"/>
        <v>Hors Data</v>
      </c>
      <c r="N846" s="8" t="str" cm="1">
        <f t="array" ref="N846">_xlfn.IFS(H846&gt;=16,"Excellent",H846&gt;=14,"Très bien",H846&gt;=12,"Bien",H846&gt;=10,"Passable",TRUE,"Insuffisant")</f>
        <v>Insuffisant</v>
      </c>
      <c r="O846">
        <v>0.99750000000000005</v>
      </c>
      <c r="P846">
        <v>75000</v>
      </c>
      <c r="Q846" s="2">
        <v>46181</v>
      </c>
    </row>
    <row r="847" spans="1:17" x14ac:dyDescent="0.45">
      <c r="A847" t="s">
        <v>1169</v>
      </c>
      <c r="B847" t="s">
        <v>419</v>
      </c>
      <c r="C847" t="s">
        <v>14</v>
      </c>
      <c r="D847" t="s">
        <v>47</v>
      </c>
      <c r="E847" t="s">
        <v>29</v>
      </c>
      <c r="F847">
        <v>15.08</v>
      </c>
      <c r="G847">
        <v>14.96</v>
      </c>
      <c r="H847">
        <v>13.08</v>
      </c>
      <c r="I847" s="4" t="str">
        <f t="shared" si="52"/>
        <v>Admis</v>
      </c>
      <c r="J847" s="4" t="str">
        <f t="shared" si="53"/>
        <v>Eligible</v>
      </c>
      <c r="K847">
        <v>14.08</v>
      </c>
      <c r="L847" s="6" t="str">
        <f t="shared" si="54"/>
        <v>RAS</v>
      </c>
      <c r="M847" s="6" t="str">
        <f t="shared" si="55"/>
        <v>Hors Data</v>
      </c>
      <c r="N847" s="8" t="str" cm="1">
        <f t="array" ref="N847">_xlfn.IFS(H847&gt;=16,"Excellent",H847&gt;=14,"Très bien",H847&gt;=12,"Bien",H847&gt;=10,"Passable",TRUE,"Insuffisant")</f>
        <v>Bien</v>
      </c>
      <c r="O847">
        <v>0.91039999999999999</v>
      </c>
      <c r="P847">
        <v>130000</v>
      </c>
      <c r="Q847" s="2">
        <v>46024</v>
      </c>
    </row>
    <row r="848" spans="1:17" x14ac:dyDescent="0.45">
      <c r="A848" t="s">
        <v>1170</v>
      </c>
      <c r="B848" t="s">
        <v>751</v>
      </c>
      <c r="C848" t="s">
        <v>14</v>
      </c>
      <c r="D848" t="s">
        <v>47</v>
      </c>
      <c r="E848" t="s">
        <v>16</v>
      </c>
      <c r="F848">
        <v>11.3</v>
      </c>
      <c r="G848">
        <v>12.81</v>
      </c>
      <c r="H848">
        <v>17.8</v>
      </c>
      <c r="I848" s="4" t="str">
        <f t="shared" si="52"/>
        <v>Admis</v>
      </c>
      <c r="J848" s="4" t="str">
        <f t="shared" si="53"/>
        <v>Non eligible</v>
      </c>
      <c r="K848">
        <v>14.6</v>
      </c>
      <c r="L848" s="6" t="str">
        <f t="shared" si="54"/>
        <v>RAS</v>
      </c>
      <c r="M848" s="6" t="str">
        <f t="shared" si="55"/>
        <v>Data</v>
      </c>
      <c r="N848" s="8" t="str" cm="1">
        <f t="array" ref="N848">_xlfn.IFS(H848&gt;=16,"Excellent",H848&gt;=14,"Très bien",H848&gt;=12,"Bien",H848&gt;=10,"Passable",TRUE,"Insuffisant")</f>
        <v>Excellent</v>
      </c>
      <c r="O848">
        <v>0.83069999999999999</v>
      </c>
      <c r="P848">
        <v>110000</v>
      </c>
      <c r="Q848" s="2">
        <v>45669</v>
      </c>
    </row>
    <row r="849" spans="1:17" x14ac:dyDescent="0.45">
      <c r="A849" t="s">
        <v>1171</v>
      </c>
      <c r="B849" t="s">
        <v>351</v>
      </c>
      <c r="C849" t="s">
        <v>14</v>
      </c>
      <c r="D849" t="s">
        <v>28</v>
      </c>
      <c r="E849" t="s">
        <v>29</v>
      </c>
      <c r="F849">
        <v>16.309999999999999</v>
      </c>
      <c r="G849">
        <v>18.010000000000002</v>
      </c>
      <c r="H849">
        <v>14.07</v>
      </c>
      <c r="I849" s="4" t="str">
        <f t="shared" si="52"/>
        <v>Admis</v>
      </c>
      <c r="J849" s="4" t="str">
        <f t="shared" si="53"/>
        <v>Eligible</v>
      </c>
      <c r="K849">
        <v>10.7</v>
      </c>
      <c r="L849" s="6" t="str">
        <f t="shared" si="54"/>
        <v>RAS</v>
      </c>
      <c r="M849" s="6" t="str">
        <f t="shared" si="55"/>
        <v>Hors Data</v>
      </c>
      <c r="N849" s="8" t="str" cm="1">
        <f t="array" ref="N849">_xlfn.IFS(H849&gt;=16,"Excellent",H849&gt;=14,"Très bien",H849&gt;=12,"Bien",H849&gt;=10,"Passable",TRUE,"Insuffisant")</f>
        <v>Très bien</v>
      </c>
      <c r="O849">
        <v>0.86129999999999995</v>
      </c>
      <c r="P849">
        <v>90000</v>
      </c>
      <c r="Q849" s="2">
        <v>46205</v>
      </c>
    </row>
    <row r="850" spans="1:17" x14ac:dyDescent="0.45">
      <c r="A850" t="s">
        <v>1172</v>
      </c>
      <c r="B850" t="s">
        <v>943</v>
      </c>
      <c r="C850" t="s">
        <v>19</v>
      </c>
      <c r="D850" t="s">
        <v>35</v>
      </c>
      <c r="E850" t="s">
        <v>29</v>
      </c>
      <c r="F850">
        <v>8.91</v>
      </c>
      <c r="G850">
        <v>12.38</v>
      </c>
      <c r="H850">
        <v>16.3</v>
      </c>
      <c r="I850" s="4" t="str">
        <f t="shared" si="52"/>
        <v>Admis</v>
      </c>
      <c r="J850" s="4" t="str">
        <f t="shared" si="53"/>
        <v>Non eligible</v>
      </c>
      <c r="K850">
        <v>12.65</v>
      </c>
      <c r="L850" s="6" t="str">
        <f t="shared" si="54"/>
        <v>A surveiller</v>
      </c>
      <c r="M850" s="6" t="str">
        <f t="shared" si="55"/>
        <v>Hors Data</v>
      </c>
      <c r="N850" s="8" t="str" cm="1">
        <f t="array" ref="N850">_xlfn.IFS(H850&gt;=16,"Excellent",H850&gt;=14,"Très bien",H850&gt;=12,"Bien",H850&gt;=10,"Passable",TRUE,"Insuffisant")</f>
        <v>Excellent</v>
      </c>
      <c r="O850">
        <v>0.55000000000000004</v>
      </c>
      <c r="P850">
        <v>80000</v>
      </c>
      <c r="Q850" s="2">
        <v>45577</v>
      </c>
    </row>
    <row r="851" spans="1:17" x14ac:dyDescent="0.45">
      <c r="A851" t="s">
        <v>1173</v>
      </c>
      <c r="B851" t="s">
        <v>742</v>
      </c>
      <c r="C851" t="s">
        <v>19</v>
      </c>
      <c r="D851" t="s">
        <v>32</v>
      </c>
      <c r="E851" t="s">
        <v>29</v>
      </c>
      <c r="F851">
        <v>18.88</v>
      </c>
      <c r="G851">
        <v>16.09</v>
      </c>
      <c r="H851">
        <v>12.48</v>
      </c>
      <c r="I851" s="4" t="str">
        <f t="shared" si="52"/>
        <v>Admis</v>
      </c>
      <c r="J851" s="4" t="str">
        <f t="shared" si="53"/>
        <v>Non eligible</v>
      </c>
      <c r="K851">
        <v>15.13</v>
      </c>
      <c r="L851" s="6" t="str">
        <f t="shared" si="54"/>
        <v>RAS</v>
      </c>
      <c r="M851" s="6" t="str">
        <f t="shared" si="55"/>
        <v>Hors Data</v>
      </c>
      <c r="N851" s="8" t="str" cm="1">
        <f t="array" ref="N851">_xlfn.IFS(H851&gt;=16,"Excellent",H851&gt;=14,"Très bien",H851&gt;=12,"Bien",H851&gt;=10,"Passable",TRUE,"Insuffisant")</f>
        <v>Bien</v>
      </c>
      <c r="O851">
        <v>0.55000000000000004</v>
      </c>
      <c r="P851">
        <v>85000</v>
      </c>
      <c r="Q851" s="2">
        <v>45947</v>
      </c>
    </row>
    <row r="852" spans="1:17" x14ac:dyDescent="0.45">
      <c r="A852" t="s">
        <v>1174</v>
      </c>
      <c r="B852" t="s">
        <v>473</v>
      </c>
      <c r="C852" t="s">
        <v>19</v>
      </c>
      <c r="D852" t="s">
        <v>15</v>
      </c>
      <c r="E852" t="s">
        <v>29</v>
      </c>
      <c r="F852">
        <v>16.55</v>
      </c>
      <c r="G852">
        <v>19.16</v>
      </c>
      <c r="H852">
        <v>17.45</v>
      </c>
      <c r="I852" s="4" t="str">
        <f t="shared" si="52"/>
        <v>Admis</v>
      </c>
      <c r="J852" s="4" t="str">
        <f t="shared" si="53"/>
        <v>Eligible</v>
      </c>
      <c r="K852">
        <v>18.72</v>
      </c>
      <c r="L852" s="6" t="str">
        <f t="shared" si="54"/>
        <v>RAS</v>
      </c>
      <c r="M852" s="6" t="str">
        <f t="shared" si="55"/>
        <v>Hors Data</v>
      </c>
      <c r="N852" s="8" t="str" cm="1">
        <f t="array" ref="N852">_xlfn.IFS(H852&gt;=16,"Excellent",H852&gt;=14,"Très bien",H852&gt;=12,"Bien",H852&gt;=10,"Passable",TRUE,"Insuffisant")</f>
        <v>Excellent</v>
      </c>
      <c r="O852">
        <v>0.91310000000000002</v>
      </c>
      <c r="P852">
        <v>110000</v>
      </c>
      <c r="Q852" s="2">
        <v>45669</v>
      </c>
    </row>
    <row r="853" spans="1:17" x14ac:dyDescent="0.45">
      <c r="A853" t="s">
        <v>1175</v>
      </c>
      <c r="B853" t="s">
        <v>231</v>
      </c>
      <c r="C853" t="s">
        <v>19</v>
      </c>
      <c r="D853" t="s">
        <v>32</v>
      </c>
      <c r="E853" t="s">
        <v>42</v>
      </c>
      <c r="F853">
        <v>9.02</v>
      </c>
      <c r="G853">
        <v>16.54</v>
      </c>
      <c r="H853">
        <v>19.61</v>
      </c>
      <c r="I853" s="4" t="str">
        <f t="shared" si="52"/>
        <v>Admis</v>
      </c>
      <c r="J853" s="4" t="str">
        <f t="shared" si="53"/>
        <v>Non eligible</v>
      </c>
      <c r="K853">
        <v>13.57</v>
      </c>
      <c r="L853" s="6" t="str">
        <f t="shared" si="54"/>
        <v>A surveiller</v>
      </c>
      <c r="M853" s="6" t="str">
        <f t="shared" si="55"/>
        <v>Hors Data</v>
      </c>
      <c r="N853" s="8" t="str" cm="1">
        <f t="array" ref="N853">_xlfn.IFS(H853&gt;=16,"Excellent",H853&gt;=14,"Très bien",H853&gt;=12,"Bien",H853&gt;=10,"Passable",TRUE,"Insuffisant")</f>
        <v>Excellent</v>
      </c>
      <c r="O853">
        <v>0.95920000000000005</v>
      </c>
      <c r="P853">
        <v>75000</v>
      </c>
      <c r="Q853" s="2">
        <v>46001</v>
      </c>
    </row>
    <row r="854" spans="1:17" x14ac:dyDescent="0.45">
      <c r="A854" t="s">
        <v>1176</v>
      </c>
      <c r="B854" t="s">
        <v>402</v>
      </c>
      <c r="C854" t="s">
        <v>19</v>
      </c>
      <c r="D854" t="s">
        <v>15</v>
      </c>
      <c r="E854" t="s">
        <v>29</v>
      </c>
      <c r="F854">
        <v>12.02</v>
      </c>
      <c r="G854">
        <v>13.05</v>
      </c>
      <c r="H854">
        <v>13.04</v>
      </c>
      <c r="I854" s="4" t="str">
        <f t="shared" si="52"/>
        <v>Admis</v>
      </c>
      <c r="J854" s="4" t="str">
        <f t="shared" si="53"/>
        <v>Eligible</v>
      </c>
      <c r="K854">
        <v>12.14</v>
      </c>
      <c r="L854" s="6" t="str">
        <f t="shared" si="54"/>
        <v>RAS</v>
      </c>
      <c r="M854" s="6" t="str">
        <f t="shared" si="55"/>
        <v>Hors Data</v>
      </c>
      <c r="N854" s="8" t="str" cm="1">
        <f t="array" ref="N854">_xlfn.IFS(H854&gt;=16,"Excellent",H854&gt;=14,"Très bien",H854&gt;=12,"Bien",H854&gt;=10,"Passable",TRUE,"Insuffisant")</f>
        <v>Bien</v>
      </c>
      <c r="O854">
        <v>0.96989999999999998</v>
      </c>
      <c r="P854">
        <v>120000</v>
      </c>
      <c r="Q854" s="2">
        <v>45824</v>
      </c>
    </row>
    <row r="855" spans="1:17" x14ac:dyDescent="0.45">
      <c r="A855" t="s">
        <v>1177</v>
      </c>
      <c r="B855" t="s">
        <v>1178</v>
      </c>
      <c r="C855" t="s">
        <v>14</v>
      </c>
      <c r="D855" t="s">
        <v>47</v>
      </c>
      <c r="E855" t="s">
        <v>29</v>
      </c>
      <c r="F855">
        <v>9.0399999999999991</v>
      </c>
      <c r="G855">
        <v>10.44</v>
      </c>
      <c r="H855">
        <v>7.22</v>
      </c>
      <c r="I855" s="4" t="str">
        <f t="shared" si="52"/>
        <v>Non admis</v>
      </c>
      <c r="J855" s="4" t="str">
        <f t="shared" si="53"/>
        <v>Non eligible</v>
      </c>
      <c r="K855">
        <v>9.83</v>
      </c>
      <c r="L855" s="6" t="str">
        <f t="shared" si="54"/>
        <v>A surveiller</v>
      </c>
      <c r="M855" s="6" t="str">
        <f t="shared" si="55"/>
        <v>Hors Data</v>
      </c>
      <c r="N855" s="8" t="str" cm="1">
        <f t="array" ref="N855">_xlfn.IFS(H855&gt;=16,"Excellent",H855&gt;=14,"Très bien",H855&gt;=12,"Bien",H855&gt;=10,"Passable",TRUE,"Insuffisant")</f>
        <v>Insuffisant</v>
      </c>
      <c r="O855">
        <v>0.86260000000000003</v>
      </c>
      <c r="P855">
        <v>75000</v>
      </c>
      <c r="Q855" s="2">
        <v>45841</v>
      </c>
    </row>
    <row r="856" spans="1:17" x14ac:dyDescent="0.45">
      <c r="A856" t="s">
        <v>1179</v>
      </c>
      <c r="B856" t="s">
        <v>924</v>
      </c>
      <c r="C856" t="s">
        <v>14</v>
      </c>
      <c r="D856" t="s">
        <v>28</v>
      </c>
      <c r="E856" t="s">
        <v>21</v>
      </c>
      <c r="F856">
        <v>15.13</v>
      </c>
      <c r="G856">
        <v>20</v>
      </c>
      <c r="H856">
        <v>13.28</v>
      </c>
      <c r="I856" s="4" t="str">
        <f t="shared" si="52"/>
        <v>Admis</v>
      </c>
      <c r="J856" s="4" t="str">
        <f t="shared" si="53"/>
        <v>Eligible</v>
      </c>
      <c r="K856">
        <v>15.35</v>
      </c>
      <c r="L856" s="6" t="str">
        <f t="shared" si="54"/>
        <v>RAS</v>
      </c>
      <c r="M856" s="6" t="str">
        <f t="shared" si="55"/>
        <v>Hors Data</v>
      </c>
      <c r="N856" s="8" t="str" cm="1">
        <f t="array" ref="N856">_xlfn.IFS(H856&gt;=16,"Excellent",H856&gt;=14,"Très bien",H856&gt;=12,"Bien",H856&gt;=10,"Passable",TRUE,"Insuffisant")</f>
        <v>Bien</v>
      </c>
      <c r="O856">
        <v>0.8266</v>
      </c>
      <c r="P856">
        <v>60000</v>
      </c>
      <c r="Q856" s="2">
        <v>46006</v>
      </c>
    </row>
    <row r="857" spans="1:17" x14ac:dyDescent="0.45">
      <c r="A857" t="s">
        <v>1180</v>
      </c>
      <c r="B857" t="s">
        <v>906</v>
      </c>
      <c r="C857" t="s">
        <v>19</v>
      </c>
      <c r="D857" t="s">
        <v>28</v>
      </c>
      <c r="E857" t="s">
        <v>16</v>
      </c>
      <c r="F857">
        <v>18.489999999999998</v>
      </c>
      <c r="G857">
        <v>18.02</v>
      </c>
      <c r="H857">
        <v>19.5</v>
      </c>
      <c r="I857" s="4" t="str">
        <f t="shared" si="52"/>
        <v>Admis</v>
      </c>
      <c r="J857" s="4" t="str">
        <f t="shared" si="53"/>
        <v>Eligible</v>
      </c>
      <c r="K857">
        <v>14.38</v>
      </c>
      <c r="L857" s="6" t="str">
        <f t="shared" si="54"/>
        <v>RAS</v>
      </c>
      <c r="M857" s="6" t="str">
        <f t="shared" si="55"/>
        <v>Data</v>
      </c>
      <c r="N857" s="8" t="str" cm="1">
        <f t="array" ref="N857">_xlfn.IFS(H857&gt;=16,"Excellent",H857&gt;=14,"Très bien",H857&gt;=12,"Bien",H857&gt;=10,"Passable",TRUE,"Insuffisant")</f>
        <v>Excellent</v>
      </c>
      <c r="O857">
        <v>0.88739999999999997</v>
      </c>
      <c r="P857">
        <v>110000</v>
      </c>
      <c r="Q857" s="2">
        <v>46065</v>
      </c>
    </row>
    <row r="858" spans="1:17" x14ac:dyDescent="0.45">
      <c r="A858" t="s">
        <v>1181</v>
      </c>
      <c r="B858" t="s">
        <v>594</v>
      </c>
      <c r="C858" t="s">
        <v>14</v>
      </c>
      <c r="D858" t="s">
        <v>32</v>
      </c>
      <c r="E858" t="s">
        <v>29</v>
      </c>
      <c r="F858">
        <v>13.43</v>
      </c>
      <c r="G858">
        <v>15.96</v>
      </c>
      <c r="H858">
        <v>13.81</v>
      </c>
      <c r="I858" s="4" t="str">
        <f t="shared" si="52"/>
        <v>Admis</v>
      </c>
      <c r="J858" s="4" t="str">
        <f t="shared" si="53"/>
        <v>Non eligible</v>
      </c>
      <c r="K858">
        <v>20</v>
      </c>
      <c r="L858" s="6" t="str">
        <f t="shared" si="54"/>
        <v>RAS</v>
      </c>
      <c r="M858" s="6" t="str">
        <f t="shared" si="55"/>
        <v>Hors Data</v>
      </c>
      <c r="N858" s="8" t="str" cm="1">
        <f t="array" ref="N858">_xlfn.IFS(H858&gt;=16,"Excellent",H858&gt;=14,"Très bien",H858&gt;=12,"Bien",H858&gt;=10,"Passable",TRUE,"Insuffisant")</f>
        <v>Bien</v>
      </c>
      <c r="O858">
        <v>0.57750000000000001</v>
      </c>
      <c r="P858">
        <v>100000</v>
      </c>
      <c r="Q858" s="2">
        <v>45802</v>
      </c>
    </row>
    <row r="859" spans="1:17" x14ac:dyDescent="0.45">
      <c r="A859" t="s">
        <v>1182</v>
      </c>
      <c r="B859" t="s">
        <v>673</v>
      </c>
      <c r="C859" t="s">
        <v>14</v>
      </c>
      <c r="D859" t="s">
        <v>32</v>
      </c>
      <c r="E859" t="s">
        <v>16</v>
      </c>
      <c r="F859">
        <v>8.16</v>
      </c>
      <c r="G859">
        <v>11.81</v>
      </c>
      <c r="H859">
        <v>11.03</v>
      </c>
      <c r="I859" s="4" t="str">
        <f t="shared" si="52"/>
        <v>Admis</v>
      </c>
      <c r="J859" s="4" t="str">
        <f t="shared" si="53"/>
        <v>Non eligible</v>
      </c>
      <c r="K859">
        <v>8.56</v>
      </c>
      <c r="L859" s="6" t="str">
        <f t="shared" si="54"/>
        <v>A surveiller</v>
      </c>
      <c r="M859" s="6" t="str">
        <f t="shared" si="55"/>
        <v>Data</v>
      </c>
      <c r="N859" s="8" t="str" cm="1">
        <f t="array" ref="N859">_xlfn.IFS(H859&gt;=16,"Excellent",H859&gt;=14,"Très bien",H859&gt;=12,"Bien",H859&gt;=10,"Passable",TRUE,"Insuffisant")</f>
        <v>Passable</v>
      </c>
      <c r="O859">
        <v>0.82110000000000005</v>
      </c>
      <c r="P859">
        <v>75000</v>
      </c>
      <c r="Q859" s="2">
        <v>46234</v>
      </c>
    </row>
    <row r="860" spans="1:17" x14ac:dyDescent="0.45">
      <c r="A860" t="s">
        <v>1183</v>
      </c>
      <c r="B860" t="s">
        <v>37</v>
      </c>
      <c r="C860" t="s">
        <v>19</v>
      </c>
      <c r="D860" t="s">
        <v>20</v>
      </c>
      <c r="E860" t="s">
        <v>21</v>
      </c>
      <c r="F860">
        <v>15.23</v>
      </c>
      <c r="G860">
        <v>18.670000000000002</v>
      </c>
      <c r="H860">
        <v>12.87</v>
      </c>
      <c r="I860" s="4" t="str">
        <f t="shared" si="52"/>
        <v>Admis</v>
      </c>
      <c r="J860" s="4" t="str">
        <f t="shared" si="53"/>
        <v>Eligible</v>
      </c>
      <c r="K860">
        <v>15.14</v>
      </c>
      <c r="L860" s="6" t="str">
        <f t="shared" si="54"/>
        <v>RAS</v>
      </c>
      <c r="M860" s="6" t="str">
        <f t="shared" si="55"/>
        <v>Hors Data</v>
      </c>
      <c r="N860" s="8" t="str" cm="1">
        <f t="array" ref="N860">_xlfn.IFS(H860&gt;=16,"Excellent",H860&gt;=14,"Très bien",H860&gt;=12,"Bien",H860&gt;=10,"Passable",TRUE,"Insuffisant")</f>
        <v>Bien</v>
      </c>
      <c r="O860">
        <v>0.97829999999999995</v>
      </c>
      <c r="P860">
        <v>100000</v>
      </c>
      <c r="Q860" s="2">
        <v>45884</v>
      </c>
    </row>
    <row r="861" spans="1:17" x14ac:dyDescent="0.45">
      <c r="A861" t="s">
        <v>1184</v>
      </c>
      <c r="B861" t="s">
        <v>46</v>
      </c>
      <c r="C861" t="s">
        <v>19</v>
      </c>
      <c r="D861" t="s">
        <v>32</v>
      </c>
      <c r="E861" t="s">
        <v>16</v>
      </c>
      <c r="F861">
        <v>15.98</v>
      </c>
      <c r="G861">
        <v>14.99</v>
      </c>
      <c r="H861">
        <v>19.53</v>
      </c>
      <c r="I861" s="4" t="str">
        <f t="shared" si="52"/>
        <v>Admis</v>
      </c>
      <c r="J861" s="4" t="str">
        <f t="shared" si="53"/>
        <v>Eligible</v>
      </c>
      <c r="K861">
        <v>16.57</v>
      </c>
      <c r="L861" s="6" t="str">
        <f t="shared" si="54"/>
        <v>RAS</v>
      </c>
      <c r="M861" s="6" t="str">
        <f t="shared" si="55"/>
        <v>Data</v>
      </c>
      <c r="N861" s="8" t="str" cm="1">
        <f t="array" ref="N861">_xlfn.IFS(H861&gt;=16,"Excellent",H861&gt;=14,"Très bien",H861&gt;=12,"Bien",H861&gt;=10,"Passable",TRUE,"Insuffisant")</f>
        <v>Excellent</v>
      </c>
      <c r="O861">
        <v>0.85309999999999997</v>
      </c>
      <c r="P861">
        <v>110000</v>
      </c>
      <c r="Q861" s="2">
        <v>45648</v>
      </c>
    </row>
    <row r="862" spans="1:17" x14ac:dyDescent="0.45">
      <c r="A862" t="s">
        <v>1185</v>
      </c>
      <c r="B862" t="s">
        <v>645</v>
      </c>
      <c r="C862" t="s">
        <v>19</v>
      </c>
      <c r="D862" t="s">
        <v>47</v>
      </c>
      <c r="E862" t="s">
        <v>21</v>
      </c>
      <c r="F862">
        <v>17.100000000000001</v>
      </c>
      <c r="G862">
        <v>17.649999999999999</v>
      </c>
      <c r="H862">
        <v>20</v>
      </c>
      <c r="I862" s="4" t="str">
        <f t="shared" si="52"/>
        <v>Admis</v>
      </c>
      <c r="J862" s="4" t="str">
        <f t="shared" si="53"/>
        <v>Eligible</v>
      </c>
      <c r="K862">
        <v>18.350000000000001</v>
      </c>
      <c r="L862" s="6" t="str">
        <f t="shared" si="54"/>
        <v>RAS</v>
      </c>
      <c r="M862" s="6" t="str">
        <f t="shared" si="55"/>
        <v>Hors Data</v>
      </c>
      <c r="N862" s="8" t="str" cm="1">
        <f t="array" ref="N862">_xlfn.IFS(H862&gt;=16,"Excellent",H862&gt;=14,"Très bien",H862&gt;=12,"Bien",H862&gt;=10,"Passable",TRUE,"Insuffisant")</f>
        <v>Excellent</v>
      </c>
      <c r="O862">
        <v>0.83660000000000001</v>
      </c>
      <c r="P862">
        <v>110000</v>
      </c>
      <c r="Q862" s="2">
        <v>45540</v>
      </c>
    </row>
    <row r="863" spans="1:17" x14ac:dyDescent="0.45">
      <c r="A863" t="s">
        <v>1186</v>
      </c>
      <c r="B863" t="s">
        <v>336</v>
      </c>
      <c r="C863" t="s">
        <v>19</v>
      </c>
      <c r="D863" t="s">
        <v>47</v>
      </c>
      <c r="E863" t="s">
        <v>16</v>
      </c>
      <c r="F863">
        <v>13.75</v>
      </c>
      <c r="G863">
        <v>8.06</v>
      </c>
      <c r="H863">
        <v>11.18</v>
      </c>
      <c r="I863" s="4" t="str">
        <f t="shared" si="52"/>
        <v>Admis</v>
      </c>
      <c r="J863" s="4" t="str">
        <f t="shared" si="53"/>
        <v>Non eligible</v>
      </c>
      <c r="K863">
        <v>10.53</v>
      </c>
      <c r="L863" s="6" t="str">
        <f t="shared" si="54"/>
        <v>RAS</v>
      </c>
      <c r="M863" s="6" t="str">
        <f t="shared" si="55"/>
        <v>Data</v>
      </c>
      <c r="N863" s="8" t="str" cm="1">
        <f t="array" ref="N863">_xlfn.IFS(H863&gt;=16,"Excellent",H863&gt;=14,"Très bien",H863&gt;=12,"Bien",H863&gt;=10,"Passable",TRUE,"Insuffisant")</f>
        <v>Passable</v>
      </c>
      <c r="O863">
        <v>0.8891</v>
      </c>
      <c r="P863">
        <v>130000</v>
      </c>
      <c r="Q863" s="2">
        <v>45677</v>
      </c>
    </row>
    <row r="864" spans="1:17" x14ac:dyDescent="0.45">
      <c r="A864" t="s">
        <v>1187</v>
      </c>
      <c r="B864" t="s">
        <v>1068</v>
      </c>
      <c r="C864" t="s">
        <v>14</v>
      </c>
      <c r="D864" t="s">
        <v>35</v>
      </c>
      <c r="E864" t="s">
        <v>29</v>
      </c>
      <c r="F864">
        <v>11</v>
      </c>
      <c r="G864">
        <v>10.66</v>
      </c>
      <c r="H864">
        <v>10.53</v>
      </c>
      <c r="I864" s="4" t="str">
        <f t="shared" si="52"/>
        <v>Admis</v>
      </c>
      <c r="J864" s="4" t="str">
        <f t="shared" si="53"/>
        <v>Non eligible</v>
      </c>
      <c r="K864">
        <v>12.36</v>
      </c>
      <c r="L864" s="6" t="str">
        <f t="shared" si="54"/>
        <v>RAS</v>
      </c>
      <c r="M864" s="6" t="str">
        <f t="shared" si="55"/>
        <v>Hors Data</v>
      </c>
      <c r="N864" s="8" t="str" cm="1">
        <f t="array" ref="N864">_xlfn.IFS(H864&gt;=16,"Excellent",H864&gt;=14,"Très bien",H864&gt;=12,"Bien",H864&gt;=10,"Passable",TRUE,"Insuffisant")</f>
        <v>Passable</v>
      </c>
      <c r="O864">
        <v>0.99199999999999999</v>
      </c>
      <c r="P864">
        <v>120000</v>
      </c>
      <c r="Q864" s="2">
        <v>46019</v>
      </c>
    </row>
    <row r="865" spans="1:17" x14ac:dyDescent="0.45">
      <c r="A865" t="s">
        <v>1188</v>
      </c>
      <c r="B865" t="s">
        <v>661</v>
      </c>
      <c r="C865" t="s">
        <v>19</v>
      </c>
      <c r="D865" t="s">
        <v>15</v>
      </c>
      <c r="E865" t="s">
        <v>42</v>
      </c>
      <c r="F865">
        <v>16.28</v>
      </c>
      <c r="G865">
        <v>14.85</v>
      </c>
      <c r="H865">
        <v>19.170000000000002</v>
      </c>
      <c r="I865" s="4" t="str">
        <f t="shared" si="52"/>
        <v>Admis</v>
      </c>
      <c r="J865" s="4" t="str">
        <f t="shared" si="53"/>
        <v>Non eligible</v>
      </c>
      <c r="K865">
        <v>14.98</v>
      </c>
      <c r="L865" s="6" t="str">
        <f t="shared" si="54"/>
        <v>RAS</v>
      </c>
      <c r="M865" s="6" t="str">
        <f t="shared" si="55"/>
        <v>Hors Data</v>
      </c>
      <c r="N865" s="8" t="str" cm="1">
        <f t="array" ref="N865">_xlfn.IFS(H865&gt;=16,"Excellent",H865&gt;=14,"Très bien",H865&gt;=12,"Bien",H865&gt;=10,"Passable",TRUE,"Insuffisant")</f>
        <v>Excellent</v>
      </c>
      <c r="O865">
        <v>0.71740000000000004</v>
      </c>
      <c r="P865">
        <v>80000</v>
      </c>
      <c r="Q865" s="2">
        <v>45913</v>
      </c>
    </row>
    <row r="866" spans="1:17" x14ac:dyDescent="0.45">
      <c r="A866" t="s">
        <v>1189</v>
      </c>
      <c r="B866" t="s">
        <v>71</v>
      </c>
      <c r="C866" t="s">
        <v>19</v>
      </c>
      <c r="D866" t="s">
        <v>47</v>
      </c>
      <c r="E866" t="s">
        <v>21</v>
      </c>
      <c r="F866">
        <v>13.81</v>
      </c>
      <c r="G866">
        <v>13.94</v>
      </c>
      <c r="H866">
        <v>13.06</v>
      </c>
      <c r="I866" s="4" t="str">
        <f t="shared" si="52"/>
        <v>Admis</v>
      </c>
      <c r="J866" s="4" t="str">
        <f t="shared" si="53"/>
        <v>Eligible</v>
      </c>
      <c r="K866">
        <v>11.11</v>
      </c>
      <c r="L866" s="6" t="str">
        <f t="shared" si="54"/>
        <v>RAS</v>
      </c>
      <c r="M866" s="6" t="str">
        <f t="shared" si="55"/>
        <v>Hors Data</v>
      </c>
      <c r="N866" s="8" t="str" cm="1">
        <f t="array" ref="N866">_xlfn.IFS(H866&gt;=16,"Excellent",H866&gt;=14,"Très bien",H866&gt;=12,"Bien",H866&gt;=10,"Passable",TRUE,"Insuffisant")</f>
        <v>Bien</v>
      </c>
      <c r="O866">
        <v>0.81459999999999999</v>
      </c>
      <c r="P866">
        <v>70000</v>
      </c>
      <c r="Q866" s="2">
        <v>45772</v>
      </c>
    </row>
    <row r="867" spans="1:17" x14ac:dyDescent="0.45">
      <c r="A867" t="s">
        <v>1190</v>
      </c>
      <c r="B867" t="s">
        <v>198</v>
      </c>
      <c r="C867" t="s">
        <v>19</v>
      </c>
      <c r="D867" t="s">
        <v>35</v>
      </c>
      <c r="E867" t="s">
        <v>16</v>
      </c>
      <c r="F867">
        <v>6.95</v>
      </c>
      <c r="G867">
        <v>14.66</v>
      </c>
      <c r="H867">
        <v>8.14</v>
      </c>
      <c r="I867" s="4" t="str">
        <f t="shared" si="52"/>
        <v>Non admis</v>
      </c>
      <c r="J867" s="4" t="str">
        <f t="shared" si="53"/>
        <v>Non eligible</v>
      </c>
      <c r="K867">
        <v>15</v>
      </c>
      <c r="L867" s="6" t="str">
        <f t="shared" si="54"/>
        <v>A surveiller</v>
      </c>
      <c r="M867" s="6" t="str">
        <f t="shared" si="55"/>
        <v>Data</v>
      </c>
      <c r="N867" s="8" t="str" cm="1">
        <f t="array" ref="N867">_xlfn.IFS(H867&gt;=16,"Excellent",H867&gt;=14,"Très bien",H867&gt;=12,"Bien",H867&gt;=10,"Passable",TRUE,"Insuffisant")</f>
        <v>Insuffisant</v>
      </c>
      <c r="O867">
        <v>0.88529999999999998</v>
      </c>
      <c r="P867">
        <v>60000</v>
      </c>
      <c r="Q867" s="2">
        <v>45872</v>
      </c>
    </row>
    <row r="868" spans="1:17" x14ac:dyDescent="0.45">
      <c r="A868" t="s">
        <v>1191</v>
      </c>
      <c r="B868" t="s">
        <v>409</v>
      </c>
      <c r="C868" t="s">
        <v>19</v>
      </c>
      <c r="D868" t="s">
        <v>47</v>
      </c>
      <c r="E868" t="s">
        <v>16</v>
      </c>
      <c r="F868">
        <v>11.76</v>
      </c>
      <c r="G868">
        <v>16.239999999999998</v>
      </c>
      <c r="H868">
        <v>10.98</v>
      </c>
      <c r="I868" s="4" t="str">
        <f t="shared" si="52"/>
        <v>Admis</v>
      </c>
      <c r="J868" s="4" t="str">
        <f t="shared" si="53"/>
        <v>Non eligible</v>
      </c>
      <c r="K868">
        <v>14.08</v>
      </c>
      <c r="L868" s="6" t="str">
        <f t="shared" si="54"/>
        <v>RAS</v>
      </c>
      <c r="M868" s="6" t="str">
        <f t="shared" si="55"/>
        <v>Data</v>
      </c>
      <c r="N868" s="8" t="str" cm="1">
        <f t="array" ref="N868">_xlfn.IFS(H868&gt;=16,"Excellent",H868&gt;=14,"Très bien",H868&gt;=12,"Bien",H868&gt;=10,"Passable",TRUE,"Insuffisant")</f>
        <v>Passable</v>
      </c>
      <c r="O868">
        <v>0.9496</v>
      </c>
      <c r="P868">
        <v>90000</v>
      </c>
      <c r="Q868" s="2">
        <v>46122</v>
      </c>
    </row>
    <row r="869" spans="1:17" x14ac:dyDescent="0.45">
      <c r="A869" t="s">
        <v>1192</v>
      </c>
      <c r="B869" t="s">
        <v>274</v>
      </c>
      <c r="C869" t="s">
        <v>19</v>
      </c>
      <c r="D869" t="s">
        <v>15</v>
      </c>
      <c r="E869" t="s">
        <v>21</v>
      </c>
      <c r="F869">
        <v>15.15</v>
      </c>
      <c r="G869">
        <v>13.51</v>
      </c>
      <c r="H869">
        <v>13.9</v>
      </c>
      <c r="I869" s="4" t="str">
        <f t="shared" si="52"/>
        <v>Admis</v>
      </c>
      <c r="J869" s="4" t="str">
        <f t="shared" si="53"/>
        <v>Non eligible</v>
      </c>
      <c r="K869">
        <v>16.329999999999998</v>
      </c>
      <c r="L869" s="6" t="str">
        <f t="shared" si="54"/>
        <v>RAS</v>
      </c>
      <c r="M869" s="6" t="str">
        <f t="shared" si="55"/>
        <v>Hors Data</v>
      </c>
      <c r="N869" s="8" t="str" cm="1">
        <f t="array" ref="N869">_xlfn.IFS(H869&gt;=16,"Excellent",H869&gt;=14,"Très bien",H869&gt;=12,"Bien",H869&gt;=10,"Passable",TRUE,"Insuffisant")</f>
        <v>Bien</v>
      </c>
      <c r="O869">
        <v>0.7762</v>
      </c>
      <c r="P869">
        <v>100000</v>
      </c>
      <c r="Q869" s="2">
        <v>45936</v>
      </c>
    </row>
    <row r="870" spans="1:17" x14ac:dyDescent="0.45">
      <c r="A870" t="s">
        <v>1193</v>
      </c>
      <c r="B870" t="s">
        <v>486</v>
      </c>
      <c r="C870" t="s">
        <v>14</v>
      </c>
      <c r="D870" t="s">
        <v>47</v>
      </c>
      <c r="E870" t="s">
        <v>29</v>
      </c>
      <c r="F870">
        <v>18.100000000000001</v>
      </c>
      <c r="G870">
        <v>12.54</v>
      </c>
      <c r="H870">
        <v>10.75</v>
      </c>
      <c r="I870" s="4" t="str">
        <f t="shared" si="52"/>
        <v>Admis</v>
      </c>
      <c r="J870" s="4" t="str">
        <f t="shared" si="53"/>
        <v>Non eligible</v>
      </c>
      <c r="K870">
        <v>12.91</v>
      </c>
      <c r="L870" s="6" t="str">
        <f t="shared" si="54"/>
        <v>RAS</v>
      </c>
      <c r="M870" s="6" t="str">
        <f t="shared" si="55"/>
        <v>Hors Data</v>
      </c>
      <c r="N870" s="8" t="str" cm="1">
        <f t="array" ref="N870">_xlfn.IFS(H870&gt;=16,"Excellent",H870&gt;=14,"Très bien",H870&gt;=12,"Bien",H870&gt;=10,"Passable",TRUE,"Insuffisant")</f>
        <v>Passable</v>
      </c>
      <c r="O870">
        <v>0.78990000000000005</v>
      </c>
      <c r="P870">
        <v>100000</v>
      </c>
      <c r="Q870" s="2">
        <v>45576</v>
      </c>
    </row>
    <row r="871" spans="1:17" x14ac:dyDescent="0.45">
      <c r="A871" t="s">
        <v>1194</v>
      </c>
      <c r="B871" t="s">
        <v>39</v>
      </c>
      <c r="C871" t="s">
        <v>14</v>
      </c>
      <c r="D871" t="s">
        <v>20</v>
      </c>
      <c r="E871" t="s">
        <v>16</v>
      </c>
      <c r="F871">
        <v>15.39</v>
      </c>
      <c r="G871">
        <v>17.54</v>
      </c>
      <c r="H871">
        <v>12.94</v>
      </c>
      <c r="I871" s="4" t="str">
        <f t="shared" si="52"/>
        <v>Admis</v>
      </c>
      <c r="J871" s="4" t="str">
        <f t="shared" si="53"/>
        <v>Eligible</v>
      </c>
      <c r="K871">
        <v>13.23</v>
      </c>
      <c r="L871" s="6" t="str">
        <f t="shared" si="54"/>
        <v>RAS</v>
      </c>
      <c r="M871" s="6" t="str">
        <f t="shared" si="55"/>
        <v>Data</v>
      </c>
      <c r="N871" s="8" t="str" cm="1">
        <f t="array" ref="N871">_xlfn.IFS(H871&gt;=16,"Excellent",H871&gt;=14,"Très bien",H871&gt;=12,"Bien",H871&gt;=10,"Passable",TRUE,"Insuffisant")</f>
        <v>Bien</v>
      </c>
      <c r="O871">
        <v>0.86750000000000005</v>
      </c>
      <c r="P871">
        <v>50000</v>
      </c>
      <c r="Q871" s="2">
        <v>45570</v>
      </c>
    </row>
    <row r="872" spans="1:17" x14ac:dyDescent="0.45">
      <c r="A872" t="s">
        <v>1195</v>
      </c>
      <c r="B872" t="s">
        <v>558</v>
      </c>
      <c r="C872" t="s">
        <v>14</v>
      </c>
      <c r="D872" t="s">
        <v>20</v>
      </c>
      <c r="E872" t="s">
        <v>42</v>
      </c>
      <c r="F872">
        <v>8.98</v>
      </c>
      <c r="G872">
        <v>15.65</v>
      </c>
      <c r="H872">
        <v>14.61</v>
      </c>
      <c r="I872" s="4" t="str">
        <f t="shared" si="52"/>
        <v>Admis</v>
      </c>
      <c r="J872" s="4" t="str">
        <f t="shared" si="53"/>
        <v>Non eligible</v>
      </c>
      <c r="K872">
        <v>11.67</v>
      </c>
      <c r="L872" s="6" t="str">
        <f t="shared" si="54"/>
        <v>A surveiller</v>
      </c>
      <c r="M872" s="6" t="str">
        <f t="shared" si="55"/>
        <v>Hors Data</v>
      </c>
      <c r="N872" s="8" t="str" cm="1">
        <f t="array" ref="N872">_xlfn.IFS(H872&gt;=16,"Excellent",H872&gt;=14,"Très bien",H872&gt;=12,"Bien",H872&gt;=10,"Passable",TRUE,"Insuffisant")</f>
        <v>Très bien</v>
      </c>
      <c r="O872">
        <v>0.97450000000000003</v>
      </c>
      <c r="P872">
        <v>100000</v>
      </c>
      <c r="Q872" s="2">
        <v>45873</v>
      </c>
    </row>
    <row r="873" spans="1:17" x14ac:dyDescent="0.45">
      <c r="A873" t="s">
        <v>1196</v>
      </c>
      <c r="B873" t="s">
        <v>569</v>
      </c>
      <c r="C873" t="s">
        <v>14</v>
      </c>
      <c r="D873" t="s">
        <v>20</v>
      </c>
      <c r="E873" t="s">
        <v>16</v>
      </c>
      <c r="F873">
        <v>10.8</v>
      </c>
      <c r="G873">
        <v>18.100000000000001</v>
      </c>
      <c r="H873">
        <v>17.010000000000002</v>
      </c>
      <c r="I873" s="4" t="str">
        <f t="shared" si="52"/>
        <v>Admis</v>
      </c>
      <c r="J873" s="4" t="str">
        <f t="shared" si="53"/>
        <v>Non eligible</v>
      </c>
      <c r="K873">
        <v>14.13</v>
      </c>
      <c r="L873" s="6" t="str">
        <f t="shared" si="54"/>
        <v>RAS</v>
      </c>
      <c r="M873" s="6" t="str">
        <f t="shared" si="55"/>
        <v>Data</v>
      </c>
      <c r="N873" s="8" t="str" cm="1">
        <f t="array" ref="N873">_xlfn.IFS(H873&gt;=16,"Excellent",H873&gt;=14,"Très bien",H873&gt;=12,"Bien",H873&gt;=10,"Passable",TRUE,"Insuffisant")</f>
        <v>Excellent</v>
      </c>
      <c r="O873">
        <v>0.97970000000000002</v>
      </c>
      <c r="P873">
        <v>110000</v>
      </c>
      <c r="Q873" s="2">
        <v>45818</v>
      </c>
    </row>
    <row r="874" spans="1:17" x14ac:dyDescent="0.45">
      <c r="A874" t="s">
        <v>1197</v>
      </c>
      <c r="B874" t="s">
        <v>1198</v>
      </c>
      <c r="C874" t="s">
        <v>14</v>
      </c>
      <c r="D874" t="s">
        <v>32</v>
      </c>
      <c r="E874" t="s">
        <v>21</v>
      </c>
      <c r="F874">
        <v>12.59</v>
      </c>
      <c r="G874">
        <v>10.4</v>
      </c>
      <c r="H874">
        <v>11.96</v>
      </c>
      <c r="I874" s="4" t="str">
        <f t="shared" si="52"/>
        <v>Admis</v>
      </c>
      <c r="J874" s="4" t="str">
        <f t="shared" si="53"/>
        <v>Non eligible</v>
      </c>
      <c r="K874">
        <v>10.52</v>
      </c>
      <c r="L874" s="6" t="str">
        <f t="shared" si="54"/>
        <v>RAS</v>
      </c>
      <c r="M874" s="6" t="str">
        <f t="shared" si="55"/>
        <v>Hors Data</v>
      </c>
      <c r="N874" s="8" t="str" cm="1">
        <f t="array" ref="N874">_xlfn.IFS(H874&gt;=16,"Excellent",H874&gt;=14,"Très bien",H874&gt;=12,"Bien",H874&gt;=10,"Passable",TRUE,"Insuffisant")</f>
        <v>Passable</v>
      </c>
      <c r="O874">
        <v>0.92959999999999998</v>
      </c>
      <c r="P874">
        <v>100000</v>
      </c>
      <c r="Q874" s="2">
        <v>46131</v>
      </c>
    </row>
    <row r="875" spans="1:17" x14ac:dyDescent="0.45">
      <c r="A875" t="s">
        <v>1199</v>
      </c>
      <c r="B875" t="s">
        <v>731</v>
      </c>
      <c r="C875" t="s">
        <v>14</v>
      </c>
      <c r="D875" t="s">
        <v>32</v>
      </c>
      <c r="E875" t="s">
        <v>21</v>
      </c>
      <c r="F875">
        <v>11.64</v>
      </c>
      <c r="G875">
        <v>14.73</v>
      </c>
      <c r="H875">
        <v>10.46</v>
      </c>
      <c r="I875" s="4" t="str">
        <f t="shared" si="52"/>
        <v>Admis</v>
      </c>
      <c r="J875" s="4" t="str">
        <f t="shared" si="53"/>
        <v>Non eligible</v>
      </c>
      <c r="K875">
        <v>10.86</v>
      </c>
      <c r="L875" s="6" t="str">
        <f t="shared" si="54"/>
        <v>RAS</v>
      </c>
      <c r="M875" s="6" t="str">
        <f t="shared" si="55"/>
        <v>Hors Data</v>
      </c>
      <c r="N875" s="8" t="str" cm="1">
        <f t="array" ref="N875">_xlfn.IFS(H875&gt;=16,"Excellent",H875&gt;=14,"Très bien",H875&gt;=12,"Bien",H875&gt;=10,"Passable",TRUE,"Insuffisant")</f>
        <v>Passable</v>
      </c>
      <c r="O875">
        <v>0.6784</v>
      </c>
      <c r="P875">
        <v>85000</v>
      </c>
      <c r="Q875" s="2">
        <v>45944</v>
      </c>
    </row>
    <row r="876" spans="1:17" x14ac:dyDescent="0.45">
      <c r="A876" t="s">
        <v>1200</v>
      </c>
      <c r="B876" t="s">
        <v>311</v>
      </c>
      <c r="C876" t="s">
        <v>19</v>
      </c>
      <c r="D876" t="s">
        <v>35</v>
      </c>
      <c r="E876" t="s">
        <v>21</v>
      </c>
      <c r="F876">
        <v>16.04</v>
      </c>
      <c r="G876">
        <v>11.75</v>
      </c>
      <c r="H876">
        <v>13.87</v>
      </c>
      <c r="I876" s="4" t="str">
        <f t="shared" si="52"/>
        <v>Admis</v>
      </c>
      <c r="J876" s="4" t="str">
        <f t="shared" si="53"/>
        <v>Non eligible</v>
      </c>
      <c r="K876">
        <v>16.010000000000002</v>
      </c>
      <c r="L876" s="6" t="str">
        <f t="shared" si="54"/>
        <v>RAS</v>
      </c>
      <c r="M876" s="6" t="str">
        <f t="shared" si="55"/>
        <v>Hors Data</v>
      </c>
      <c r="N876" s="8" t="str" cm="1">
        <f t="array" ref="N876">_xlfn.IFS(H876&gt;=16,"Excellent",H876&gt;=14,"Très bien",H876&gt;=12,"Bien",H876&gt;=10,"Passable",TRUE,"Insuffisant")</f>
        <v>Bien</v>
      </c>
      <c r="O876">
        <v>0.68859999999999999</v>
      </c>
      <c r="P876">
        <v>50000</v>
      </c>
      <c r="Q876" s="2">
        <v>46065</v>
      </c>
    </row>
    <row r="877" spans="1:17" x14ac:dyDescent="0.45">
      <c r="A877" t="s">
        <v>1201</v>
      </c>
      <c r="B877" t="s">
        <v>771</v>
      </c>
      <c r="C877" t="s">
        <v>19</v>
      </c>
      <c r="D877" t="s">
        <v>20</v>
      </c>
      <c r="E877" t="s">
        <v>29</v>
      </c>
      <c r="F877">
        <v>14.02</v>
      </c>
      <c r="G877">
        <v>17.22</v>
      </c>
      <c r="H877">
        <v>20</v>
      </c>
      <c r="I877" s="4" t="str">
        <f t="shared" si="52"/>
        <v>Admis</v>
      </c>
      <c r="J877" s="4" t="str">
        <f t="shared" si="53"/>
        <v>Eligible</v>
      </c>
      <c r="K877">
        <v>13.23</v>
      </c>
      <c r="L877" s="6" t="str">
        <f t="shared" si="54"/>
        <v>RAS</v>
      </c>
      <c r="M877" s="6" t="str">
        <f t="shared" si="55"/>
        <v>Hors Data</v>
      </c>
      <c r="N877" s="8" t="str" cm="1">
        <f t="array" ref="N877">_xlfn.IFS(H877&gt;=16,"Excellent",H877&gt;=14,"Très bien",H877&gt;=12,"Bien",H877&gt;=10,"Passable",TRUE,"Insuffisant")</f>
        <v>Excellent</v>
      </c>
      <c r="O877">
        <v>0.92969999999999997</v>
      </c>
      <c r="P877">
        <v>85000</v>
      </c>
      <c r="Q877" s="2">
        <v>45945</v>
      </c>
    </row>
    <row r="878" spans="1:17" x14ac:dyDescent="0.45">
      <c r="A878" t="s">
        <v>1202</v>
      </c>
      <c r="B878" t="s">
        <v>49</v>
      </c>
      <c r="C878" t="s">
        <v>19</v>
      </c>
      <c r="D878" t="s">
        <v>47</v>
      </c>
      <c r="E878" t="s">
        <v>16</v>
      </c>
      <c r="F878">
        <v>10.08</v>
      </c>
      <c r="G878">
        <v>14.71</v>
      </c>
      <c r="H878">
        <v>8.74</v>
      </c>
      <c r="I878" s="4" t="str">
        <f t="shared" si="52"/>
        <v>Non admis</v>
      </c>
      <c r="J878" s="4" t="str">
        <f t="shared" si="53"/>
        <v>Non eligible</v>
      </c>
      <c r="K878">
        <v>7.94</v>
      </c>
      <c r="L878" s="6" t="str">
        <f t="shared" si="54"/>
        <v>A surveiller</v>
      </c>
      <c r="M878" s="6" t="str">
        <f t="shared" si="55"/>
        <v>Data</v>
      </c>
      <c r="N878" s="8" t="str" cm="1">
        <f t="array" ref="N878">_xlfn.IFS(H878&gt;=16,"Excellent",H878&gt;=14,"Très bien",H878&gt;=12,"Bien",H878&gt;=10,"Passable",TRUE,"Insuffisant")</f>
        <v>Insuffisant</v>
      </c>
      <c r="O878">
        <v>0.97289999999999999</v>
      </c>
      <c r="P878">
        <v>100000</v>
      </c>
      <c r="Q878" s="2">
        <v>45777</v>
      </c>
    </row>
    <row r="879" spans="1:17" x14ac:dyDescent="0.45">
      <c r="A879" t="s">
        <v>1203</v>
      </c>
      <c r="B879" t="s">
        <v>436</v>
      </c>
      <c r="C879" t="s">
        <v>19</v>
      </c>
      <c r="D879" t="s">
        <v>20</v>
      </c>
      <c r="E879" t="s">
        <v>29</v>
      </c>
      <c r="F879">
        <v>11.69</v>
      </c>
      <c r="G879">
        <v>10.68</v>
      </c>
      <c r="H879">
        <v>10.88</v>
      </c>
      <c r="I879" s="4" t="str">
        <f t="shared" si="52"/>
        <v>Admis</v>
      </c>
      <c r="J879" s="4" t="str">
        <f t="shared" si="53"/>
        <v>Non eligible</v>
      </c>
      <c r="K879">
        <v>7.75</v>
      </c>
      <c r="L879" s="6" t="str">
        <f t="shared" si="54"/>
        <v>RAS</v>
      </c>
      <c r="M879" s="6" t="str">
        <f t="shared" si="55"/>
        <v>Hors Data</v>
      </c>
      <c r="N879" s="8" t="str" cm="1">
        <f t="array" ref="N879">_xlfn.IFS(H879&gt;=16,"Excellent",H879&gt;=14,"Très bien",H879&gt;=12,"Bien",H879&gt;=10,"Passable",TRUE,"Insuffisant")</f>
        <v>Passable</v>
      </c>
      <c r="O879">
        <v>0.82310000000000005</v>
      </c>
      <c r="P879">
        <v>90000</v>
      </c>
      <c r="Q879" s="2">
        <v>45996</v>
      </c>
    </row>
    <row r="880" spans="1:17" x14ac:dyDescent="0.45">
      <c r="A880" t="s">
        <v>1204</v>
      </c>
      <c r="B880" t="s">
        <v>18</v>
      </c>
      <c r="C880" t="s">
        <v>19</v>
      </c>
      <c r="D880" t="s">
        <v>20</v>
      </c>
      <c r="E880" t="s">
        <v>29</v>
      </c>
      <c r="F880">
        <v>6.81</v>
      </c>
      <c r="G880">
        <v>6.49</v>
      </c>
      <c r="H880">
        <v>4.55</v>
      </c>
      <c r="I880" s="4" t="str">
        <f t="shared" si="52"/>
        <v>Non admis</v>
      </c>
      <c r="J880" s="4" t="str">
        <f t="shared" si="53"/>
        <v>Non eligible</v>
      </c>
      <c r="K880">
        <v>10.87</v>
      </c>
      <c r="L880" s="6" t="str">
        <f t="shared" si="54"/>
        <v>A surveiller</v>
      </c>
      <c r="M880" s="6" t="str">
        <f t="shared" si="55"/>
        <v>Hors Data</v>
      </c>
      <c r="N880" s="8" t="str" cm="1">
        <f t="array" ref="N880">_xlfn.IFS(H880&gt;=16,"Excellent",H880&gt;=14,"Très bien",H880&gt;=12,"Bien",H880&gt;=10,"Passable",TRUE,"Insuffisant")</f>
        <v>Insuffisant</v>
      </c>
      <c r="O880">
        <v>0.77610000000000001</v>
      </c>
      <c r="P880">
        <v>90000</v>
      </c>
      <c r="Q880" s="2">
        <v>45971</v>
      </c>
    </row>
    <row r="881" spans="1:17" x14ac:dyDescent="0.45">
      <c r="A881" t="s">
        <v>1205</v>
      </c>
      <c r="B881" t="s">
        <v>121</v>
      </c>
      <c r="C881" t="s">
        <v>19</v>
      </c>
      <c r="D881" t="s">
        <v>28</v>
      </c>
      <c r="E881" t="s">
        <v>21</v>
      </c>
      <c r="F881">
        <v>12.65</v>
      </c>
      <c r="G881">
        <v>14.89</v>
      </c>
      <c r="H881">
        <v>17.14</v>
      </c>
      <c r="I881" s="4" t="str">
        <f t="shared" si="52"/>
        <v>Admis</v>
      </c>
      <c r="J881" s="4" t="str">
        <f t="shared" si="53"/>
        <v>Eligible</v>
      </c>
      <c r="K881">
        <v>11.58</v>
      </c>
      <c r="L881" s="6" t="str">
        <f t="shared" si="54"/>
        <v>RAS</v>
      </c>
      <c r="M881" s="6" t="str">
        <f t="shared" si="55"/>
        <v>Hors Data</v>
      </c>
      <c r="N881" s="8" t="str" cm="1">
        <f t="array" ref="N881">_xlfn.IFS(H881&gt;=16,"Excellent",H881&gt;=14,"Très bien",H881&gt;=12,"Bien",H881&gt;=10,"Passable",TRUE,"Insuffisant")</f>
        <v>Excellent</v>
      </c>
      <c r="O881">
        <v>0.94079999999999997</v>
      </c>
      <c r="P881">
        <v>85000</v>
      </c>
      <c r="Q881" s="2">
        <v>46040</v>
      </c>
    </row>
    <row r="882" spans="1:17" x14ac:dyDescent="0.45">
      <c r="A882" t="s">
        <v>1206</v>
      </c>
      <c r="B882" t="s">
        <v>601</v>
      </c>
      <c r="C882" t="s">
        <v>14</v>
      </c>
      <c r="D882" t="s">
        <v>28</v>
      </c>
      <c r="E882" t="s">
        <v>42</v>
      </c>
      <c r="F882">
        <v>10.42</v>
      </c>
      <c r="G882">
        <v>9.73</v>
      </c>
      <c r="H882">
        <v>9.52</v>
      </c>
      <c r="I882" s="4" t="str">
        <f t="shared" si="52"/>
        <v>Non admis</v>
      </c>
      <c r="J882" s="4" t="str">
        <f t="shared" si="53"/>
        <v>Non eligible</v>
      </c>
      <c r="K882">
        <v>11.51</v>
      </c>
      <c r="L882" s="6" t="str">
        <f t="shared" si="54"/>
        <v>A surveiller</v>
      </c>
      <c r="M882" s="6" t="str">
        <f t="shared" si="55"/>
        <v>Hors Data</v>
      </c>
      <c r="N882" s="8" t="str" cm="1">
        <f t="array" ref="N882">_xlfn.IFS(H882&gt;=16,"Excellent",H882&gt;=14,"Très bien",H882&gt;=12,"Bien",H882&gt;=10,"Passable",TRUE,"Insuffisant")</f>
        <v>Insuffisant</v>
      </c>
      <c r="O882">
        <v>0.65229999999999999</v>
      </c>
      <c r="P882">
        <v>90000</v>
      </c>
      <c r="Q882" s="2">
        <v>45668</v>
      </c>
    </row>
    <row r="883" spans="1:17" x14ac:dyDescent="0.45">
      <c r="A883" t="s">
        <v>1207</v>
      </c>
      <c r="B883" t="s">
        <v>79</v>
      </c>
      <c r="C883" t="s">
        <v>19</v>
      </c>
      <c r="D883" t="s">
        <v>47</v>
      </c>
      <c r="E883" t="s">
        <v>21</v>
      </c>
      <c r="F883">
        <v>13.62</v>
      </c>
      <c r="G883">
        <v>9.76</v>
      </c>
      <c r="H883">
        <v>14.93</v>
      </c>
      <c r="I883" s="4" t="str">
        <f t="shared" si="52"/>
        <v>Admis</v>
      </c>
      <c r="J883" s="4" t="str">
        <f t="shared" si="53"/>
        <v>Non eligible</v>
      </c>
      <c r="K883">
        <v>14.46</v>
      </c>
      <c r="L883" s="6" t="str">
        <f t="shared" si="54"/>
        <v>RAS</v>
      </c>
      <c r="M883" s="6" t="str">
        <f t="shared" si="55"/>
        <v>Hors Data</v>
      </c>
      <c r="N883" s="8" t="str" cm="1">
        <f t="array" ref="N883">_xlfn.IFS(H883&gt;=16,"Excellent",H883&gt;=14,"Très bien",H883&gt;=12,"Bien",H883&gt;=10,"Passable",TRUE,"Insuffisant")</f>
        <v>Très bien</v>
      </c>
      <c r="O883">
        <v>0.55000000000000004</v>
      </c>
      <c r="P883">
        <v>75000</v>
      </c>
      <c r="Q883" s="2">
        <v>45985</v>
      </c>
    </row>
    <row r="884" spans="1:17" x14ac:dyDescent="0.45">
      <c r="A884" t="s">
        <v>1208</v>
      </c>
      <c r="B884" t="s">
        <v>827</v>
      </c>
      <c r="C884" t="s">
        <v>14</v>
      </c>
      <c r="D884" t="s">
        <v>47</v>
      </c>
      <c r="E884" t="s">
        <v>21</v>
      </c>
      <c r="F884">
        <v>15.32</v>
      </c>
      <c r="G884">
        <v>17.29</v>
      </c>
      <c r="H884">
        <v>15.28</v>
      </c>
      <c r="I884" s="4" t="str">
        <f t="shared" si="52"/>
        <v>Admis</v>
      </c>
      <c r="J884" s="4" t="str">
        <f t="shared" si="53"/>
        <v>Non eligible</v>
      </c>
      <c r="K884">
        <v>14.93</v>
      </c>
      <c r="L884" s="6" t="str">
        <f t="shared" si="54"/>
        <v>RAS</v>
      </c>
      <c r="M884" s="6" t="str">
        <f t="shared" si="55"/>
        <v>Hors Data</v>
      </c>
      <c r="N884" s="8" t="str" cm="1">
        <f t="array" ref="N884">_xlfn.IFS(H884&gt;=16,"Excellent",H884&gt;=14,"Très bien",H884&gt;=12,"Bien",H884&gt;=10,"Passable",TRUE,"Insuffisant")</f>
        <v>Très bien</v>
      </c>
      <c r="O884">
        <v>0.61939999999999995</v>
      </c>
      <c r="P884">
        <v>90000</v>
      </c>
      <c r="Q884" s="2">
        <v>45735</v>
      </c>
    </row>
    <row r="885" spans="1:17" x14ac:dyDescent="0.45">
      <c r="A885" t="s">
        <v>1209</v>
      </c>
      <c r="B885" t="s">
        <v>366</v>
      </c>
      <c r="C885" t="s">
        <v>14</v>
      </c>
      <c r="D885" t="s">
        <v>47</v>
      </c>
      <c r="E885" t="s">
        <v>42</v>
      </c>
      <c r="F885">
        <v>13.85</v>
      </c>
      <c r="G885">
        <v>14.56</v>
      </c>
      <c r="H885">
        <v>13.25</v>
      </c>
      <c r="I885" s="4" t="str">
        <f t="shared" si="52"/>
        <v>Admis</v>
      </c>
      <c r="J885" s="4" t="str">
        <f t="shared" si="53"/>
        <v>Non eligible</v>
      </c>
      <c r="K885">
        <v>8.57</v>
      </c>
      <c r="L885" s="6" t="str">
        <f t="shared" si="54"/>
        <v>RAS</v>
      </c>
      <c r="M885" s="6" t="str">
        <f t="shared" si="55"/>
        <v>Hors Data</v>
      </c>
      <c r="N885" s="8" t="str" cm="1">
        <f t="array" ref="N885">_xlfn.IFS(H885&gt;=16,"Excellent",H885&gt;=14,"Très bien",H885&gt;=12,"Bien",H885&gt;=10,"Passable",TRUE,"Insuffisant")</f>
        <v>Bien</v>
      </c>
      <c r="O885">
        <v>0.72609999999999997</v>
      </c>
      <c r="P885">
        <v>75000</v>
      </c>
      <c r="Q885" s="2">
        <v>46089</v>
      </c>
    </row>
    <row r="886" spans="1:17" x14ac:dyDescent="0.45">
      <c r="A886" t="s">
        <v>1210</v>
      </c>
      <c r="B886" t="s">
        <v>1028</v>
      </c>
      <c r="C886" t="s">
        <v>19</v>
      </c>
      <c r="D886" t="s">
        <v>47</v>
      </c>
      <c r="E886" t="s">
        <v>16</v>
      </c>
      <c r="F886">
        <v>13.13</v>
      </c>
      <c r="G886">
        <v>13.86</v>
      </c>
      <c r="H886">
        <v>15.82</v>
      </c>
      <c r="I886" s="4" t="str">
        <f t="shared" si="52"/>
        <v>Admis</v>
      </c>
      <c r="J886" s="4" t="str">
        <f t="shared" si="53"/>
        <v>Non eligible</v>
      </c>
      <c r="K886">
        <v>11.05</v>
      </c>
      <c r="L886" s="6" t="str">
        <f t="shared" si="54"/>
        <v>RAS</v>
      </c>
      <c r="M886" s="6" t="str">
        <f t="shared" si="55"/>
        <v>Data</v>
      </c>
      <c r="N886" s="8" t="str" cm="1">
        <f t="array" ref="N886">_xlfn.IFS(H886&gt;=16,"Excellent",H886&gt;=14,"Très bien",H886&gt;=12,"Bien",H886&gt;=10,"Passable",TRUE,"Insuffisant")</f>
        <v>Très bien</v>
      </c>
      <c r="O886">
        <v>0.76170000000000004</v>
      </c>
      <c r="P886">
        <v>85000</v>
      </c>
      <c r="Q886" s="2">
        <v>46094</v>
      </c>
    </row>
    <row r="887" spans="1:17" x14ac:dyDescent="0.45">
      <c r="A887" t="s">
        <v>1211</v>
      </c>
      <c r="B887" t="s">
        <v>714</v>
      </c>
      <c r="C887" t="s">
        <v>19</v>
      </c>
      <c r="D887" t="s">
        <v>35</v>
      </c>
      <c r="E887" t="s">
        <v>16</v>
      </c>
      <c r="F887">
        <v>9.74</v>
      </c>
      <c r="G887">
        <v>12.23</v>
      </c>
      <c r="H887">
        <v>11.87</v>
      </c>
      <c r="I887" s="4" t="str">
        <f t="shared" si="52"/>
        <v>Admis</v>
      </c>
      <c r="J887" s="4" t="str">
        <f t="shared" si="53"/>
        <v>Non eligible</v>
      </c>
      <c r="K887">
        <v>14.45</v>
      </c>
      <c r="L887" s="6" t="str">
        <f t="shared" si="54"/>
        <v>A surveiller</v>
      </c>
      <c r="M887" s="6" t="str">
        <f t="shared" si="55"/>
        <v>Data</v>
      </c>
      <c r="N887" s="8" t="str" cm="1">
        <f t="array" ref="N887">_xlfn.IFS(H887&gt;=16,"Excellent",H887&gt;=14,"Très bien",H887&gt;=12,"Bien",H887&gt;=10,"Passable",TRUE,"Insuffisant")</f>
        <v>Passable</v>
      </c>
      <c r="O887">
        <v>0.66259999999999997</v>
      </c>
      <c r="P887">
        <v>80000</v>
      </c>
      <c r="Q887" s="2">
        <v>45973</v>
      </c>
    </row>
    <row r="888" spans="1:17" x14ac:dyDescent="0.45">
      <c r="A888" t="s">
        <v>1212</v>
      </c>
      <c r="B888" t="s">
        <v>556</v>
      </c>
      <c r="C888" t="s">
        <v>14</v>
      </c>
      <c r="D888" t="s">
        <v>28</v>
      </c>
      <c r="E888" t="s">
        <v>16</v>
      </c>
      <c r="F888">
        <v>19.73</v>
      </c>
      <c r="G888">
        <v>13.67</v>
      </c>
      <c r="H888">
        <v>17.98</v>
      </c>
      <c r="I888" s="4" t="str">
        <f t="shared" si="52"/>
        <v>Admis</v>
      </c>
      <c r="J888" s="4" t="str">
        <f t="shared" si="53"/>
        <v>Eligible</v>
      </c>
      <c r="K888">
        <v>12.51</v>
      </c>
      <c r="L888" s="6" t="str">
        <f t="shared" si="54"/>
        <v>RAS</v>
      </c>
      <c r="M888" s="6" t="str">
        <f t="shared" si="55"/>
        <v>Data</v>
      </c>
      <c r="N888" s="8" t="str" cm="1">
        <f t="array" ref="N888">_xlfn.IFS(H888&gt;=16,"Excellent",H888&gt;=14,"Très bien",H888&gt;=12,"Bien",H888&gt;=10,"Passable",TRUE,"Insuffisant")</f>
        <v>Excellent</v>
      </c>
      <c r="O888">
        <v>0.90469999999999995</v>
      </c>
      <c r="P888">
        <v>100000</v>
      </c>
      <c r="Q888" s="2">
        <v>46198</v>
      </c>
    </row>
    <row r="889" spans="1:17" x14ac:dyDescent="0.45">
      <c r="A889" t="s">
        <v>1213</v>
      </c>
      <c r="B889" t="s">
        <v>712</v>
      </c>
      <c r="C889" t="s">
        <v>14</v>
      </c>
      <c r="D889" t="s">
        <v>20</v>
      </c>
      <c r="E889" t="s">
        <v>42</v>
      </c>
      <c r="F889">
        <v>13.5</v>
      </c>
      <c r="G889">
        <v>14.9</v>
      </c>
      <c r="H889">
        <v>13.36</v>
      </c>
      <c r="I889" s="4" t="str">
        <f t="shared" si="52"/>
        <v>Admis</v>
      </c>
      <c r="J889" s="4" t="str">
        <f t="shared" si="53"/>
        <v>Eligible</v>
      </c>
      <c r="K889">
        <v>15.59</v>
      </c>
      <c r="L889" s="6" t="str">
        <f t="shared" si="54"/>
        <v>RAS</v>
      </c>
      <c r="M889" s="6" t="str">
        <f t="shared" si="55"/>
        <v>Hors Data</v>
      </c>
      <c r="N889" s="8" t="str" cm="1">
        <f t="array" ref="N889">_xlfn.IFS(H889&gt;=16,"Excellent",H889&gt;=14,"Très bien",H889&gt;=12,"Bien",H889&gt;=10,"Passable",TRUE,"Insuffisant")</f>
        <v>Bien</v>
      </c>
      <c r="O889">
        <v>0.84689999999999999</v>
      </c>
      <c r="P889">
        <v>120000</v>
      </c>
      <c r="Q889" s="2">
        <v>45912</v>
      </c>
    </row>
    <row r="890" spans="1:17" x14ac:dyDescent="0.45">
      <c r="A890" t="s">
        <v>1214</v>
      </c>
      <c r="B890" t="s">
        <v>319</v>
      </c>
      <c r="C890" t="s">
        <v>14</v>
      </c>
      <c r="D890" t="s">
        <v>32</v>
      </c>
      <c r="E890" t="s">
        <v>16</v>
      </c>
      <c r="F890">
        <v>10.31</v>
      </c>
      <c r="G890">
        <v>10.73</v>
      </c>
      <c r="H890">
        <v>13.47</v>
      </c>
      <c r="I890" s="4" t="str">
        <f t="shared" si="52"/>
        <v>Admis</v>
      </c>
      <c r="J890" s="4" t="str">
        <f t="shared" si="53"/>
        <v>Non eligible</v>
      </c>
      <c r="K890">
        <v>11.71</v>
      </c>
      <c r="L890" s="6" t="str">
        <f t="shared" si="54"/>
        <v>RAS</v>
      </c>
      <c r="M890" s="6" t="str">
        <f t="shared" si="55"/>
        <v>Data</v>
      </c>
      <c r="N890" s="8" t="str" cm="1">
        <f t="array" ref="N890">_xlfn.IFS(H890&gt;=16,"Excellent",H890&gt;=14,"Très bien",H890&gt;=12,"Bien",H890&gt;=10,"Passable",TRUE,"Insuffisant")</f>
        <v>Bien</v>
      </c>
      <c r="O890">
        <v>0.82040000000000002</v>
      </c>
      <c r="P890">
        <v>90000</v>
      </c>
      <c r="Q890" s="2">
        <v>45553</v>
      </c>
    </row>
    <row r="891" spans="1:17" x14ac:dyDescent="0.45">
      <c r="A891" t="s">
        <v>1215</v>
      </c>
      <c r="B891" t="s">
        <v>59</v>
      </c>
      <c r="C891" t="s">
        <v>14</v>
      </c>
      <c r="D891" t="s">
        <v>35</v>
      </c>
      <c r="E891" t="s">
        <v>21</v>
      </c>
      <c r="F891">
        <v>12.88</v>
      </c>
      <c r="G891">
        <v>11.2</v>
      </c>
      <c r="H891">
        <v>12.37</v>
      </c>
      <c r="I891" s="4" t="str">
        <f t="shared" si="52"/>
        <v>Admis</v>
      </c>
      <c r="J891" s="4" t="str">
        <f t="shared" si="53"/>
        <v>Non eligible</v>
      </c>
      <c r="K891">
        <v>13.76</v>
      </c>
      <c r="L891" s="6" t="str">
        <f t="shared" si="54"/>
        <v>RAS</v>
      </c>
      <c r="M891" s="6" t="str">
        <f t="shared" si="55"/>
        <v>Hors Data</v>
      </c>
      <c r="N891" s="8" t="str" cm="1">
        <f t="array" ref="N891">_xlfn.IFS(H891&gt;=16,"Excellent",H891&gt;=14,"Très bien",H891&gt;=12,"Bien",H891&gt;=10,"Passable",TRUE,"Insuffisant")</f>
        <v>Bien</v>
      </c>
      <c r="O891">
        <v>0.73619999999999997</v>
      </c>
      <c r="P891">
        <v>60000</v>
      </c>
      <c r="Q891" s="2">
        <v>45960</v>
      </c>
    </row>
    <row r="892" spans="1:17" x14ac:dyDescent="0.45">
      <c r="A892" t="s">
        <v>1216</v>
      </c>
      <c r="B892" t="s">
        <v>172</v>
      </c>
      <c r="C892" t="s">
        <v>14</v>
      </c>
      <c r="D892" t="s">
        <v>32</v>
      </c>
      <c r="E892" t="s">
        <v>16</v>
      </c>
      <c r="F892">
        <v>16.57</v>
      </c>
      <c r="G892">
        <v>20</v>
      </c>
      <c r="H892">
        <v>17.39</v>
      </c>
      <c r="I892" s="4" t="str">
        <f t="shared" si="52"/>
        <v>Admis</v>
      </c>
      <c r="J892" s="4" t="str">
        <f t="shared" si="53"/>
        <v>Eligible</v>
      </c>
      <c r="K892">
        <v>17.36</v>
      </c>
      <c r="L892" s="6" t="str">
        <f t="shared" si="54"/>
        <v>RAS</v>
      </c>
      <c r="M892" s="6" t="str">
        <f t="shared" si="55"/>
        <v>Data</v>
      </c>
      <c r="N892" s="8" t="str" cm="1">
        <f t="array" ref="N892">_xlfn.IFS(H892&gt;=16,"Excellent",H892&gt;=14,"Très bien",H892&gt;=12,"Bien",H892&gt;=10,"Passable",TRUE,"Insuffisant")</f>
        <v>Excellent</v>
      </c>
      <c r="O892">
        <v>0.80800000000000005</v>
      </c>
      <c r="P892">
        <v>100000</v>
      </c>
      <c r="Q892" s="2">
        <v>46080</v>
      </c>
    </row>
    <row r="893" spans="1:17" x14ac:dyDescent="0.45">
      <c r="A893" t="s">
        <v>1217</v>
      </c>
      <c r="B893" t="s">
        <v>44</v>
      </c>
      <c r="C893" t="s">
        <v>19</v>
      </c>
      <c r="D893" t="s">
        <v>35</v>
      </c>
      <c r="E893" t="s">
        <v>21</v>
      </c>
      <c r="F893">
        <v>13.75</v>
      </c>
      <c r="G893">
        <v>16.03</v>
      </c>
      <c r="H893">
        <v>13.79</v>
      </c>
      <c r="I893" s="4" t="str">
        <f t="shared" si="52"/>
        <v>Admis</v>
      </c>
      <c r="J893" s="4" t="str">
        <f t="shared" si="53"/>
        <v>Non eligible</v>
      </c>
      <c r="K893">
        <v>12.45</v>
      </c>
      <c r="L893" s="6" t="str">
        <f t="shared" si="54"/>
        <v>RAS</v>
      </c>
      <c r="M893" s="6" t="str">
        <f t="shared" si="55"/>
        <v>Hors Data</v>
      </c>
      <c r="N893" s="8" t="str" cm="1">
        <f t="array" ref="N893">_xlfn.IFS(H893&gt;=16,"Excellent",H893&gt;=14,"Très bien",H893&gt;=12,"Bien",H893&gt;=10,"Passable",TRUE,"Insuffisant")</f>
        <v>Bien</v>
      </c>
      <c r="O893">
        <v>0.62170000000000003</v>
      </c>
      <c r="P893">
        <v>75000</v>
      </c>
      <c r="Q893" s="2">
        <v>45606</v>
      </c>
    </row>
    <row r="894" spans="1:17" x14ac:dyDescent="0.45">
      <c r="A894" t="s">
        <v>1218</v>
      </c>
      <c r="B894" t="s">
        <v>254</v>
      </c>
      <c r="C894" t="s">
        <v>19</v>
      </c>
      <c r="D894" t="s">
        <v>47</v>
      </c>
      <c r="E894" t="s">
        <v>42</v>
      </c>
      <c r="F894">
        <v>9.5500000000000007</v>
      </c>
      <c r="G894">
        <v>11.25</v>
      </c>
      <c r="H894">
        <v>9.9</v>
      </c>
      <c r="I894" s="4" t="str">
        <f t="shared" si="52"/>
        <v>Non admis</v>
      </c>
      <c r="J894" s="4" t="str">
        <f t="shared" si="53"/>
        <v>Non eligible</v>
      </c>
      <c r="K894">
        <v>7.34</v>
      </c>
      <c r="L894" s="6" t="str">
        <f t="shared" si="54"/>
        <v>A surveiller</v>
      </c>
      <c r="M894" s="6" t="str">
        <f t="shared" si="55"/>
        <v>Hors Data</v>
      </c>
      <c r="N894" s="8" t="str" cm="1">
        <f t="array" ref="N894">_xlfn.IFS(H894&gt;=16,"Excellent",H894&gt;=14,"Très bien",H894&gt;=12,"Bien",H894&gt;=10,"Passable",TRUE,"Insuffisant")</f>
        <v>Insuffisant</v>
      </c>
      <c r="O894">
        <v>0.85919999999999996</v>
      </c>
      <c r="P894">
        <v>50000</v>
      </c>
      <c r="Q894" s="2">
        <v>45609</v>
      </c>
    </row>
    <row r="895" spans="1:17" x14ac:dyDescent="0.45">
      <c r="A895" t="s">
        <v>1219</v>
      </c>
      <c r="B895" t="s">
        <v>46</v>
      </c>
      <c r="C895" t="s">
        <v>19</v>
      </c>
      <c r="D895" t="s">
        <v>47</v>
      </c>
      <c r="E895" t="s">
        <v>16</v>
      </c>
      <c r="F895">
        <v>15.25</v>
      </c>
      <c r="G895">
        <v>17.68</v>
      </c>
      <c r="H895">
        <v>13.17</v>
      </c>
      <c r="I895" s="4" t="str">
        <f t="shared" si="52"/>
        <v>Admis</v>
      </c>
      <c r="J895" s="4" t="str">
        <f t="shared" si="53"/>
        <v>Eligible</v>
      </c>
      <c r="K895">
        <v>16.809999999999999</v>
      </c>
      <c r="L895" s="6" t="str">
        <f t="shared" si="54"/>
        <v>RAS</v>
      </c>
      <c r="M895" s="6" t="str">
        <f t="shared" si="55"/>
        <v>Data</v>
      </c>
      <c r="N895" s="8" t="str" cm="1">
        <f t="array" ref="N895">_xlfn.IFS(H895&gt;=16,"Excellent",H895&gt;=14,"Très bien",H895&gt;=12,"Bien",H895&gt;=10,"Passable",TRUE,"Insuffisant")</f>
        <v>Bien</v>
      </c>
      <c r="O895">
        <v>0.87939999999999996</v>
      </c>
      <c r="P895">
        <v>70000</v>
      </c>
      <c r="Q895" s="2">
        <v>45727</v>
      </c>
    </row>
    <row r="896" spans="1:17" x14ac:dyDescent="0.45">
      <c r="A896" t="s">
        <v>1220</v>
      </c>
      <c r="B896" t="s">
        <v>579</v>
      </c>
      <c r="C896" t="s">
        <v>19</v>
      </c>
      <c r="D896" t="s">
        <v>47</v>
      </c>
      <c r="E896" t="s">
        <v>16</v>
      </c>
      <c r="F896">
        <v>10.85</v>
      </c>
      <c r="G896">
        <v>12.56</v>
      </c>
      <c r="H896">
        <v>11.21</v>
      </c>
      <c r="I896" s="4" t="str">
        <f t="shared" si="52"/>
        <v>Admis</v>
      </c>
      <c r="J896" s="4" t="str">
        <f t="shared" si="53"/>
        <v>Non eligible</v>
      </c>
      <c r="K896">
        <v>8.98</v>
      </c>
      <c r="L896" s="6" t="str">
        <f t="shared" si="54"/>
        <v>RAS</v>
      </c>
      <c r="M896" s="6" t="str">
        <f t="shared" si="55"/>
        <v>Data</v>
      </c>
      <c r="N896" s="8" t="str" cm="1">
        <f t="array" ref="N896">_xlfn.IFS(H896&gt;=16,"Excellent",H896&gt;=14,"Très bien",H896&gt;=12,"Bien",H896&gt;=10,"Passable",TRUE,"Insuffisant")</f>
        <v>Passable</v>
      </c>
      <c r="O896">
        <v>0.89259999999999995</v>
      </c>
      <c r="P896">
        <v>130000</v>
      </c>
      <c r="Q896" s="2">
        <v>46126</v>
      </c>
    </row>
    <row r="897" spans="1:17" x14ac:dyDescent="0.45">
      <c r="A897" t="s">
        <v>1221</v>
      </c>
      <c r="B897" t="s">
        <v>617</v>
      </c>
      <c r="C897" t="s">
        <v>19</v>
      </c>
      <c r="D897" t="s">
        <v>20</v>
      </c>
      <c r="E897" t="s">
        <v>29</v>
      </c>
      <c r="F897">
        <v>12.27</v>
      </c>
      <c r="G897">
        <v>16.95</v>
      </c>
      <c r="H897">
        <v>17.75</v>
      </c>
      <c r="I897" s="4" t="str">
        <f t="shared" si="52"/>
        <v>Admis</v>
      </c>
      <c r="J897" s="4" t="str">
        <f t="shared" si="53"/>
        <v>Non eligible</v>
      </c>
      <c r="K897">
        <v>11.3</v>
      </c>
      <c r="L897" s="6" t="str">
        <f t="shared" si="54"/>
        <v>RAS</v>
      </c>
      <c r="M897" s="6" t="str">
        <f t="shared" si="55"/>
        <v>Hors Data</v>
      </c>
      <c r="N897" s="8" t="str" cm="1">
        <f t="array" ref="N897">_xlfn.IFS(H897&gt;=16,"Excellent",H897&gt;=14,"Très bien",H897&gt;=12,"Bien",H897&gt;=10,"Passable",TRUE,"Insuffisant")</f>
        <v>Excellent</v>
      </c>
      <c r="O897">
        <v>0.78939999999999999</v>
      </c>
      <c r="P897">
        <v>80000</v>
      </c>
      <c r="Q897" s="2">
        <v>45905</v>
      </c>
    </row>
    <row r="898" spans="1:17" x14ac:dyDescent="0.45">
      <c r="A898" t="s">
        <v>1222</v>
      </c>
      <c r="B898" t="s">
        <v>123</v>
      </c>
      <c r="C898" t="s">
        <v>19</v>
      </c>
      <c r="D898" t="s">
        <v>32</v>
      </c>
      <c r="E898" t="s">
        <v>29</v>
      </c>
      <c r="F898">
        <v>20</v>
      </c>
      <c r="G898">
        <v>17.37</v>
      </c>
      <c r="H898">
        <v>15.38</v>
      </c>
      <c r="I898" s="4" t="str">
        <f t="shared" si="52"/>
        <v>Admis</v>
      </c>
      <c r="J898" s="4" t="str">
        <f t="shared" si="53"/>
        <v>Eligible</v>
      </c>
      <c r="K898">
        <v>17.690000000000001</v>
      </c>
      <c r="L898" s="6" t="str">
        <f t="shared" si="54"/>
        <v>RAS</v>
      </c>
      <c r="M898" s="6" t="str">
        <f t="shared" si="55"/>
        <v>Hors Data</v>
      </c>
      <c r="N898" s="8" t="str" cm="1">
        <f t="array" ref="N898">_xlfn.IFS(H898&gt;=16,"Excellent",H898&gt;=14,"Très bien",H898&gt;=12,"Bien",H898&gt;=10,"Passable",TRUE,"Insuffisant")</f>
        <v>Très bien</v>
      </c>
      <c r="O898">
        <v>0.94220000000000004</v>
      </c>
      <c r="P898">
        <v>70000</v>
      </c>
      <c r="Q898" s="2">
        <v>46219</v>
      </c>
    </row>
    <row r="899" spans="1:17" x14ac:dyDescent="0.45">
      <c r="A899" t="s">
        <v>1223</v>
      </c>
      <c r="B899" t="s">
        <v>69</v>
      </c>
      <c r="C899" t="s">
        <v>14</v>
      </c>
      <c r="D899" t="s">
        <v>15</v>
      </c>
      <c r="E899" t="s">
        <v>29</v>
      </c>
      <c r="F899">
        <v>13.99</v>
      </c>
      <c r="G899">
        <v>14.12</v>
      </c>
      <c r="H899">
        <v>14.39</v>
      </c>
      <c r="I899" s="4" t="str">
        <f t="shared" ref="I899:I962" si="56">IF(H899&gt;=10,"Admis","Non admis")</f>
        <v>Admis</v>
      </c>
      <c r="J899" s="4" t="str">
        <f t="shared" ref="J899:J962" si="57">IF(AND(F899&gt;=12,H899&gt;=12,O899&gt;=0.8),"Eligible","Non eligible")</f>
        <v>Eligible</v>
      </c>
      <c r="K899">
        <v>11.93</v>
      </c>
      <c r="L899" s="6" t="str">
        <f t="shared" ref="L899:L962" si="58">IF(OR(F899&lt;10,H899&lt;10),"A surveiller","RAS")</f>
        <v>RAS</v>
      </c>
      <c r="M899" s="6" t="str">
        <f t="shared" ref="M899:M962" si="59">IF(NOT(E899="Data"),"Hors Data","Data")</f>
        <v>Hors Data</v>
      </c>
      <c r="N899" s="8" t="str" cm="1">
        <f t="array" ref="N899">_xlfn.IFS(H899&gt;=16,"Excellent",H899&gt;=14,"Très bien",H899&gt;=12,"Bien",H899&gt;=10,"Passable",TRUE,"Insuffisant")</f>
        <v>Très bien</v>
      </c>
      <c r="O899">
        <v>0.90300000000000002</v>
      </c>
      <c r="P899">
        <v>60000</v>
      </c>
      <c r="Q899" s="2">
        <v>46147</v>
      </c>
    </row>
    <row r="900" spans="1:17" x14ac:dyDescent="0.45">
      <c r="A900" t="s">
        <v>1224</v>
      </c>
      <c r="B900" t="s">
        <v>94</v>
      </c>
      <c r="C900" t="s">
        <v>14</v>
      </c>
      <c r="D900" t="s">
        <v>15</v>
      </c>
      <c r="E900" t="s">
        <v>42</v>
      </c>
      <c r="F900">
        <v>15.22</v>
      </c>
      <c r="G900">
        <v>15.3</v>
      </c>
      <c r="H900">
        <v>14.44</v>
      </c>
      <c r="I900" s="4" t="str">
        <f t="shared" si="56"/>
        <v>Admis</v>
      </c>
      <c r="J900" s="4" t="str">
        <f t="shared" si="57"/>
        <v>Eligible</v>
      </c>
      <c r="K900">
        <v>14.87</v>
      </c>
      <c r="L900" s="6" t="str">
        <f t="shared" si="58"/>
        <v>RAS</v>
      </c>
      <c r="M900" s="6" t="str">
        <f t="shared" si="59"/>
        <v>Hors Data</v>
      </c>
      <c r="N900" s="8" t="str" cm="1">
        <f t="array" ref="N900">_xlfn.IFS(H900&gt;=16,"Excellent",H900&gt;=14,"Très bien",H900&gt;=12,"Bien",H900&gt;=10,"Passable",TRUE,"Insuffisant")</f>
        <v>Très bien</v>
      </c>
      <c r="O900">
        <v>0.92100000000000004</v>
      </c>
      <c r="P900">
        <v>100000</v>
      </c>
      <c r="Q900" s="2">
        <v>45924</v>
      </c>
    </row>
    <row r="901" spans="1:17" x14ac:dyDescent="0.45">
      <c r="A901" t="s">
        <v>1225</v>
      </c>
      <c r="B901" t="s">
        <v>1226</v>
      </c>
      <c r="C901" t="s">
        <v>19</v>
      </c>
      <c r="D901" t="s">
        <v>20</v>
      </c>
      <c r="E901" t="s">
        <v>16</v>
      </c>
      <c r="F901">
        <v>9.8800000000000008</v>
      </c>
      <c r="G901">
        <v>14.07</v>
      </c>
      <c r="H901">
        <v>11.76</v>
      </c>
      <c r="I901" s="4" t="str">
        <f t="shared" si="56"/>
        <v>Admis</v>
      </c>
      <c r="J901" s="4" t="str">
        <f t="shared" si="57"/>
        <v>Non eligible</v>
      </c>
      <c r="K901">
        <v>15.88</v>
      </c>
      <c r="L901" s="6" t="str">
        <f t="shared" si="58"/>
        <v>A surveiller</v>
      </c>
      <c r="M901" s="6" t="str">
        <f t="shared" si="59"/>
        <v>Data</v>
      </c>
      <c r="N901" s="8" t="str" cm="1">
        <f t="array" ref="N901">_xlfn.IFS(H901&gt;=16,"Excellent",H901&gt;=14,"Très bien",H901&gt;=12,"Bien",H901&gt;=10,"Passable",TRUE,"Insuffisant")</f>
        <v>Passable</v>
      </c>
      <c r="O901">
        <v>0.85929999999999995</v>
      </c>
      <c r="P901">
        <v>110000</v>
      </c>
      <c r="Q901" s="2">
        <v>46011</v>
      </c>
    </row>
    <row r="902" spans="1:17" x14ac:dyDescent="0.45">
      <c r="A902" t="s">
        <v>1227</v>
      </c>
      <c r="B902" t="s">
        <v>933</v>
      </c>
      <c r="C902" t="s">
        <v>14</v>
      </c>
      <c r="D902" t="s">
        <v>15</v>
      </c>
      <c r="E902" t="s">
        <v>16</v>
      </c>
      <c r="F902">
        <v>14.36</v>
      </c>
      <c r="G902">
        <v>14.96</v>
      </c>
      <c r="H902">
        <v>15.32</v>
      </c>
      <c r="I902" s="4" t="str">
        <f t="shared" si="56"/>
        <v>Admis</v>
      </c>
      <c r="J902" s="4" t="str">
        <f t="shared" si="57"/>
        <v>Non eligible</v>
      </c>
      <c r="K902">
        <v>15.34</v>
      </c>
      <c r="L902" s="6" t="str">
        <f t="shared" si="58"/>
        <v>RAS</v>
      </c>
      <c r="M902" s="6" t="str">
        <f t="shared" si="59"/>
        <v>Data</v>
      </c>
      <c r="N902" s="8" t="str" cm="1">
        <f t="array" ref="N902">_xlfn.IFS(H902&gt;=16,"Excellent",H902&gt;=14,"Très bien",H902&gt;=12,"Bien",H902&gt;=10,"Passable",TRUE,"Insuffisant")</f>
        <v>Très bien</v>
      </c>
      <c r="O902">
        <v>0.7581</v>
      </c>
      <c r="P902">
        <v>75000</v>
      </c>
      <c r="Q902" s="2">
        <v>45767</v>
      </c>
    </row>
    <row r="903" spans="1:17" x14ac:dyDescent="0.45">
      <c r="A903" t="s">
        <v>1228</v>
      </c>
      <c r="B903" t="s">
        <v>314</v>
      </c>
      <c r="C903" t="s">
        <v>14</v>
      </c>
      <c r="D903" t="s">
        <v>47</v>
      </c>
      <c r="E903" t="s">
        <v>42</v>
      </c>
      <c r="F903">
        <v>10.98</v>
      </c>
      <c r="G903">
        <v>9.94</v>
      </c>
      <c r="H903">
        <v>10.45</v>
      </c>
      <c r="I903" s="4" t="str">
        <f t="shared" si="56"/>
        <v>Admis</v>
      </c>
      <c r="J903" s="4" t="str">
        <f t="shared" si="57"/>
        <v>Non eligible</v>
      </c>
      <c r="K903">
        <v>14.55</v>
      </c>
      <c r="L903" s="6" t="str">
        <f t="shared" si="58"/>
        <v>RAS</v>
      </c>
      <c r="M903" s="6" t="str">
        <f t="shared" si="59"/>
        <v>Hors Data</v>
      </c>
      <c r="N903" s="8" t="str" cm="1">
        <f t="array" ref="N903">_xlfn.IFS(H903&gt;=16,"Excellent",H903&gt;=14,"Très bien",H903&gt;=12,"Bien",H903&gt;=10,"Passable",TRUE,"Insuffisant")</f>
        <v>Passable</v>
      </c>
      <c r="O903">
        <v>0.92469999999999997</v>
      </c>
      <c r="P903">
        <v>60000</v>
      </c>
      <c r="Q903" s="2">
        <v>45599</v>
      </c>
    </row>
    <row r="904" spans="1:17" x14ac:dyDescent="0.45">
      <c r="A904" t="s">
        <v>1229</v>
      </c>
      <c r="B904" t="s">
        <v>537</v>
      </c>
      <c r="C904" t="s">
        <v>14</v>
      </c>
      <c r="D904" t="s">
        <v>15</v>
      </c>
      <c r="E904" t="s">
        <v>21</v>
      </c>
      <c r="F904">
        <v>17.39</v>
      </c>
      <c r="G904">
        <v>14.88</v>
      </c>
      <c r="H904">
        <v>19.52</v>
      </c>
      <c r="I904" s="4" t="str">
        <f t="shared" si="56"/>
        <v>Admis</v>
      </c>
      <c r="J904" s="4" t="str">
        <f t="shared" si="57"/>
        <v>Non eligible</v>
      </c>
      <c r="K904">
        <v>14.4</v>
      </c>
      <c r="L904" s="6" t="str">
        <f t="shared" si="58"/>
        <v>RAS</v>
      </c>
      <c r="M904" s="6" t="str">
        <f t="shared" si="59"/>
        <v>Hors Data</v>
      </c>
      <c r="N904" s="8" t="str" cm="1">
        <f t="array" ref="N904">_xlfn.IFS(H904&gt;=16,"Excellent",H904&gt;=14,"Très bien",H904&gt;=12,"Bien",H904&gt;=10,"Passable",TRUE,"Insuffisant")</f>
        <v>Excellent</v>
      </c>
      <c r="O904">
        <v>0.70069999999999999</v>
      </c>
      <c r="P904">
        <v>75000</v>
      </c>
      <c r="Q904" s="2">
        <v>45815</v>
      </c>
    </row>
    <row r="905" spans="1:17" x14ac:dyDescent="0.45">
      <c r="A905" t="s">
        <v>1230</v>
      </c>
      <c r="B905" t="s">
        <v>787</v>
      </c>
      <c r="C905" t="s">
        <v>19</v>
      </c>
      <c r="D905" t="s">
        <v>32</v>
      </c>
      <c r="E905" t="s">
        <v>29</v>
      </c>
      <c r="F905">
        <v>14.65</v>
      </c>
      <c r="G905">
        <v>15.89</v>
      </c>
      <c r="H905">
        <v>18.47</v>
      </c>
      <c r="I905" s="4" t="str">
        <f t="shared" si="56"/>
        <v>Admis</v>
      </c>
      <c r="J905" s="4" t="str">
        <f t="shared" si="57"/>
        <v>Non eligible</v>
      </c>
      <c r="K905">
        <v>19.329999999999998</v>
      </c>
      <c r="L905" s="6" t="str">
        <f t="shared" si="58"/>
        <v>RAS</v>
      </c>
      <c r="M905" s="6" t="str">
        <f t="shared" si="59"/>
        <v>Hors Data</v>
      </c>
      <c r="N905" s="8" t="str" cm="1">
        <f t="array" ref="N905">_xlfn.IFS(H905&gt;=16,"Excellent",H905&gt;=14,"Très bien",H905&gt;=12,"Bien",H905&gt;=10,"Passable",TRUE,"Insuffisant")</f>
        <v>Excellent</v>
      </c>
      <c r="O905">
        <v>0.77449999999999997</v>
      </c>
      <c r="P905">
        <v>100000</v>
      </c>
      <c r="Q905" s="2">
        <v>45950</v>
      </c>
    </row>
    <row r="906" spans="1:17" x14ac:dyDescent="0.45">
      <c r="A906" t="s">
        <v>1231</v>
      </c>
      <c r="B906" t="s">
        <v>282</v>
      </c>
      <c r="C906" t="s">
        <v>14</v>
      </c>
      <c r="D906" t="s">
        <v>20</v>
      </c>
      <c r="E906" t="s">
        <v>21</v>
      </c>
      <c r="F906">
        <v>13.59</v>
      </c>
      <c r="G906">
        <v>8.17</v>
      </c>
      <c r="H906">
        <v>12.73</v>
      </c>
      <c r="I906" s="4" t="str">
        <f t="shared" si="56"/>
        <v>Admis</v>
      </c>
      <c r="J906" s="4" t="str">
        <f t="shared" si="57"/>
        <v>Non eligible</v>
      </c>
      <c r="K906">
        <v>9.49</v>
      </c>
      <c r="L906" s="6" t="str">
        <f t="shared" si="58"/>
        <v>RAS</v>
      </c>
      <c r="M906" s="6" t="str">
        <f t="shared" si="59"/>
        <v>Hors Data</v>
      </c>
      <c r="N906" s="8" t="str" cm="1">
        <f t="array" ref="N906">_xlfn.IFS(H906&gt;=16,"Excellent",H906&gt;=14,"Très bien",H906&gt;=12,"Bien",H906&gt;=10,"Passable",TRUE,"Insuffisant")</f>
        <v>Bien</v>
      </c>
      <c r="O906">
        <v>0.55000000000000004</v>
      </c>
      <c r="P906">
        <v>60000</v>
      </c>
      <c r="Q906" s="2">
        <v>45663</v>
      </c>
    </row>
    <row r="907" spans="1:17" x14ac:dyDescent="0.45">
      <c r="A907" t="s">
        <v>1232</v>
      </c>
      <c r="B907" t="s">
        <v>465</v>
      </c>
      <c r="C907" t="s">
        <v>19</v>
      </c>
      <c r="D907" t="s">
        <v>20</v>
      </c>
      <c r="E907" t="s">
        <v>29</v>
      </c>
      <c r="F907">
        <v>10.34</v>
      </c>
      <c r="G907">
        <v>13.29</v>
      </c>
      <c r="H907">
        <v>14.55</v>
      </c>
      <c r="I907" s="4" t="str">
        <f t="shared" si="56"/>
        <v>Admis</v>
      </c>
      <c r="J907" s="4" t="str">
        <f t="shared" si="57"/>
        <v>Non eligible</v>
      </c>
      <c r="K907">
        <v>11.66</v>
      </c>
      <c r="L907" s="6" t="str">
        <f t="shared" si="58"/>
        <v>RAS</v>
      </c>
      <c r="M907" s="6" t="str">
        <f t="shared" si="59"/>
        <v>Hors Data</v>
      </c>
      <c r="N907" s="8" t="str" cm="1">
        <f t="array" ref="N907">_xlfn.IFS(H907&gt;=16,"Excellent",H907&gt;=14,"Très bien",H907&gt;=12,"Bien",H907&gt;=10,"Passable",TRUE,"Insuffisant")</f>
        <v>Très bien</v>
      </c>
      <c r="O907">
        <v>0.84130000000000005</v>
      </c>
      <c r="P907">
        <v>70000</v>
      </c>
      <c r="Q907" s="2">
        <v>45691</v>
      </c>
    </row>
    <row r="908" spans="1:17" x14ac:dyDescent="0.45">
      <c r="A908" t="s">
        <v>1233</v>
      </c>
      <c r="B908" t="s">
        <v>115</v>
      </c>
      <c r="C908" t="s">
        <v>14</v>
      </c>
      <c r="D908" t="s">
        <v>47</v>
      </c>
      <c r="E908" t="s">
        <v>29</v>
      </c>
      <c r="F908">
        <v>9.16</v>
      </c>
      <c r="G908">
        <v>12.68</v>
      </c>
      <c r="H908">
        <v>6</v>
      </c>
      <c r="I908" s="4" t="str">
        <f t="shared" si="56"/>
        <v>Non admis</v>
      </c>
      <c r="J908" s="4" t="str">
        <f t="shared" si="57"/>
        <v>Non eligible</v>
      </c>
      <c r="K908">
        <v>11.54</v>
      </c>
      <c r="L908" s="6" t="str">
        <f t="shared" si="58"/>
        <v>A surveiller</v>
      </c>
      <c r="M908" s="6" t="str">
        <f t="shared" si="59"/>
        <v>Hors Data</v>
      </c>
      <c r="N908" s="8" t="str" cm="1">
        <f t="array" ref="N908">_xlfn.IFS(H908&gt;=16,"Excellent",H908&gt;=14,"Très bien",H908&gt;=12,"Bien",H908&gt;=10,"Passable",TRUE,"Insuffisant")</f>
        <v>Insuffisant</v>
      </c>
      <c r="O908">
        <v>0.92610000000000003</v>
      </c>
      <c r="P908">
        <v>50000</v>
      </c>
      <c r="Q908" s="2">
        <v>45546</v>
      </c>
    </row>
    <row r="909" spans="1:17" x14ac:dyDescent="0.45">
      <c r="A909" t="s">
        <v>1234</v>
      </c>
      <c r="B909" t="s">
        <v>172</v>
      </c>
      <c r="C909" t="s">
        <v>14</v>
      </c>
      <c r="D909" t="s">
        <v>20</v>
      </c>
      <c r="E909" t="s">
        <v>16</v>
      </c>
      <c r="F909">
        <v>9.98</v>
      </c>
      <c r="G909">
        <v>16.48</v>
      </c>
      <c r="H909">
        <v>5.09</v>
      </c>
      <c r="I909" s="4" t="str">
        <f t="shared" si="56"/>
        <v>Non admis</v>
      </c>
      <c r="J909" s="4" t="str">
        <f t="shared" si="57"/>
        <v>Non eligible</v>
      </c>
      <c r="K909">
        <v>10</v>
      </c>
      <c r="L909" s="6" t="str">
        <f t="shared" si="58"/>
        <v>A surveiller</v>
      </c>
      <c r="M909" s="6" t="str">
        <f t="shared" si="59"/>
        <v>Data</v>
      </c>
      <c r="N909" s="8" t="str" cm="1">
        <f t="array" ref="N909">_xlfn.IFS(H909&gt;=16,"Excellent",H909&gt;=14,"Très bien",H909&gt;=12,"Bien",H909&gt;=10,"Passable",TRUE,"Insuffisant")</f>
        <v>Insuffisant</v>
      </c>
      <c r="O909">
        <v>0.91759999999999997</v>
      </c>
      <c r="P909">
        <v>85000</v>
      </c>
      <c r="Q909" s="2">
        <v>46049</v>
      </c>
    </row>
    <row r="910" spans="1:17" x14ac:dyDescent="0.45">
      <c r="A910" t="s">
        <v>1235</v>
      </c>
      <c r="B910" t="s">
        <v>67</v>
      </c>
      <c r="C910" t="s">
        <v>14</v>
      </c>
      <c r="D910" t="s">
        <v>47</v>
      </c>
      <c r="E910" t="s">
        <v>29</v>
      </c>
      <c r="F910">
        <v>11.2</v>
      </c>
      <c r="G910">
        <v>7.92</v>
      </c>
      <c r="H910">
        <v>7.7</v>
      </c>
      <c r="I910" s="4" t="str">
        <f t="shared" si="56"/>
        <v>Non admis</v>
      </c>
      <c r="J910" s="4" t="str">
        <f t="shared" si="57"/>
        <v>Non eligible</v>
      </c>
      <c r="K910">
        <v>10.82</v>
      </c>
      <c r="L910" s="6" t="str">
        <f t="shared" si="58"/>
        <v>A surveiller</v>
      </c>
      <c r="M910" s="6" t="str">
        <f t="shared" si="59"/>
        <v>Hors Data</v>
      </c>
      <c r="N910" s="8" t="str" cm="1">
        <f t="array" ref="N910">_xlfn.IFS(H910&gt;=16,"Excellent",H910&gt;=14,"Très bien",H910&gt;=12,"Bien",H910&gt;=10,"Passable",TRUE,"Insuffisant")</f>
        <v>Insuffisant</v>
      </c>
      <c r="O910">
        <v>0.64249999999999996</v>
      </c>
      <c r="P910">
        <v>60000</v>
      </c>
      <c r="Q910" s="2">
        <v>46165</v>
      </c>
    </row>
    <row r="911" spans="1:17" x14ac:dyDescent="0.45">
      <c r="A911" t="s">
        <v>1236</v>
      </c>
      <c r="B911" t="s">
        <v>643</v>
      </c>
      <c r="C911" t="s">
        <v>14</v>
      </c>
      <c r="D911" t="s">
        <v>28</v>
      </c>
      <c r="E911" t="s">
        <v>29</v>
      </c>
      <c r="F911">
        <v>11.39</v>
      </c>
      <c r="G911">
        <v>14.76</v>
      </c>
      <c r="H911">
        <v>12.71</v>
      </c>
      <c r="I911" s="4" t="str">
        <f t="shared" si="56"/>
        <v>Admis</v>
      </c>
      <c r="J911" s="4" t="str">
        <f t="shared" si="57"/>
        <v>Non eligible</v>
      </c>
      <c r="K911">
        <v>14.49</v>
      </c>
      <c r="L911" s="6" t="str">
        <f t="shared" si="58"/>
        <v>RAS</v>
      </c>
      <c r="M911" s="6" t="str">
        <f t="shared" si="59"/>
        <v>Hors Data</v>
      </c>
      <c r="N911" s="8" t="str" cm="1">
        <f t="array" ref="N911">_xlfn.IFS(H911&gt;=16,"Excellent",H911&gt;=14,"Très bien",H911&gt;=12,"Bien",H911&gt;=10,"Passable",TRUE,"Insuffisant")</f>
        <v>Bien</v>
      </c>
      <c r="O911">
        <v>0.88639999999999997</v>
      </c>
      <c r="P911">
        <v>70000</v>
      </c>
      <c r="Q911" s="2">
        <v>46115</v>
      </c>
    </row>
    <row r="912" spans="1:17" x14ac:dyDescent="0.45">
      <c r="A912" t="s">
        <v>1237</v>
      </c>
      <c r="B912" t="s">
        <v>605</v>
      </c>
      <c r="C912" t="s">
        <v>19</v>
      </c>
      <c r="D912" t="s">
        <v>15</v>
      </c>
      <c r="E912" t="s">
        <v>42</v>
      </c>
      <c r="F912">
        <v>15.67</v>
      </c>
      <c r="G912">
        <v>16.52</v>
      </c>
      <c r="H912">
        <v>18.239999999999998</v>
      </c>
      <c r="I912" s="4" t="str">
        <f t="shared" si="56"/>
        <v>Admis</v>
      </c>
      <c r="J912" s="4" t="str">
        <f t="shared" si="57"/>
        <v>Eligible</v>
      </c>
      <c r="K912">
        <v>20</v>
      </c>
      <c r="L912" s="6" t="str">
        <f t="shared" si="58"/>
        <v>RAS</v>
      </c>
      <c r="M912" s="6" t="str">
        <f t="shared" si="59"/>
        <v>Hors Data</v>
      </c>
      <c r="N912" s="8" t="str" cm="1">
        <f t="array" ref="N912">_xlfn.IFS(H912&gt;=16,"Excellent",H912&gt;=14,"Très bien",H912&gt;=12,"Bien",H912&gt;=10,"Passable",TRUE,"Insuffisant")</f>
        <v>Excellent</v>
      </c>
      <c r="O912">
        <v>0.95789999999999997</v>
      </c>
      <c r="P912">
        <v>60000</v>
      </c>
      <c r="Q912" s="2">
        <v>45801</v>
      </c>
    </row>
    <row r="913" spans="1:17" x14ac:dyDescent="0.45">
      <c r="A913" t="s">
        <v>1238</v>
      </c>
      <c r="B913" t="s">
        <v>1239</v>
      </c>
      <c r="C913" t="s">
        <v>14</v>
      </c>
      <c r="D913" t="s">
        <v>32</v>
      </c>
      <c r="E913" t="s">
        <v>16</v>
      </c>
      <c r="F913">
        <v>13.21</v>
      </c>
      <c r="G913">
        <v>18.350000000000001</v>
      </c>
      <c r="H913">
        <v>18.14</v>
      </c>
      <c r="I913" s="4" t="str">
        <f t="shared" si="56"/>
        <v>Admis</v>
      </c>
      <c r="J913" s="4" t="str">
        <f t="shared" si="57"/>
        <v>Eligible</v>
      </c>
      <c r="K913">
        <v>20</v>
      </c>
      <c r="L913" s="6" t="str">
        <f t="shared" si="58"/>
        <v>RAS</v>
      </c>
      <c r="M913" s="6" t="str">
        <f t="shared" si="59"/>
        <v>Data</v>
      </c>
      <c r="N913" s="8" t="str" cm="1">
        <f t="array" ref="N913">_xlfn.IFS(H913&gt;=16,"Excellent",H913&gt;=14,"Très bien",H913&gt;=12,"Bien",H913&gt;=10,"Passable",TRUE,"Insuffisant")</f>
        <v>Excellent</v>
      </c>
      <c r="O913">
        <v>0.85370000000000001</v>
      </c>
      <c r="P913">
        <v>110000</v>
      </c>
      <c r="Q913" s="2">
        <v>45951</v>
      </c>
    </row>
    <row r="914" spans="1:17" x14ac:dyDescent="0.45">
      <c r="A914" t="s">
        <v>1240</v>
      </c>
      <c r="B914" t="s">
        <v>486</v>
      </c>
      <c r="C914" t="s">
        <v>14</v>
      </c>
      <c r="D914" t="s">
        <v>15</v>
      </c>
      <c r="E914" t="s">
        <v>16</v>
      </c>
      <c r="F914">
        <v>6.55</v>
      </c>
      <c r="G914">
        <v>9.7899999999999991</v>
      </c>
      <c r="H914">
        <v>11.17</v>
      </c>
      <c r="I914" s="4" t="str">
        <f t="shared" si="56"/>
        <v>Admis</v>
      </c>
      <c r="J914" s="4" t="str">
        <f t="shared" si="57"/>
        <v>Non eligible</v>
      </c>
      <c r="K914">
        <v>9.4700000000000006</v>
      </c>
      <c r="L914" s="6" t="str">
        <f t="shared" si="58"/>
        <v>A surveiller</v>
      </c>
      <c r="M914" s="6" t="str">
        <f t="shared" si="59"/>
        <v>Data</v>
      </c>
      <c r="N914" s="8" t="str" cm="1">
        <f t="array" ref="N914">_xlfn.IFS(H914&gt;=16,"Excellent",H914&gt;=14,"Très bien",H914&gt;=12,"Bien",H914&gt;=10,"Passable",TRUE,"Insuffisant")</f>
        <v>Passable</v>
      </c>
      <c r="O914">
        <v>0.82720000000000005</v>
      </c>
      <c r="P914">
        <v>85000</v>
      </c>
      <c r="Q914" s="2">
        <v>46208</v>
      </c>
    </row>
    <row r="915" spans="1:17" x14ac:dyDescent="0.45">
      <c r="A915" t="s">
        <v>1241</v>
      </c>
      <c r="B915" t="s">
        <v>207</v>
      </c>
      <c r="C915" t="s">
        <v>19</v>
      </c>
      <c r="D915" t="s">
        <v>32</v>
      </c>
      <c r="E915" t="s">
        <v>29</v>
      </c>
      <c r="F915">
        <v>13.74</v>
      </c>
      <c r="G915">
        <v>14.14</v>
      </c>
      <c r="H915">
        <v>13.23</v>
      </c>
      <c r="I915" s="4" t="str">
        <f t="shared" si="56"/>
        <v>Admis</v>
      </c>
      <c r="J915" s="4" t="str">
        <f t="shared" si="57"/>
        <v>Eligible</v>
      </c>
      <c r="K915">
        <v>16.649999999999999</v>
      </c>
      <c r="L915" s="6" t="str">
        <f t="shared" si="58"/>
        <v>RAS</v>
      </c>
      <c r="M915" s="6" t="str">
        <f t="shared" si="59"/>
        <v>Hors Data</v>
      </c>
      <c r="N915" s="8" t="str" cm="1">
        <f t="array" ref="N915">_xlfn.IFS(H915&gt;=16,"Excellent",H915&gt;=14,"Très bien",H915&gt;=12,"Bien",H915&gt;=10,"Passable",TRUE,"Insuffisant")</f>
        <v>Bien</v>
      </c>
      <c r="O915">
        <v>0.90839999999999999</v>
      </c>
      <c r="P915">
        <v>130000</v>
      </c>
      <c r="Q915" s="2">
        <v>45949</v>
      </c>
    </row>
    <row r="916" spans="1:17" x14ac:dyDescent="0.45">
      <c r="A916" t="s">
        <v>1242</v>
      </c>
      <c r="B916" t="s">
        <v>1226</v>
      </c>
      <c r="C916" t="s">
        <v>19</v>
      </c>
      <c r="D916" t="s">
        <v>20</v>
      </c>
      <c r="E916" t="s">
        <v>16</v>
      </c>
      <c r="F916">
        <v>13.93</v>
      </c>
      <c r="G916">
        <v>17.5</v>
      </c>
      <c r="H916">
        <v>18.559999999999999</v>
      </c>
      <c r="I916" s="4" t="str">
        <f t="shared" si="56"/>
        <v>Admis</v>
      </c>
      <c r="J916" s="4" t="str">
        <f t="shared" si="57"/>
        <v>Eligible</v>
      </c>
      <c r="K916">
        <v>20</v>
      </c>
      <c r="L916" s="6" t="str">
        <f t="shared" si="58"/>
        <v>RAS</v>
      </c>
      <c r="M916" s="6" t="str">
        <f t="shared" si="59"/>
        <v>Data</v>
      </c>
      <c r="N916" s="8" t="str" cm="1">
        <f t="array" ref="N916">_xlfn.IFS(H916&gt;=16,"Excellent",H916&gt;=14,"Très bien",H916&gt;=12,"Bien",H916&gt;=10,"Passable",TRUE,"Insuffisant")</f>
        <v>Excellent</v>
      </c>
      <c r="O916">
        <v>0.81840000000000002</v>
      </c>
      <c r="P916">
        <v>80000</v>
      </c>
      <c r="Q916" s="2">
        <v>45743</v>
      </c>
    </row>
    <row r="917" spans="1:17" x14ac:dyDescent="0.45">
      <c r="A917" t="s">
        <v>1243</v>
      </c>
      <c r="B917" t="s">
        <v>41</v>
      </c>
      <c r="C917" t="s">
        <v>14</v>
      </c>
      <c r="D917" t="s">
        <v>35</v>
      </c>
      <c r="E917" t="s">
        <v>16</v>
      </c>
      <c r="F917">
        <v>10.61</v>
      </c>
      <c r="G917">
        <v>8.27</v>
      </c>
      <c r="H917">
        <v>12.45</v>
      </c>
      <c r="I917" s="4" t="str">
        <f t="shared" si="56"/>
        <v>Admis</v>
      </c>
      <c r="J917" s="4" t="str">
        <f t="shared" si="57"/>
        <v>Non eligible</v>
      </c>
      <c r="K917">
        <v>9.51</v>
      </c>
      <c r="L917" s="6" t="str">
        <f t="shared" si="58"/>
        <v>RAS</v>
      </c>
      <c r="M917" s="6" t="str">
        <f t="shared" si="59"/>
        <v>Data</v>
      </c>
      <c r="N917" s="8" t="str" cm="1">
        <f t="array" ref="N917">_xlfn.IFS(H917&gt;=16,"Excellent",H917&gt;=14,"Très bien",H917&gt;=12,"Bien",H917&gt;=10,"Passable",TRUE,"Insuffisant")</f>
        <v>Bien</v>
      </c>
      <c r="O917">
        <v>0.65190000000000003</v>
      </c>
      <c r="P917">
        <v>70000</v>
      </c>
      <c r="Q917" s="2">
        <v>45773</v>
      </c>
    </row>
    <row r="918" spans="1:17" x14ac:dyDescent="0.45">
      <c r="A918" t="s">
        <v>1244</v>
      </c>
      <c r="B918" t="s">
        <v>465</v>
      </c>
      <c r="C918" t="s">
        <v>19</v>
      </c>
      <c r="D918" t="s">
        <v>20</v>
      </c>
      <c r="E918" t="s">
        <v>42</v>
      </c>
      <c r="F918">
        <v>9.35</v>
      </c>
      <c r="G918">
        <v>16.22</v>
      </c>
      <c r="H918">
        <v>14.75</v>
      </c>
      <c r="I918" s="4" t="str">
        <f t="shared" si="56"/>
        <v>Admis</v>
      </c>
      <c r="J918" s="4" t="str">
        <f t="shared" si="57"/>
        <v>Non eligible</v>
      </c>
      <c r="K918">
        <v>10.8</v>
      </c>
      <c r="L918" s="6" t="str">
        <f t="shared" si="58"/>
        <v>A surveiller</v>
      </c>
      <c r="M918" s="6" t="str">
        <f t="shared" si="59"/>
        <v>Hors Data</v>
      </c>
      <c r="N918" s="8" t="str" cm="1">
        <f t="array" ref="N918">_xlfn.IFS(H918&gt;=16,"Excellent",H918&gt;=14,"Très bien",H918&gt;=12,"Bien",H918&gt;=10,"Passable",TRUE,"Insuffisant")</f>
        <v>Très bien</v>
      </c>
      <c r="O918">
        <v>0.93179999999999996</v>
      </c>
      <c r="P918">
        <v>70000</v>
      </c>
      <c r="Q918" s="2">
        <v>46044</v>
      </c>
    </row>
    <row r="919" spans="1:17" x14ac:dyDescent="0.45">
      <c r="A919" t="s">
        <v>1245</v>
      </c>
      <c r="B919" t="s">
        <v>370</v>
      </c>
      <c r="C919" t="s">
        <v>19</v>
      </c>
      <c r="D919" t="s">
        <v>15</v>
      </c>
      <c r="E919" t="s">
        <v>21</v>
      </c>
      <c r="F919">
        <v>5.64</v>
      </c>
      <c r="G919">
        <v>6.58</v>
      </c>
      <c r="H919">
        <v>6.93</v>
      </c>
      <c r="I919" s="4" t="str">
        <f t="shared" si="56"/>
        <v>Non admis</v>
      </c>
      <c r="J919" s="4" t="str">
        <f t="shared" si="57"/>
        <v>Non eligible</v>
      </c>
      <c r="K919">
        <v>10.54</v>
      </c>
      <c r="L919" s="6" t="str">
        <f t="shared" si="58"/>
        <v>A surveiller</v>
      </c>
      <c r="M919" s="6" t="str">
        <f t="shared" si="59"/>
        <v>Hors Data</v>
      </c>
      <c r="N919" s="8" t="str" cm="1">
        <f t="array" ref="N919">_xlfn.IFS(H919&gt;=16,"Excellent",H919&gt;=14,"Très bien",H919&gt;=12,"Bien",H919&gt;=10,"Passable",TRUE,"Insuffisant")</f>
        <v>Insuffisant</v>
      </c>
      <c r="O919">
        <v>0.89249999999999996</v>
      </c>
      <c r="P919">
        <v>130000</v>
      </c>
      <c r="Q919" s="2">
        <v>45848</v>
      </c>
    </row>
    <row r="920" spans="1:17" x14ac:dyDescent="0.45">
      <c r="A920" t="s">
        <v>1246</v>
      </c>
      <c r="B920" t="s">
        <v>443</v>
      </c>
      <c r="C920" t="s">
        <v>14</v>
      </c>
      <c r="D920" t="s">
        <v>28</v>
      </c>
      <c r="E920" t="s">
        <v>42</v>
      </c>
      <c r="F920">
        <v>16.89</v>
      </c>
      <c r="G920">
        <v>14.57</v>
      </c>
      <c r="H920">
        <v>17.489999999999998</v>
      </c>
      <c r="I920" s="4" t="str">
        <f t="shared" si="56"/>
        <v>Admis</v>
      </c>
      <c r="J920" s="4" t="str">
        <f t="shared" si="57"/>
        <v>Eligible</v>
      </c>
      <c r="K920">
        <v>14.75</v>
      </c>
      <c r="L920" s="6" t="str">
        <f t="shared" si="58"/>
        <v>RAS</v>
      </c>
      <c r="M920" s="6" t="str">
        <f t="shared" si="59"/>
        <v>Hors Data</v>
      </c>
      <c r="N920" s="8" t="str" cm="1">
        <f t="array" ref="N920">_xlfn.IFS(H920&gt;=16,"Excellent",H920&gt;=14,"Très bien",H920&gt;=12,"Bien",H920&gt;=10,"Passable",TRUE,"Insuffisant")</f>
        <v>Excellent</v>
      </c>
      <c r="O920">
        <v>0.91790000000000005</v>
      </c>
      <c r="P920">
        <v>90000</v>
      </c>
      <c r="Q920" s="2">
        <v>46122</v>
      </c>
    </row>
    <row r="921" spans="1:17" x14ac:dyDescent="0.45">
      <c r="A921" t="s">
        <v>1247</v>
      </c>
      <c r="B921" t="s">
        <v>649</v>
      </c>
      <c r="C921" t="s">
        <v>19</v>
      </c>
      <c r="D921" t="s">
        <v>15</v>
      </c>
      <c r="E921" t="s">
        <v>16</v>
      </c>
      <c r="F921">
        <v>11.41</v>
      </c>
      <c r="G921">
        <v>7.78</v>
      </c>
      <c r="H921">
        <v>10.49</v>
      </c>
      <c r="I921" s="4" t="str">
        <f t="shared" si="56"/>
        <v>Admis</v>
      </c>
      <c r="J921" s="4" t="str">
        <f t="shared" si="57"/>
        <v>Non eligible</v>
      </c>
      <c r="K921">
        <v>9.92</v>
      </c>
      <c r="L921" s="6" t="str">
        <f t="shared" si="58"/>
        <v>RAS</v>
      </c>
      <c r="M921" s="6" t="str">
        <f t="shared" si="59"/>
        <v>Data</v>
      </c>
      <c r="N921" s="8" t="str" cm="1">
        <f t="array" ref="N921">_xlfn.IFS(H921&gt;=16,"Excellent",H921&gt;=14,"Très bien",H921&gt;=12,"Bien",H921&gt;=10,"Passable",TRUE,"Insuffisant")</f>
        <v>Passable</v>
      </c>
      <c r="O921">
        <v>0.76900000000000002</v>
      </c>
      <c r="P921">
        <v>75000</v>
      </c>
      <c r="Q921" s="2">
        <v>46140</v>
      </c>
    </row>
    <row r="922" spans="1:17" x14ac:dyDescent="0.45">
      <c r="A922" t="s">
        <v>1248</v>
      </c>
      <c r="B922" t="s">
        <v>640</v>
      </c>
      <c r="C922" t="s">
        <v>19</v>
      </c>
      <c r="D922" t="s">
        <v>20</v>
      </c>
      <c r="E922" t="s">
        <v>21</v>
      </c>
      <c r="F922">
        <v>14.47</v>
      </c>
      <c r="G922">
        <v>13.18</v>
      </c>
      <c r="H922">
        <v>18.16</v>
      </c>
      <c r="I922" s="4" t="str">
        <f t="shared" si="56"/>
        <v>Admis</v>
      </c>
      <c r="J922" s="4" t="str">
        <f t="shared" si="57"/>
        <v>Eligible</v>
      </c>
      <c r="K922">
        <v>13.98</v>
      </c>
      <c r="L922" s="6" t="str">
        <f t="shared" si="58"/>
        <v>RAS</v>
      </c>
      <c r="M922" s="6" t="str">
        <f t="shared" si="59"/>
        <v>Hors Data</v>
      </c>
      <c r="N922" s="8" t="str" cm="1">
        <f t="array" ref="N922">_xlfn.IFS(H922&gt;=16,"Excellent",H922&gt;=14,"Très bien",H922&gt;=12,"Bien",H922&gt;=10,"Passable",TRUE,"Insuffisant")</f>
        <v>Excellent</v>
      </c>
      <c r="O922">
        <v>0.90559999999999996</v>
      </c>
      <c r="P922">
        <v>100000</v>
      </c>
      <c r="Q922" s="2">
        <v>45561</v>
      </c>
    </row>
    <row r="923" spans="1:17" x14ac:dyDescent="0.45">
      <c r="A923" t="s">
        <v>1249</v>
      </c>
      <c r="B923" t="s">
        <v>123</v>
      </c>
      <c r="C923" t="s">
        <v>19</v>
      </c>
      <c r="D923" t="s">
        <v>28</v>
      </c>
      <c r="E923" t="s">
        <v>42</v>
      </c>
      <c r="F923">
        <v>6.92</v>
      </c>
      <c r="G923">
        <v>8.91</v>
      </c>
      <c r="H923">
        <v>7.59</v>
      </c>
      <c r="I923" s="4" t="str">
        <f t="shared" si="56"/>
        <v>Non admis</v>
      </c>
      <c r="J923" s="4" t="str">
        <f t="shared" si="57"/>
        <v>Non eligible</v>
      </c>
      <c r="K923">
        <v>3.78</v>
      </c>
      <c r="L923" s="6" t="str">
        <f t="shared" si="58"/>
        <v>A surveiller</v>
      </c>
      <c r="M923" s="6" t="str">
        <f t="shared" si="59"/>
        <v>Hors Data</v>
      </c>
      <c r="N923" s="8" t="str" cm="1">
        <f t="array" ref="N923">_xlfn.IFS(H923&gt;=16,"Excellent",H923&gt;=14,"Très bien",H923&gt;=12,"Bien",H923&gt;=10,"Passable",TRUE,"Insuffisant")</f>
        <v>Insuffisant</v>
      </c>
      <c r="O923">
        <v>0.89639999999999997</v>
      </c>
      <c r="P923">
        <v>90000</v>
      </c>
      <c r="Q923" s="2">
        <v>46042</v>
      </c>
    </row>
    <row r="924" spans="1:17" x14ac:dyDescent="0.45">
      <c r="A924" t="s">
        <v>1250</v>
      </c>
      <c r="B924" t="s">
        <v>1239</v>
      </c>
      <c r="C924" t="s">
        <v>14</v>
      </c>
      <c r="D924" t="s">
        <v>15</v>
      </c>
      <c r="E924" t="s">
        <v>42</v>
      </c>
      <c r="F924">
        <v>11.64</v>
      </c>
      <c r="G924">
        <v>15.4</v>
      </c>
      <c r="H924">
        <v>16.850000000000001</v>
      </c>
      <c r="I924" s="4" t="str">
        <f t="shared" si="56"/>
        <v>Admis</v>
      </c>
      <c r="J924" s="4" t="str">
        <f t="shared" si="57"/>
        <v>Non eligible</v>
      </c>
      <c r="K924">
        <v>14.5</v>
      </c>
      <c r="L924" s="6" t="str">
        <f t="shared" si="58"/>
        <v>RAS</v>
      </c>
      <c r="M924" s="6" t="str">
        <f t="shared" si="59"/>
        <v>Hors Data</v>
      </c>
      <c r="N924" s="8" t="str" cm="1">
        <f t="array" ref="N924">_xlfn.IFS(H924&gt;=16,"Excellent",H924&gt;=14,"Très bien",H924&gt;=12,"Bien",H924&gt;=10,"Passable",TRUE,"Insuffisant")</f>
        <v>Excellent</v>
      </c>
      <c r="O924">
        <v>0.89459999999999995</v>
      </c>
      <c r="P924">
        <v>60000</v>
      </c>
      <c r="Q924" s="2">
        <v>45794</v>
      </c>
    </row>
    <row r="925" spans="1:17" x14ac:dyDescent="0.45">
      <c r="A925" t="s">
        <v>1251</v>
      </c>
      <c r="B925" t="s">
        <v>1032</v>
      </c>
      <c r="C925" t="s">
        <v>14</v>
      </c>
      <c r="D925" t="s">
        <v>15</v>
      </c>
      <c r="E925" t="s">
        <v>16</v>
      </c>
      <c r="F925">
        <v>13.86</v>
      </c>
      <c r="G925">
        <v>17.82</v>
      </c>
      <c r="H925">
        <v>16.440000000000001</v>
      </c>
      <c r="I925" s="4" t="str">
        <f t="shared" si="56"/>
        <v>Admis</v>
      </c>
      <c r="J925" s="4" t="str">
        <f t="shared" si="57"/>
        <v>Non eligible</v>
      </c>
      <c r="K925">
        <v>14.61</v>
      </c>
      <c r="L925" s="6" t="str">
        <f t="shared" si="58"/>
        <v>RAS</v>
      </c>
      <c r="M925" s="6" t="str">
        <f t="shared" si="59"/>
        <v>Data</v>
      </c>
      <c r="N925" s="8" t="str" cm="1">
        <f t="array" ref="N925">_xlfn.IFS(H925&gt;=16,"Excellent",H925&gt;=14,"Très bien",H925&gt;=12,"Bien",H925&gt;=10,"Passable",TRUE,"Insuffisant")</f>
        <v>Excellent</v>
      </c>
      <c r="O925">
        <v>0.76690000000000003</v>
      </c>
      <c r="P925">
        <v>100000</v>
      </c>
      <c r="Q925" s="2">
        <v>45899</v>
      </c>
    </row>
    <row r="926" spans="1:17" x14ac:dyDescent="0.45">
      <c r="A926" t="s">
        <v>1252</v>
      </c>
      <c r="B926" t="s">
        <v>82</v>
      </c>
      <c r="C926" t="s">
        <v>14</v>
      </c>
      <c r="D926" t="s">
        <v>15</v>
      </c>
      <c r="E926" t="s">
        <v>42</v>
      </c>
      <c r="F926">
        <v>11.21</v>
      </c>
      <c r="G926">
        <v>14.87</v>
      </c>
      <c r="H926">
        <v>10.79</v>
      </c>
      <c r="I926" s="4" t="str">
        <f t="shared" si="56"/>
        <v>Admis</v>
      </c>
      <c r="J926" s="4" t="str">
        <f t="shared" si="57"/>
        <v>Non eligible</v>
      </c>
      <c r="K926">
        <v>13.23</v>
      </c>
      <c r="L926" s="6" t="str">
        <f t="shared" si="58"/>
        <v>RAS</v>
      </c>
      <c r="M926" s="6" t="str">
        <f t="shared" si="59"/>
        <v>Hors Data</v>
      </c>
      <c r="N926" s="8" t="str" cm="1">
        <f t="array" ref="N926">_xlfn.IFS(H926&gt;=16,"Excellent",H926&gt;=14,"Très bien",H926&gt;=12,"Bien",H926&gt;=10,"Passable",TRUE,"Insuffisant")</f>
        <v>Passable</v>
      </c>
      <c r="O926">
        <v>0.80840000000000001</v>
      </c>
      <c r="P926">
        <v>60000</v>
      </c>
      <c r="Q926" s="2">
        <v>45721</v>
      </c>
    </row>
    <row r="927" spans="1:17" x14ac:dyDescent="0.45">
      <c r="A927" t="s">
        <v>1253</v>
      </c>
      <c r="B927" t="s">
        <v>714</v>
      </c>
      <c r="C927" t="s">
        <v>19</v>
      </c>
      <c r="D927" t="s">
        <v>28</v>
      </c>
      <c r="E927" t="s">
        <v>16</v>
      </c>
      <c r="F927">
        <v>12.23</v>
      </c>
      <c r="G927">
        <v>12.33</v>
      </c>
      <c r="H927">
        <v>11.91</v>
      </c>
      <c r="I927" s="4" t="str">
        <f t="shared" si="56"/>
        <v>Admis</v>
      </c>
      <c r="J927" s="4" t="str">
        <f t="shared" si="57"/>
        <v>Non eligible</v>
      </c>
      <c r="K927">
        <v>12.41</v>
      </c>
      <c r="L927" s="6" t="str">
        <f t="shared" si="58"/>
        <v>RAS</v>
      </c>
      <c r="M927" s="6" t="str">
        <f t="shared" si="59"/>
        <v>Data</v>
      </c>
      <c r="N927" s="8" t="str" cm="1">
        <f t="array" ref="N927">_xlfn.IFS(H927&gt;=16,"Excellent",H927&gt;=14,"Très bien",H927&gt;=12,"Bien",H927&gt;=10,"Passable",TRUE,"Insuffisant")</f>
        <v>Passable</v>
      </c>
      <c r="O927">
        <v>0.85250000000000004</v>
      </c>
      <c r="P927">
        <v>70000</v>
      </c>
      <c r="Q927" s="2">
        <v>45793</v>
      </c>
    </row>
    <row r="928" spans="1:17" x14ac:dyDescent="0.45">
      <c r="A928" t="s">
        <v>1254</v>
      </c>
      <c r="B928" t="s">
        <v>140</v>
      </c>
      <c r="C928" t="s">
        <v>19</v>
      </c>
      <c r="D928" t="s">
        <v>20</v>
      </c>
      <c r="E928" t="s">
        <v>42</v>
      </c>
      <c r="F928">
        <v>9.4499999999999993</v>
      </c>
      <c r="G928">
        <v>9.98</v>
      </c>
      <c r="H928">
        <v>7</v>
      </c>
      <c r="I928" s="4" t="str">
        <f t="shared" si="56"/>
        <v>Non admis</v>
      </c>
      <c r="J928" s="4" t="str">
        <f t="shared" si="57"/>
        <v>Non eligible</v>
      </c>
      <c r="K928">
        <v>8.6300000000000008</v>
      </c>
      <c r="L928" s="6" t="str">
        <f t="shared" si="58"/>
        <v>A surveiller</v>
      </c>
      <c r="M928" s="6" t="str">
        <f t="shared" si="59"/>
        <v>Hors Data</v>
      </c>
      <c r="N928" s="8" t="str" cm="1">
        <f t="array" ref="N928">_xlfn.IFS(H928&gt;=16,"Excellent",H928&gt;=14,"Très bien",H928&gt;=12,"Bien",H928&gt;=10,"Passable",TRUE,"Insuffisant")</f>
        <v>Insuffisant</v>
      </c>
      <c r="O928">
        <v>0.95640000000000003</v>
      </c>
      <c r="P928">
        <v>100000</v>
      </c>
      <c r="Q928" s="2">
        <v>45767</v>
      </c>
    </row>
    <row r="929" spans="1:17" x14ac:dyDescent="0.45">
      <c r="A929" t="s">
        <v>1255</v>
      </c>
      <c r="B929" t="s">
        <v>146</v>
      </c>
      <c r="C929" t="s">
        <v>14</v>
      </c>
      <c r="D929" t="s">
        <v>15</v>
      </c>
      <c r="E929" t="s">
        <v>16</v>
      </c>
      <c r="F929">
        <v>14.14</v>
      </c>
      <c r="G929">
        <v>16.34</v>
      </c>
      <c r="H929">
        <v>7.1</v>
      </c>
      <c r="I929" s="4" t="str">
        <f t="shared" si="56"/>
        <v>Non admis</v>
      </c>
      <c r="J929" s="4" t="str">
        <f t="shared" si="57"/>
        <v>Non eligible</v>
      </c>
      <c r="K929">
        <v>13.52</v>
      </c>
      <c r="L929" s="6" t="str">
        <f t="shared" si="58"/>
        <v>A surveiller</v>
      </c>
      <c r="M929" s="6" t="str">
        <f t="shared" si="59"/>
        <v>Data</v>
      </c>
      <c r="N929" s="8" t="str" cm="1">
        <f t="array" ref="N929">_xlfn.IFS(H929&gt;=16,"Excellent",H929&gt;=14,"Très bien",H929&gt;=12,"Bien",H929&gt;=10,"Passable",TRUE,"Insuffisant")</f>
        <v>Insuffisant</v>
      </c>
      <c r="O929">
        <v>0.97670000000000001</v>
      </c>
      <c r="P929">
        <v>80000</v>
      </c>
      <c r="Q929" s="2">
        <v>45571</v>
      </c>
    </row>
    <row r="930" spans="1:17" x14ac:dyDescent="0.45">
      <c r="A930" t="s">
        <v>1256</v>
      </c>
      <c r="B930" t="s">
        <v>1178</v>
      </c>
      <c r="C930" t="s">
        <v>14</v>
      </c>
      <c r="D930" t="s">
        <v>20</v>
      </c>
      <c r="E930" t="s">
        <v>21</v>
      </c>
      <c r="F930">
        <v>10.25</v>
      </c>
      <c r="G930">
        <v>13.52</v>
      </c>
      <c r="H930">
        <v>5.33</v>
      </c>
      <c r="I930" s="4" t="str">
        <f t="shared" si="56"/>
        <v>Non admis</v>
      </c>
      <c r="J930" s="4" t="str">
        <f t="shared" si="57"/>
        <v>Non eligible</v>
      </c>
      <c r="K930">
        <v>8.48</v>
      </c>
      <c r="L930" s="6" t="str">
        <f t="shared" si="58"/>
        <v>A surveiller</v>
      </c>
      <c r="M930" s="6" t="str">
        <f t="shared" si="59"/>
        <v>Hors Data</v>
      </c>
      <c r="N930" s="8" t="str" cm="1">
        <f t="array" ref="N930">_xlfn.IFS(H930&gt;=16,"Excellent",H930&gt;=14,"Très bien",H930&gt;=12,"Bien",H930&gt;=10,"Passable",TRUE,"Insuffisant")</f>
        <v>Insuffisant</v>
      </c>
      <c r="O930">
        <v>0.79890000000000005</v>
      </c>
      <c r="P930">
        <v>70000</v>
      </c>
      <c r="Q930" s="2">
        <v>46083</v>
      </c>
    </row>
    <row r="931" spans="1:17" x14ac:dyDescent="0.45">
      <c r="A931" t="s">
        <v>1257</v>
      </c>
      <c r="B931" t="s">
        <v>819</v>
      </c>
      <c r="C931" t="s">
        <v>19</v>
      </c>
      <c r="D931" t="s">
        <v>20</v>
      </c>
      <c r="E931" t="s">
        <v>16</v>
      </c>
      <c r="F931">
        <v>9.2100000000000009</v>
      </c>
      <c r="G931">
        <v>9.48</v>
      </c>
      <c r="H931">
        <v>12.16</v>
      </c>
      <c r="I931" s="4" t="str">
        <f t="shared" si="56"/>
        <v>Admis</v>
      </c>
      <c r="J931" s="4" t="str">
        <f t="shared" si="57"/>
        <v>Non eligible</v>
      </c>
      <c r="K931">
        <v>10.36</v>
      </c>
      <c r="L931" s="6" t="str">
        <f t="shared" si="58"/>
        <v>A surveiller</v>
      </c>
      <c r="M931" s="6" t="str">
        <f t="shared" si="59"/>
        <v>Data</v>
      </c>
      <c r="N931" s="8" t="str" cm="1">
        <f t="array" ref="N931">_xlfn.IFS(H931&gt;=16,"Excellent",H931&gt;=14,"Très bien",H931&gt;=12,"Bien",H931&gt;=10,"Passable",TRUE,"Insuffisant")</f>
        <v>Bien</v>
      </c>
      <c r="O931">
        <v>0.98309999999999997</v>
      </c>
      <c r="P931">
        <v>50000</v>
      </c>
      <c r="Q931" s="2">
        <v>45636</v>
      </c>
    </row>
    <row r="932" spans="1:17" x14ac:dyDescent="0.45">
      <c r="A932" t="s">
        <v>1258</v>
      </c>
      <c r="B932" t="s">
        <v>338</v>
      </c>
      <c r="C932" t="s">
        <v>19</v>
      </c>
      <c r="D932" t="s">
        <v>15</v>
      </c>
      <c r="E932" t="s">
        <v>42</v>
      </c>
      <c r="F932">
        <v>14.06</v>
      </c>
      <c r="G932">
        <v>17.39</v>
      </c>
      <c r="H932">
        <v>17.68</v>
      </c>
      <c r="I932" s="4" t="str">
        <f t="shared" si="56"/>
        <v>Admis</v>
      </c>
      <c r="J932" s="4" t="str">
        <f t="shared" si="57"/>
        <v>Non eligible</v>
      </c>
      <c r="K932">
        <v>16.05</v>
      </c>
      <c r="L932" s="6" t="str">
        <f t="shared" si="58"/>
        <v>RAS</v>
      </c>
      <c r="M932" s="6" t="str">
        <f t="shared" si="59"/>
        <v>Hors Data</v>
      </c>
      <c r="N932" s="8" t="str" cm="1">
        <f t="array" ref="N932">_xlfn.IFS(H932&gt;=16,"Excellent",H932&gt;=14,"Très bien",H932&gt;=12,"Bien",H932&gt;=10,"Passable",TRUE,"Insuffisant")</f>
        <v>Excellent</v>
      </c>
      <c r="O932">
        <v>0.60460000000000003</v>
      </c>
      <c r="P932">
        <v>90000</v>
      </c>
      <c r="Q932" s="2">
        <v>45799</v>
      </c>
    </row>
    <row r="933" spans="1:17" x14ac:dyDescent="0.45">
      <c r="A933" t="s">
        <v>1259</v>
      </c>
      <c r="B933" t="s">
        <v>775</v>
      </c>
      <c r="C933" t="s">
        <v>19</v>
      </c>
      <c r="D933" t="s">
        <v>35</v>
      </c>
      <c r="E933" t="s">
        <v>16</v>
      </c>
      <c r="F933">
        <v>11.8</v>
      </c>
      <c r="G933">
        <v>15</v>
      </c>
      <c r="H933">
        <v>16.59</v>
      </c>
      <c r="I933" s="4" t="str">
        <f t="shared" si="56"/>
        <v>Admis</v>
      </c>
      <c r="J933" s="4" t="str">
        <f t="shared" si="57"/>
        <v>Non eligible</v>
      </c>
      <c r="K933">
        <v>14.88</v>
      </c>
      <c r="L933" s="6" t="str">
        <f t="shared" si="58"/>
        <v>RAS</v>
      </c>
      <c r="M933" s="6" t="str">
        <f t="shared" si="59"/>
        <v>Data</v>
      </c>
      <c r="N933" s="8" t="str" cm="1">
        <f t="array" ref="N933">_xlfn.IFS(H933&gt;=16,"Excellent",H933&gt;=14,"Très bien",H933&gt;=12,"Bien",H933&gt;=10,"Passable",TRUE,"Insuffisant")</f>
        <v>Excellent</v>
      </c>
      <c r="O933">
        <v>0.55000000000000004</v>
      </c>
      <c r="P933">
        <v>100000</v>
      </c>
      <c r="Q933" s="2">
        <v>45671</v>
      </c>
    </row>
    <row r="934" spans="1:17" x14ac:dyDescent="0.45">
      <c r="A934" t="s">
        <v>1260</v>
      </c>
      <c r="B934" t="s">
        <v>285</v>
      </c>
      <c r="C934" t="s">
        <v>14</v>
      </c>
      <c r="D934" t="s">
        <v>32</v>
      </c>
      <c r="E934" t="s">
        <v>42</v>
      </c>
      <c r="F934">
        <v>14.97</v>
      </c>
      <c r="G934">
        <v>12.31</v>
      </c>
      <c r="H934">
        <v>10.65</v>
      </c>
      <c r="I934" s="4" t="str">
        <f t="shared" si="56"/>
        <v>Admis</v>
      </c>
      <c r="J934" s="4" t="str">
        <f t="shared" si="57"/>
        <v>Non eligible</v>
      </c>
      <c r="K934">
        <v>15.05</v>
      </c>
      <c r="L934" s="6" t="str">
        <f t="shared" si="58"/>
        <v>RAS</v>
      </c>
      <c r="M934" s="6" t="str">
        <f t="shared" si="59"/>
        <v>Hors Data</v>
      </c>
      <c r="N934" s="8" t="str" cm="1">
        <f t="array" ref="N934">_xlfn.IFS(H934&gt;=16,"Excellent",H934&gt;=14,"Très bien",H934&gt;=12,"Bien",H934&gt;=10,"Passable",TRUE,"Insuffisant")</f>
        <v>Passable</v>
      </c>
      <c r="O934">
        <v>0.81569999999999998</v>
      </c>
      <c r="P934">
        <v>70000</v>
      </c>
      <c r="Q934" s="2">
        <v>45648</v>
      </c>
    </row>
    <row r="935" spans="1:17" x14ac:dyDescent="0.45">
      <c r="A935" t="s">
        <v>1261</v>
      </c>
      <c r="B935" t="s">
        <v>693</v>
      </c>
      <c r="C935" t="s">
        <v>19</v>
      </c>
      <c r="D935" t="s">
        <v>35</v>
      </c>
      <c r="E935" t="s">
        <v>29</v>
      </c>
      <c r="F935">
        <v>8.07</v>
      </c>
      <c r="G935">
        <v>9.15</v>
      </c>
      <c r="H935">
        <v>9.3000000000000007</v>
      </c>
      <c r="I935" s="4" t="str">
        <f t="shared" si="56"/>
        <v>Non admis</v>
      </c>
      <c r="J935" s="4" t="str">
        <f t="shared" si="57"/>
        <v>Non eligible</v>
      </c>
      <c r="K935">
        <v>8.1199999999999992</v>
      </c>
      <c r="L935" s="6" t="str">
        <f t="shared" si="58"/>
        <v>A surveiller</v>
      </c>
      <c r="M935" s="6" t="str">
        <f t="shared" si="59"/>
        <v>Hors Data</v>
      </c>
      <c r="N935" s="8" t="str" cm="1">
        <f t="array" ref="N935">_xlfn.IFS(H935&gt;=16,"Excellent",H935&gt;=14,"Très bien",H935&gt;=12,"Bien",H935&gt;=10,"Passable",TRUE,"Insuffisant")</f>
        <v>Insuffisant</v>
      </c>
      <c r="O935">
        <v>0.91720000000000002</v>
      </c>
      <c r="P935">
        <v>80000</v>
      </c>
      <c r="Q935" s="2">
        <v>45797</v>
      </c>
    </row>
    <row r="936" spans="1:17" x14ac:dyDescent="0.45">
      <c r="A936" t="s">
        <v>1262</v>
      </c>
      <c r="B936" t="s">
        <v>63</v>
      </c>
      <c r="C936" t="s">
        <v>14</v>
      </c>
      <c r="D936" t="s">
        <v>32</v>
      </c>
      <c r="E936" t="s">
        <v>21</v>
      </c>
      <c r="F936">
        <v>15.98</v>
      </c>
      <c r="G936">
        <v>15.05</v>
      </c>
      <c r="H936">
        <v>15.78</v>
      </c>
      <c r="I936" s="4" t="str">
        <f t="shared" si="56"/>
        <v>Admis</v>
      </c>
      <c r="J936" s="4" t="str">
        <f t="shared" si="57"/>
        <v>Eligible</v>
      </c>
      <c r="K936">
        <v>15.55</v>
      </c>
      <c r="L936" s="6" t="str">
        <f t="shared" si="58"/>
        <v>RAS</v>
      </c>
      <c r="M936" s="6" t="str">
        <f t="shared" si="59"/>
        <v>Hors Data</v>
      </c>
      <c r="N936" s="8" t="str" cm="1">
        <f t="array" ref="N936">_xlfn.IFS(H936&gt;=16,"Excellent",H936&gt;=14,"Très bien",H936&gt;=12,"Bien",H936&gt;=10,"Passable",TRUE,"Insuffisant")</f>
        <v>Très bien</v>
      </c>
      <c r="O936">
        <v>0.82989999999999997</v>
      </c>
      <c r="P936">
        <v>75000</v>
      </c>
      <c r="Q936" s="2">
        <v>46179</v>
      </c>
    </row>
    <row r="937" spans="1:17" x14ac:dyDescent="0.45">
      <c r="A937" t="s">
        <v>1263</v>
      </c>
      <c r="B937" t="s">
        <v>771</v>
      </c>
      <c r="C937" t="s">
        <v>19</v>
      </c>
      <c r="D937" t="s">
        <v>28</v>
      </c>
      <c r="E937" t="s">
        <v>42</v>
      </c>
      <c r="F937">
        <v>17.850000000000001</v>
      </c>
      <c r="G937">
        <v>14.98</v>
      </c>
      <c r="H937">
        <v>15.41</v>
      </c>
      <c r="I937" s="4" t="str">
        <f t="shared" si="56"/>
        <v>Admis</v>
      </c>
      <c r="J937" s="4" t="str">
        <f t="shared" si="57"/>
        <v>Eligible</v>
      </c>
      <c r="K937">
        <v>13.46</v>
      </c>
      <c r="L937" s="6" t="str">
        <f t="shared" si="58"/>
        <v>RAS</v>
      </c>
      <c r="M937" s="6" t="str">
        <f t="shared" si="59"/>
        <v>Hors Data</v>
      </c>
      <c r="N937" s="8" t="str" cm="1">
        <f t="array" ref="N937">_xlfn.IFS(H937&gt;=16,"Excellent",H937&gt;=14,"Très bien",H937&gt;=12,"Bien",H937&gt;=10,"Passable",TRUE,"Insuffisant")</f>
        <v>Très bien</v>
      </c>
      <c r="O937">
        <v>0.95130000000000003</v>
      </c>
      <c r="P937">
        <v>120000</v>
      </c>
      <c r="Q937" s="2">
        <v>46196</v>
      </c>
    </row>
    <row r="938" spans="1:17" x14ac:dyDescent="0.45">
      <c r="A938" t="s">
        <v>1264</v>
      </c>
      <c r="B938" t="s">
        <v>594</v>
      </c>
      <c r="C938" t="s">
        <v>14</v>
      </c>
      <c r="D938" t="s">
        <v>32</v>
      </c>
      <c r="E938" t="s">
        <v>29</v>
      </c>
      <c r="F938">
        <v>9.91</v>
      </c>
      <c r="G938">
        <v>15.25</v>
      </c>
      <c r="H938">
        <v>11.12</v>
      </c>
      <c r="I938" s="4" t="str">
        <f t="shared" si="56"/>
        <v>Admis</v>
      </c>
      <c r="J938" s="4" t="str">
        <f t="shared" si="57"/>
        <v>Non eligible</v>
      </c>
      <c r="K938">
        <v>13.42</v>
      </c>
      <c r="L938" s="6" t="str">
        <f t="shared" si="58"/>
        <v>A surveiller</v>
      </c>
      <c r="M938" s="6" t="str">
        <f t="shared" si="59"/>
        <v>Hors Data</v>
      </c>
      <c r="N938" s="8" t="str" cm="1">
        <f t="array" ref="N938">_xlfn.IFS(H938&gt;=16,"Excellent",H938&gt;=14,"Très bien",H938&gt;=12,"Bien",H938&gt;=10,"Passable",TRUE,"Insuffisant")</f>
        <v>Passable</v>
      </c>
      <c r="O938">
        <v>0.55000000000000004</v>
      </c>
      <c r="P938">
        <v>110000</v>
      </c>
      <c r="Q938" s="2">
        <v>45803</v>
      </c>
    </row>
    <row r="939" spans="1:17" x14ac:dyDescent="0.45">
      <c r="A939" t="s">
        <v>1265</v>
      </c>
      <c r="B939" t="s">
        <v>289</v>
      </c>
      <c r="C939" t="s">
        <v>14</v>
      </c>
      <c r="D939" t="s">
        <v>15</v>
      </c>
      <c r="E939" t="s">
        <v>16</v>
      </c>
      <c r="F939">
        <v>13.82</v>
      </c>
      <c r="G939">
        <v>15.59</v>
      </c>
      <c r="H939">
        <v>19.059999999999999</v>
      </c>
      <c r="I939" s="4" t="str">
        <f t="shared" si="56"/>
        <v>Admis</v>
      </c>
      <c r="J939" s="4" t="str">
        <f t="shared" si="57"/>
        <v>Eligible</v>
      </c>
      <c r="K939">
        <v>15.16</v>
      </c>
      <c r="L939" s="6" t="str">
        <f t="shared" si="58"/>
        <v>RAS</v>
      </c>
      <c r="M939" s="6" t="str">
        <f t="shared" si="59"/>
        <v>Data</v>
      </c>
      <c r="N939" s="8" t="str" cm="1">
        <f t="array" ref="N939">_xlfn.IFS(H939&gt;=16,"Excellent",H939&gt;=14,"Très bien",H939&gt;=12,"Bien",H939&gt;=10,"Passable",TRUE,"Insuffisant")</f>
        <v>Excellent</v>
      </c>
      <c r="O939">
        <v>0.85319999999999996</v>
      </c>
      <c r="P939">
        <v>75000</v>
      </c>
      <c r="Q939" s="2">
        <v>45889</v>
      </c>
    </row>
    <row r="940" spans="1:17" x14ac:dyDescent="0.45">
      <c r="A940" t="s">
        <v>1266</v>
      </c>
      <c r="B940" t="s">
        <v>619</v>
      </c>
      <c r="C940" t="s">
        <v>14</v>
      </c>
      <c r="D940" t="s">
        <v>15</v>
      </c>
      <c r="E940" t="s">
        <v>42</v>
      </c>
      <c r="F940">
        <v>9.09</v>
      </c>
      <c r="G940">
        <v>13.15</v>
      </c>
      <c r="H940">
        <v>15.38</v>
      </c>
      <c r="I940" s="4" t="str">
        <f t="shared" si="56"/>
        <v>Admis</v>
      </c>
      <c r="J940" s="4" t="str">
        <f t="shared" si="57"/>
        <v>Non eligible</v>
      </c>
      <c r="K940">
        <v>9.6300000000000008</v>
      </c>
      <c r="L940" s="6" t="str">
        <f t="shared" si="58"/>
        <v>A surveiller</v>
      </c>
      <c r="M940" s="6" t="str">
        <f t="shared" si="59"/>
        <v>Hors Data</v>
      </c>
      <c r="N940" s="8" t="str" cm="1">
        <f t="array" ref="N940">_xlfn.IFS(H940&gt;=16,"Excellent",H940&gt;=14,"Très bien",H940&gt;=12,"Bien",H940&gt;=10,"Passable",TRUE,"Insuffisant")</f>
        <v>Très bien</v>
      </c>
      <c r="O940">
        <v>0.71779999999999999</v>
      </c>
      <c r="P940">
        <v>85000</v>
      </c>
      <c r="Q940" s="2">
        <v>46225</v>
      </c>
    </row>
    <row r="941" spans="1:17" x14ac:dyDescent="0.45">
      <c r="A941" t="s">
        <v>1267</v>
      </c>
      <c r="B941" t="s">
        <v>465</v>
      </c>
      <c r="C941" t="s">
        <v>19</v>
      </c>
      <c r="D941" t="s">
        <v>20</v>
      </c>
      <c r="E941" t="s">
        <v>29</v>
      </c>
      <c r="F941">
        <v>13.1</v>
      </c>
      <c r="G941">
        <v>16.88</v>
      </c>
      <c r="H941">
        <v>14.84</v>
      </c>
      <c r="I941" s="4" t="str">
        <f t="shared" si="56"/>
        <v>Admis</v>
      </c>
      <c r="J941" s="4" t="str">
        <f t="shared" si="57"/>
        <v>Eligible</v>
      </c>
      <c r="K941">
        <v>15.75</v>
      </c>
      <c r="L941" s="6" t="str">
        <f t="shared" si="58"/>
        <v>RAS</v>
      </c>
      <c r="M941" s="6" t="str">
        <f t="shared" si="59"/>
        <v>Hors Data</v>
      </c>
      <c r="N941" s="8" t="str" cm="1">
        <f t="array" ref="N941">_xlfn.IFS(H941&gt;=16,"Excellent",H941&gt;=14,"Très bien",H941&gt;=12,"Bien",H941&gt;=10,"Passable",TRUE,"Insuffisant")</f>
        <v>Très bien</v>
      </c>
      <c r="O941">
        <v>0.9123</v>
      </c>
      <c r="P941">
        <v>130000</v>
      </c>
      <c r="Q941" s="2">
        <v>45700</v>
      </c>
    </row>
    <row r="942" spans="1:17" x14ac:dyDescent="0.45">
      <c r="A942" t="s">
        <v>1268</v>
      </c>
      <c r="B942" t="s">
        <v>409</v>
      </c>
      <c r="C942" t="s">
        <v>19</v>
      </c>
      <c r="D942" t="s">
        <v>47</v>
      </c>
      <c r="E942" t="s">
        <v>16</v>
      </c>
      <c r="F942">
        <v>10.4</v>
      </c>
      <c r="G942">
        <v>16.95</v>
      </c>
      <c r="H942">
        <v>14.09</v>
      </c>
      <c r="I942" s="4" t="str">
        <f t="shared" si="56"/>
        <v>Admis</v>
      </c>
      <c r="J942" s="4" t="str">
        <f t="shared" si="57"/>
        <v>Non eligible</v>
      </c>
      <c r="K942">
        <v>11.39</v>
      </c>
      <c r="L942" s="6" t="str">
        <f t="shared" si="58"/>
        <v>RAS</v>
      </c>
      <c r="M942" s="6" t="str">
        <f t="shared" si="59"/>
        <v>Data</v>
      </c>
      <c r="N942" s="8" t="str" cm="1">
        <f t="array" ref="N942">_xlfn.IFS(H942&gt;=16,"Excellent",H942&gt;=14,"Très bien",H942&gt;=12,"Bien",H942&gt;=10,"Passable",TRUE,"Insuffisant")</f>
        <v>Très bien</v>
      </c>
      <c r="O942">
        <v>0.82010000000000005</v>
      </c>
      <c r="P942">
        <v>75000</v>
      </c>
      <c r="Q942" s="2">
        <v>46197</v>
      </c>
    </row>
    <row r="943" spans="1:17" x14ac:dyDescent="0.45">
      <c r="A943" t="s">
        <v>1269</v>
      </c>
      <c r="B943" t="s">
        <v>764</v>
      </c>
      <c r="C943" t="s">
        <v>14</v>
      </c>
      <c r="D943" t="s">
        <v>35</v>
      </c>
      <c r="E943" t="s">
        <v>42</v>
      </c>
      <c r="F943">
        <v>13.49</v>
      </c>
      <c r="G943">
        <v>15.24</v>
      </c>
      <c r="H943">
        <v>9.5399999999999991</v>
      </c>
      <c r="I943" s="4" t="str">
        <f t="shared" si="56"/>
        <v>Non admis</v>
      </c>
      <c r="J943" s="4" t="str">
        <f t="shared" si="57"/>
        <v>Non eligible</v>
      </c>
      <c r="K943">
        <v>9.7899999999999991</v>
      </c>
      <c r="L943" s="6" t="str">
        <f t="shared" si="58"/>
        <v>A surveiller</v>
      </c>
      <c r="M943" s="6" t="str">
        <f t="shared" si="59"/>
        <v>Hors Data</v>
      </c>
      <c r="N943" s="8" t="str" cm="1">
        <f t="array" ref="N943">_xlfn.IFS(H943&gt;=16,"Excellent",H943&gt;=14,"Très bien",H943&gt;=12,"Bien",H943&gt;=10,"Passable",TRUE,"Insuffisant")</f>
        <v>Insuffisant</v>
      </c>
      <c r="O943">
        <v>0.88200000000000001</v>
      </c>
      <c r="P943">
        <v>60000</v>
      </c>
      <c r="Q943" s="2">
        <v>45610</v>
      </c>
    </row>
    <row r="944" spans="1:17" x14ac:dyDescent="0.45">
      <c r="A944" t="s">
        <v>1270</v>
      </c>
      <c r="B944" t="s">
        <v>105</v>
      </c>
      <c r="C944" t="s">
        <v>19</v>
      </c>
      <c r="D944" t="s">
        <v>35</v>
      </c>
      <c r="E944" t="s">
        <v>16</v>
      </c>
      <c r="F944">
        <v>16.190000000000001</v>
      </c>
      <c r="G944">
        <v>12.84</v>
      </c>
      <c r="H944">
        <v>18.32</v>
      </c>
      <c r="I944" s="4" t="str">
        <f t="shared" si="56"/>
        <v>Admis</v>
      </c>
      <c r="J944" s="4" t="str">
        <f t="shared" si="57"/>
        <v>Eligible</v>
      </c>
      <c r="K944">
        <v>12.37</v>
      </c>
      <c r="L944" s="6" t="str">
        <f t="shared" si="58"/>
        <v>RAS</v>
      </c>
      <c r="M944" s="6" t="str">
        <f t="shared" si="59"/>
        <v>Data</v>
      </c>
      <c r="N944" s="8" t="str" cm="1">
        <f t="array" ref="N944">_xlfn.IFS(H944&gt;=16,"Excellent",H944&gt;=14,"Très bien",H944&gt;=12,"Bien",H944&gt;=10,"Passable",TRUE,"Insuffisant")</f>
        <v>Excellent</v>
      </c>
      <c r="O944">
        <v>0.9002</v>
      </c>
      <c r="P944">
        <v>75000</v>
      </c>
      <c r="Q944" s="2">
        <v>45694</v>
      </c>
    </row>
    <row r="945" spans="1:17" x14ac:dyDescent="0.45">
      <c r="A945" t="s">
        <v>1271</v>
      </c>
      <c r="B945" t="s">
        <v>353</v>
      </c>
      <c r="C945" t="s">
        <v>14</v>
      </c>
      <c r="D945" t="s">
        <v>28</v>
      </c>
      <c r="E945" t="s">
        <v>16</v>
      </c>
      <c r="F945">
        <v>12.43</v>
      </c>
      <c r="G945">
        <v>12.78</v>
      </c>
      <c r="H945">
        <v>11.68</v>
      </c>
      <c r="I945" s="4" t="str">
        <f t="shared" si="56"/>
        <v>Admis</v>
      </c>
      <c r="J945" s="4" t="str">
        <f t="shared" si="57"/>
        <v>Non eligible</v>
      </c>
      <c r="K945">
        <v>10.42</v>
      </c>
      <c r="L945" s="6" t="str">
        <f t="shared" si="58"/>
        <v>RAS</v>
      </c>
      <c r="M945" s="6" t="str">
        <f t="shared" si="59"/>
        <v>Data</v>
      </c>
      <c r="N945" s="8" t="str" cm="1">
        <f t="array" ref="N945">_xlfn.IFS(H945&gt;=16,"Excellent",H945&gt;=14,"Très bien",H945&gt;=12,"Bien",H945&gt;=10,"Passable",TRUE,"Insuffisant")</f>
        <v>Passable</v>
      </c>
      <c r="O945">
        <v>0.78869999999999996</v>
      </c>
      <c r="P945">
        <v>90000</v>
      </c>
      <c r="Q945" s="2">
        <v>45772</v>
      </c>
    </row>
    <row r="946" spans="1:17" x14ac:dyDescent="0.45">
      <c r="A946" t="s">
        <v>1272</v>
      </c>
      <c r="B946" t="s">
        <v>601</v>
      </c>
      <c r="C946" t="s">
        <v>14</v>
      </c>
      <c r="D946" t="s">
        <v>28</v>
      </c>
      <c r="E946" t="s">
        <v>16</v>
      </c>
      <c r="F946">
        <v>13.01</v>
      </c>
      <c r="G946">
        <v>13.99</v>
      </c>
      <c r="H946">
        <v>14.49</v>
      </c>
      <c r="I946" s="4" t="str">
        <f t="shared" si="56"/>
        <v>Admis</v>
      </c>
      <c r="J946" s="4" t="str">
        <f t="shared" si="57"/>
        <v>Non eligible</v>
      </c>
      <c r="K946">
        <v>12.12</v>
      </c>
      <c r="L946" s="6" t="str">
        <f t="shared" si="58"/>
        <v>RAS</v>
      </c>
      <c r="M946" s="6" t="str">
        <f t="shared" si="59"/>
        <v>Data</v>
      </c>
      <c r="N946" s="8" t="str" cm="1">
        <f t="array" ref="N946">_xlfn.IFS(H946&gt;=16,"Excellent",H946&gt;=14,"Très bien",H946&gt;=12,"Bien",H946&gt;=10,"Passable",TRUE,"Insuffisant")</f>
        <v>Très bien</v>
      </c>
      <c r="O946">
        <v>0.65469999999999995</v>
      </c>
      <c r="P946">
        <v>130000</v>
      </c>
      <c r="Q946" s="2">
        <v>45561</v>
      </c>
    </row>
    <row r="947" spans="1:17" x14ac:dyDescent="0.45">
      <c r="A947" t="s">
        <v>1273</v>
      </c>
      <c r="B947" t="s">
        <v>348</v>
      </c>
      <c r="C947" t="s">
        <v>14</v>
      </c>
      <c r="D947" t="s">
        <v>20</v>
      </c>
      <c r="E947" t="s">
        <v>29</v>
      </c>
      <c r="F947">
        <v>15.24</v>
      </c>
      <c r="G947">
        <v>11.82</v>
      </c>
      <c r="H947">
        <v>16.3</v>
      </c>
      <c r="I947" s="4" t="str">
        <f t="shared" si="56"/>
        <v>Admis</v>
      </c>
      <c r="J947" s="4" t="str">
        <f t="shared" si="57"/>
        <v>Non eligible</v>
      </c>
      <c r="K947">
        <v>14.84</v>
      </c>
      <c r="L947" s="6" t="str">
        <f t="shared" si="58"/>
        <v>RAS</v>
      </c>
      <c r="M947" s="6" t="str">
        <f t="shared" si="59"/>
        <v>Hors Data</v>
      </c>
      <c r="N947" s="8" t="str" cm="1">
        <f t="array" ref="N947">_xlfn.IFS(H947&gt;=16,"Excellent",H947&gt;=14,"Très bien",H947&gt;=12,"Bien",H947&gt;=10,"Passable",TRUE,"Insuffisant")</f>
        <v>Excellent</v>
      </c>
      <c r="O947">
        <v>0.79479999999999995</v>
      </c>
      <c r="P947">
        <v>75000</v>
      </c>
      <c r="Q947" s="2">
        <v>46107</v>
      </c>
    </row>
    <row r="948" spans="1:17" x14ac:dyDescent="0.45">
      <c r="A948" t="s">
        <v>1274</v>
      </c>
      <c r="B948" t="s">
        <v>409</v>
      </c>
      <c r="C948" t="s">
        <v>19</v>
      </c>
      <c r="D948" t="s">
        <v>32</v>
      </c>
      <c r="E948" t="s">
        <v>16</v>
      </c>
      <c r="F948">
        <v>3.35</v>
      </c>
      <c r="G948">
        <v>5.0999999999999996</v>
      </c>
      <c r="H948">
        <v>4.24</v>
      </c>
      <c r="I948" s="4" t="str">
        <f t="shared" si="56"/>
        <v>Non admis</v>
      </c>
      <c r="J948" s="4" t="str">
        <f t="shared" si="57"/>
        <v>Non eligible</v>
      </c>
      <c r="K948">
        <v>4.87</v>
      </c>
      <c r="L948" s="6" t="str">
        <f t="shared" si="58"/>
        <v>A surveiller</v>
      </c>
      <c r="M948" s="6" t="str">
        <f t="shared" si="59"/>
        <v>Data</v>
      </c>
      <c r="N948" s="8" t="str" cm="1">
        <f t="array" ref="N948">_xlfn.IFS(H948&gt;=16,"Excellent",H948&gt;=14,"Très bien",H948&gt;=12,"Bien",H948&gt;=10,"Passable",TRUE,"Insuffisant")</f>
        <v>Insuffisant</v>
      </c>
      <c r="O948">
        <v>0.61209999999999998</v>
      </c>
      <c r="P948">
        <v>50000</v>
      </c>
      <c r="Q948" s="2">
        <v>46134</v>
      </c>
    </row>
    <row r="949" spans="1:17" x14ac:dyDescent="0.45">
      <c r="A949" t="s">
        <v>1275</v>
      </c>
      <c r="B949" t="s">
        <v>1276</v>
      </c>
      <c r="C949" t="s">
        <v>14</v>
      </c>
      <c r="D949" t="s">
        <v>20</v>
      </c>
      <c r="E949" t="s">
        <v>16</v>
      </c>
      <c r="F949">
        <v>16.100000000000001</v>
      </c>
      <c r="G949">
        <v>20</v>
      </c>
      <c r="H949">
        <v>17.36</v>
      </c>
      <c r="I949" s="4" t="str">
        <f t="shared" si="56"/>
        <v>Admis</v>
      </c>
      <c r="J949" s="4" t="str">
        <f t="shared" si="57"/>
        <v>Eligible</v>
      </c>
      <c r="K949">
        <v>15</v>
      </c>
      <c r="L949" s="6" t="str">
        <f t="shared" si="58"/>
        <v>RAS</v>
      </c>
      <c r="M949" s="6" t="str">
        <f t="shared" si="59"/>
        <v>Data</v>
      </c>
      <c r="N949" s="8" t="str" cm="1">
        <f t="array" ref="N949">_xlfn.IFS(H949&gt;=16,"Excellent",H949&gt;=14,"Très bien",H949&gt;=12,"Bien",H949&gt;=10,"Passable",TRUE,"Insuffisant")</f>
        <v>Excellent</v>
      </c>
      <c r="O949">
        <v>0.97350000000000003</v>
      </c>
      <c r="P949">
        <v>60000</v>
      </c>
      <c r="Q949" s="2">
        <v>45804</v>
      </c>
    </row>
    <row r="950" spans="1:17" x14ac:dyDescent="0.45">
      <c r="A950" t="s">
        <v>1277</v>
      </c>
      <c r="B950" t="s">
        <v>427</v>
      </c>
      <c r="C950" t="s">
        <v>19</v>
      </c>
      <c r="D950" t="s">
        <v>32</v>
      </c>
      <c r="E950" t="s">
        <v>29</v>
      </c>
      <c r="F950">
        <v>9.6999999999999993</v>
      </c>
      <c r="G950">
        <v>6.38</v>
      </c>
      <c r="H950">
        <v>1.99</v>
      </c>
      <c r="I950" s="4" t="str">
        <f t="shared" si="56"/>
        <v>Non admis</v>
      </c>
      <c r="J950" s="4" t="str">
        <f t="shared" si="57"/>
        <v>Non eligible</v>
      </c>
      <c r="K950">
        <v>6.79</v>
      </c>
      <c r="L950" s="6" t="str">
        <f t="shared" si="58"/>
        <v>A surveiller</v>
      </c>
      <c r="M950" s="6" t="str">
        <f t="shared" si="59"/>
        <v>Hors Data</v>
      </c>
      <c r="N950" s="8" t="str" cm="1">
        <f t="array" ref="N950">_xlfn.IFS(H950&gt;=16,"Excellent",H950&gt;=14,"Très bien",H950&gt;=12,"Bien",H950&gt;=10,"Passable",TRUE,"Insuffisant")</f>
        <v>Insuffisant</v>
      </c>
      <c r="O950">
        <v>0.84860000000000002</v>
      </c>
      <c r="P950">
        <v>80000</v>
      </c>
      <c r="Q950" s="2">
        <v>46121</v>
      </c>
    </row>
    <row r="951" spans="1:17" x14ac:dyDescent="0.45">
      <c r="A951" t="s">
        <v>1278</v>
      </c>
      <c r="B951" t="s">
        <v>109</v>
      </c>
      <c r="C951" t="s">
        <v>14</v>
      </c>
      <c r="D951" t="s">
        <v>20</v>
      </c>
      <c r="E951" t="s">
        <v>16</v>
      </c>
      <c r="F951">
        <v>11.99</v>
      </c>
      <c r="G951">
        <v>16.61</v>
      </c>
      <c r="H951">
        <v>14.37</v>
      </c>
      <c r="I951" s="4" t="str">
        <f t="shared" si="56"/>
        <v>Admis</v>
      </c>
      <c r="J951" s="4" t="str">
        <f t="shared" si="57"/>
        <v>Non eligible</v>
      </c>
      <c r="K951">
        <v>11.54</v>
      </c>
      <c r="L951" s="6" t="str">
        <f t="shared" si="58"/>
        <v>RAS</v>
      </c>
      <c r="M951" s="6" t="str">
        <f t="shared" si="59"/>
        <v>Data</v>
      </c>
      <c r="N951" s="8" t="str" cm="1">
        <f t="array" ref="N951">_xlfn.IFS(H951&gt;=16,"Excellent",H951&gt;=14,"Très bien",H951&gt;=12,"Bien",H951&gt;=10,"Passable",TRUE,"Insuffisant")</f>
        <v>Très bien</v>
      </c>
      <c r="O951">
        <v>0.73440000000000005</v>
      </c>
      <c r="P951">
        <v>60000</v>
      </c>
      <c r="Q951" s="2">
        <v>46076</v>
      </c>
    </row>
    <row r="952" spans="1:17" x14ac:dyDescent="0.45">
      <c r="A952" t="s">
        <v>1279</v>
      </c>
      <c r="B952" t="s">
        <v>731</v>
      </c>
      <c r="C952" t="s">
        <v>14</v>
      </c>
      <c r="D952" t="s">
        <v>32</v>
      </c>
      <c r="E952" t="s">
        <v>16</v>
      </c>
      <c r="F952">
        <v>13.76</v>
      </c>
      <c r="G952">
        <v>17.16</v>
      </c>
      <c r="H952">
        <v>16.34</v>
      </c>
      <c r="I952" s="4" t="str">
        <f t="shared" si="56"/>
        <v>Admis</v>
      </c>
      <c r="J952" s="4" t="str">
        <f t="shared" si="57"/>
        <v>Non eligible</v>
      </c>
      <c r="K952">
        <v>18.61</v>
      </c>
      <c r="L952" s="6" t="str">
        <f t="shared" si="58"/>
        <v>RAS</v>
      </c>
      <c r="M952" s="6" t="str">
        <f t="shared" si="59"/>
        <v>Data</v>
      </c>
      <c r="N952" s="8" t="str" cm="1">
        <f t="array" ref="N952">_xlfn.IFS(H952&gt;=16,"Excellent",H952&gt;=14,"Très bien",H952&gt;=12,"Bien",H952&gt;=10,"Passable",TRUE,"Insuffisant")</f>
        <v>Excellent</v>
      </c>
      <c r="O952">
        <v>0.55000000000000004</v>
      </c>
      <c r="P952">
        <v>50000</v>
      </c>
      <c r="Q952" s="2">
        <v>46096</v>
      </c>
    </row>
    <row r="953" spans="1:17" x14ac:dyDescent="0.45">
      <c r="A953" t="s">
        <v>1280</v>
      </c>
      <c r="B953" t="s">
        <v>969</v>
      </c>
      <c r="C953" t="s">
        <v>14</v>
      </c>
      <c r="D953" t="s">
        <v>20</v>
      </c>
      <c r="E953" t="s">
        <v>29</v>
      </c>
      <c r="F953">
        <v>13.01</v>
      </c>
      <c r="G953">
        <v>18.399999999999999</v>
      </c>
      <c r="H953">
        <v>15.36</v>
      </c>
      <c r="I953" s="4" t="str">
        <f t="shared" si="56"/>
        <v>Admis</v>
      </c>
      <c r="J953" s="4" t="str">
        <f t="shared" si="57"/>
        <v>Eligible</v>
      </c>
      <c r="K953">
        <v>12.08</v>
      </c>
      <c r="L953" s="6" t="str">
        <f t="shared" si="58"/>
        <v>RAS</v>
      </c>
      <c r="M953" s="6" t="str">
        <f t="shared" si="59"/>
        <v>Hors Data</v>
      </c>
      <c r="N953" s="8" t="str" cm="1">
        <f t="array" ref="N953">_xlfn.IFS(H953&gt;=16,"Excellent",H953&gt;=14,"Très bien",H953&gt;=12,"Bien",H953&gt;=10,"Passable",TRUE,"Insuffisant")</f>
        <v>Très bien</v>
      </c>
      <c r="O953">
        <v>0.89159999999999995</v>
      </c>
      <c r="P953">
        <v>100000</v>
      </c>
      <c r="Q953" s="2">
        <v>46097</v>
      </c>
    </row>
    <row r="954" spans="1:17" x14ac:dyDescent="0.45">
      <c r="A954" t="s">
        <v>1281</v>
      </c>
      <c r="B954" t="s">
        <v>75</v>
      </c>
      <c r="C954" t="s">
        <v>19</v>
      </c>
      <c r="D954" t="s">
        <v>20</v>
      </c>
      <c r="E954" t="s">
        <v>16</v>
      </c>
      <c r="F954">
        <v>6.42</v>
      </c>
      <c r="G954">
        <v>10.19</v>
      </c>
      <c r="H954">
        <v>9.15</v>
      </c>
      <c r="I954" s="4" t="str">
        <f t="shared" si="56"/>
        <v>Non admis</v>
      </c>
      <c r="J954" s="4" t="str">
        <f t="shared" si="57"/>
        <v>Non eligible</v>
      </c>
      <c r="K954">
        <v>9.24</v>
      </c>
      <c r="L954" s="6" t="str">
        <f t="shared" si="58"/>
        <v>A surveiller</v>
      </c>
      <c r="M954" s="6" t="str">
        <f t="shared" si="59"/>
        <v>Data</v>
      </c>
      <c r="N954" s="8" t="str" cm="1">
        <f t="array" ref="N954">_xlfn.IFS(H954&gt;=16,"Excellent",H954&gt;=14,"Très bien",H954&gt;=12,"Bien",H954&gt;=10,"Passable",TRUE,"Insuffisant")</f>
        <v>Insuffisant</v>
      </c>
      <c r="O954">
        <v>0.79420000000000002</v>
      </c>
      <c r="P954">
        <v>120000</v>
      </c>
      <c r="Q954" s="2">
        <v>45937</v>
      </c>
    </row>
    <row r="955" spans="1:17" x14ac:dyDescent="0.45">
      <c r="A955" t="s">
        <v>1282</v>
      </c>
      <c r="B955" t="s">
        <v>59</v>
      </c>
      <c r="C955" t="s">
        <v>14</v>
      </c>
      <c r="D955" t="s">
        <v>32</v>
      </c>
      <c r="E955" t="s">
        <v>21</v>
      </c>
      <c r="F955">
        <v>7.8</v>
      </c>
      <c r="G955">
        <v>10.89</v>
      </c>
      <c r="H955">
        <v>10.34</v>
      </c>
      <c r="I955" s="4" t="str">
        <f t="shared" si="56"/>
        <v>Admis</v>
      </c>
      <c r="J955" s="4" t="str">
        <f t="shared" si="57"/>
        <v>Non eligible</v>
      </c>
      <c r="K955">
        <v>9.1</v>
      </c>
      <c r="L955" s="6" t="str">
        <f t="shared" si="58"/>
        <v>A surveiller</v>
      </c>
      <c r="M955" s="6" t="str">
        <f t="shared" si="59"/>
        <v>Hors Data</v>
      </c>
      <c r="N955" s="8" t="str" cm="1">
        <f t="array" ref="N955">_xlfn.IFS(H955&gt;=16,"Excellent",H955&gt;=14,"Très bien",H955&gt;=12,"Bien",H955&gt;=10,"Passable",TRUE,"Insuffisant")</f>
        <v>Passable</v>
      </c>
      <c r="O955">
        <v>0.91359999999999997</v>
      </c>
      <c r="P955">
        <v>70000</v>
      </c>
      <c r="Q955" s="2">
        <v>45613</v>
      </c>
    </row>
    <row r="956" spans="1:17" x14ac:dyDescent="0.45">
      <c r="A956" t="s">
        <v>1283</v>
      </c>
      <c r="B956" t="s">
        <v>31</v>
      </c>
      <c r="C956" t="s">
        <v>19</v>
      </c>
      <c r="D956" t="s">
        <v>28</v>
      </c>
      <c r="E956" t="s">
        <v>29</v>
      </c>
      <c r="F956">
        <v>14.08</v>
      </c>
      <c r="G956">
        <v>13.96</v>
      </c>
      <c r="H956">
        <v>13.91</v>
      </c>
      <c r="I956" s="4" t="str">
        <f t="shared" si="56"/>
        <v>Admis</v>
      </c>
      <c r="J956" s="4" t="str">
        <f t="shared" si="57"/>
        <v>Non eligible</v>
      </c>
      <c r="K956">
        <v>16.260000000000002</v>
      </c>
      <c r="L956" s="6" t="str">
        <f t="shared" si="58"/>
        <v>RAS</v>
      </c>
      <c r="M956" s="6" t="str">
        <f t="shared" si="59"/>
        <v>Hors Data</v>
      </c>
      <c r="N956" s="8" t="str" cm="1">
        <f t="array" ref="N956">_xlfn.IFS(H956&gt;=16,"Excellent",H956&gt;=14,"Très bien",H956&gt;=12,"Bien",H956&gt;=10,"Passable",TRUE,"Insuffisant")</f>
        <v>Bien</v>
      </c>
      <c r="O956">
        <v>0.69810000000000005</v>
      </c>
      <c r="P956">
        <v>85000</v>
      </c>
      <c r="Q956" s="2">
        <v>46182</v>
      </c>
    </row>
    <row r="957" spans="1:17" x14ac:dyDescent="0.45">
      <c r="A957" t="s">
        <v>1284</v>
      </c>
      <c r="B957" t="s">
        <v>544</v>
      </c>
      <c r="C957" t="s">
        <v>19</v>
      </c>
      <c r="D957" t="s">
        <v>15</v>
      </c>
      <c r="E957" t="s">
        <v>21</v>
      </c>
      <c r="F957">
        <v>7.14</v>
      </c>
      <c r="G957">
        <v>10.96</v>
      </c>
      <c r="H957">
        <v>9.99</v>
      </c>
      <c r="I957" s="4" t="str">
        <f t="shared" si="56"/>
        <v>Non admis</v>
      </c>
      <c r="J957" s="4" t="str">
        <f t="shared" si="57"/>
        <v>Non eligible</v>
      </c>
      <c r="K957">
        <v>9.59</v>
      </c>
      <c r="L957" s="6" t="str">
        <f t="shared" si="58"/>
        <v>A surveiller</v>
      </c>
      <c r="M957" s="6" t="str">
        <f t="shared" si="59"/>
        <v>Hors Data</v>
      </c>
      <c r="N957" s="8" t="str" cm="1">
        <f t="array" ref="N957">_xlfn.IFS(H957&gt;=16,"Excellent",H957&gt;=14,"Très bien",H957&gt;=12,"Bien",H957&gt;=10,"Passable",TRUE,"Insuffisant")</f>
        <v>Insuffisant</v>
      </c>
      <c r="O957">
        <v>0.75960000000000005</v>
      </c>
      <c r="P957">
        <v>90000</v>
      </c>
      <c r="Q957" s="2">
        <v>45962</v>
      </c>
    </row>
    <row r="958" spans="1:17" x14ac:dyDescent="0.45">
      <c r="A958" t="s">
        <v>1285</v>
      </c>
      <c r="B958" t="s">
        <v>289</v>
      </c>
      <c r="C958" t="s">
        <v>14</v>
      </c>
      <c r="D958" t="s">
        <v>32</v>
      </c>
      <c r="E958" t="s">
        <v>21</v>
      </c>
      <c r="F958">
        <v>18.72</v>
      </c>
      <c r="G958">
        <v>15.96</v>
      </c>
      <c r="H958">
        <v>14.93</v>
      </c>
      <c r="I958" s="4" t="str">
        <f t="shared" si="56"/>
        <v>Admis</v>
      </c>
      <c r="J958" s="4" t="str">
        <f t="shared" si="57"/>
        <v>Eligible</v>
      </c>
      <c r="K958">
        <v>15.66</v>
      </c>
      <c r="L958" s="6" t="str">
        <f t="shared" si="58"/>
        <v>RAS</v>
      </c>
      <c r="M958" s="6" t="str">
        <f t="shared" si="59"/>
        <v>Hors Data</v>
      </c>
      <c r="N958" s="8" t="str" cm="1">
        <f t="array" ref="N958">_xlfn.IFS(H958&gt;=16,"Excellent",H958&gt;=14,"Très bien",H958&gt;=12,"Bien",H958&gt;=10,"Passable",TRUE,"Insuffisant")</f>
        <v>Très bien</v>
      </c>
      <c r="O958">
        <v>0.82430000000000003</v>
      </c>
      <c r="P958">
        <v>100000</v>
      </c>
      <c r="Q958" s="2">
        <v>46166</v>
      </c>
    </row>
    <row r="959" spans="1:17" x14ac:dyDescent="0.45">
      <c r="A959" t="s">
        <v>1286</v>
      </c>
      <c r="B959" t="s">
        <v>309</v>
      </c>
      <c r="C959" t="s">
        <v>19</v>
      </c>
      <c r="D959" t="s">
        <v>28</v>
      </c>
      <c r="E959" t="s">
        <v>21</v>
      </c>
      <c r="F959">
        <v>14.62</v>
      </c>
      <c r="G959">
        <v>12.32</v>
      </c>
      <c r="H959">
        <v>12.48</v>
      </c>
      <c r="I959" s="4" t="str">
        <f t="shared" si="56"/>
        <v>Admis</v>
      </c>
      <c r="J959" s="4" t="str">
        <f t="shared" si="57"/>
        <v>Eligible</v>
      </c>
      <c r="K959">
        <v>14.39</v>
      </c>
      <c r="L959" s="6" t="str">
        <f t="shared" si="58"/>
        <v>RAS</v>
      </c>
      <c r="M959" s="6" t="str">
        <f t="shared" si="59"/>
        <v>Hors Data</v>
      </c>
      <c r="N959" s="8" t="str" cm="1">
        <f t="array" ref="N959">_xlfn.IFS(H959&gt;=16,"Excellent",H959&gt;=14,"Très bien",H959&gt;=12,"Bien",H959&gt;=10,"Passable",TRUE,"Insuffisant")</f>
        <v>Bien</v>
      </c>
      <c r="O959">
        <v>0.89080000000000004</v>
      </c>
      <c r="P959">
        <v>130000</v>
      </c>
      <c r="Q959" s="2">
        <v>46207</v>
      </c>
    </row>
    <row r="960" spans="1:17" x14ac:dyDescent="0.45">
      <c r="A960" t="s">
        <v>1287</v>
      </c>
      <c r="B960" t="s">
        <v>1100</v>
      </c>
      <c r="C960" t="s">
        <v>19</v>
      </c>
      <c r="D960" t="s">
        <v>35</v>
      </c>
      <c r="E960" t="s">
        <v>42</v>
      </c>
      <c r="F960">
        <v>11.31</v>
      </c>
      <c r="G960">
        <v>13.38</v>
      </c>
      <c r="H960">
        <v>10.36</v>
      </c>
      <c r="I960" s="4" t="str">
        <f t="shared" si="56"/>
        <v>Admis</v>
      </c>
      <c r="J960" s="4" t="str">
        <f t="shared" si="57"/>
        <v>Non eligible</v>
      </c>
      <c r="K960">
        <v>8.27</v>
      </c>
      <c r="L960" s="6" t="str">
        <f t="shared" si="58"/>
        <v>RAS</v>
      </c>
      <c r="M960" s="6" t="str">
        <f t="shared" si="59"/>
        <v>Hors Data</v>
      </c>
      <c r="N960" s="8" t="str" cm="1">
        <f t="array" ref="N960">_xlfn.IFS(H960&gt;=16,"Excellent",H960&gt;=14,"Très bien",H960&gt;=12,"Bien",H960&gt;=10,"Passable",TRUE,"Insuffisant")</f>
        <v>Passable</v>
      </c>
      <c r="O960">
        <v>0.9284</v>
      </c>
      <c r="P960">
        <v>120000</v>
      </c>
      <c r="Q960" s="2">
        <v>45667</v>
      </c>
    </row>
    <row r="961" spans="1:17" x14ac:dyDescent="0.45">
      <c r="A961" t="s">
        <v>1288</v>
      </c>
      <c r="B961" t="s">
        <v>146</v>
      </c>
      <c r="C961" t="s">
        <v>14</v>
      </c>
      <c r="D961" t="s">
        <v>47</v>
      </c>
      <c r="E961" t="s">
        <v>29</v>
      </c>
      <c r="F961">
        <v>9.4499999999999993</v>
      </c>
      <c r="G961">
        <v>14.82</v>
      </c>
      <c r="H961">
        <v>12.33</v>
      </c>
      <c r="I961" s="4" t="str">
        <f t="shared" si="56"/>
        <v>Admis</v>
      </c>
      <c r="J961" s="4" t="str">
        <f t="shared" si="57"/>
        <v>Non eligible</v>
      </c>
      <c r="K961">
        <v>13.44</v>
      </c>
      <c r="L961" s="6" t="str">
        <f t="shared" si="58"/>
        <v>A surveiller</v>
      </c>
      <c r="M961" s="6" t="str">
        <f t="shared" si="59"/>
        <v>Hors Data</v>
      </c>
      <c r="N961" s="8" t="str" cm="1">
        <f t="array" ref="N961">_xlfn.IFS(H961&gt;=16,"Excellent",H961&gt;=14,"Très bien",H961&gt;=12,"Bien",H961&gt;=10,"Passable",TRUE,"Insuffisant")</f>
        <v>Bien</v>
      </c>
      <c r="O961">
        <v>0.94369999999999998</v>
      </c>
      <c r="P961">
        <v>75000</v>
      </c>
      <c r="Q961" s="2">
        <v>45817</v>
      </c>
    </row>
    <row r="962" spans="1:17" x14ac:dyDescent="0.45">
      <c r="A962" t="s">
        <v>1289</v>
      </c>
      <c r="B962" t="s">
        <v>258</v>
      </c>
      <c r="C962" t="s">
        <v>14</v>
      </c>
      <c r="D962" t="s">
        <v>35</v>
      </c>
      <c r="E962" t="s">
        <v>42</v>
      </c>
      <c r="F962">
        <v>9.4600000000000009</v>
      </c>
      <c r="G962">
        <v>13.54</v>
      </c>
      <c r="H962">
        <v>7.1</v>
      </c>
      <c r="I962" s="4" t="str">
        <f t="shared" si="56"/>
        <v>Non admis</v>
      </c>
      <c r="J962" s="4" t="str">
        <f t="shared" si="57"/>
        <v>Non eligible</v>
      </c>
      <c r="K962">
        <v>9.2799999999999994</v>
      </c>
      <c r="L962" s="6" t="str">
        <f t="shared" si="58"/>
        <v>A surveiller</v>
      </c>
      <c r="M962" s="6" t="str">
        <f t="shared" si="59"/>
        <v>Hors Data</v>
      </c>
      <c r="N962" s="8" t="str" cm="1">
        <f t="array" ref="N962">_xlfn.IFS(H962&gt;=16,"Excellent",H962&gt;=14,"Très bien",H962&gt;=12,"Bien",H962&gt;=10,"Passable",TRUE,"Insuffisant")</f>
        <v>Insuffisant</v>
      </c>
      <c r="O962">
        <v>0.94099999999999995</v>
      </c>
      <c r="P962">
        <v>130000</v>
      </c>
      <c r="Q962" s="2">
        <v>45670</v>
      </c>
    </row>
    <row r="963" spans="1:17" x14ac:dyDescent="0.45">
      <c r="A963" t="s">
        <v>1290</v>
      </c>
      <c r="B963" t="s">
        <v>372</v>
      </c>
      <c r="C963" t="s">
        <v>14</v>
      </c>
      <c r="D963" t="s">
        <v>35</v>
      </c>
      <c r="E963" t="s">
        <v>16</v>
      </c>
      <c r="F963">
        <v>16.52</v>
      </c>
      <c r="G963">
        <v>15.53</v>
      </c>
      <c r="H963">
        <v>15.62</v>
      </c>
      <c r="I963" s="4" t="str">
        <f t="shared" ref="I963:I1001" si="60">IF(H963&gt;=10,"Admis","Non admis")</f>
        <v>Admis</v>
      </c>
      <c r="J963" s="4" t="str">
        <f t="shared" ref="J963:J1001" si="61">IF(AND(F963&gt;=12,H963&gt;=12,O963&gt;=0.8),"Eligible","Non eligible")</f>
        <v>Eligible</v>
      </c>
      <c r="K963">
        <v>17.7</v>
      </c>
      <c r="L963" s="6" t="str">
        <f t="shared" ref="L963:L1001" si="62">IF(OR(F963&lt;10,H963&lt;10),"A surveiller","RAS")</f>
        <v>RAS</v>
      </c>
      <c r="M963" s="6" t="str">
        <f t="shared" ref="M963:M1001" si="63">IF(NOT(E963="Data"),"Hors Data","Data")</f>
        <v>Data</v>
      </c>
      <c r="N963" s="8" t="str" cm="1">
        <f t="array" ref="N963">_xlfn.IFS(H963&gt;=16,"Excellent",H963&gt;=14,"Très bien",H963&gt;=12,"Bien",H963&gt;=10,"Passable",TRUE,"Insuffisant")</f>
        <v>Très bien</v>
      </c>
      <c r="O963">
        <v>0.93889999999999996</v>
      </c>
      <c r="P963">
        <v>50000</v>
      </c>
      <c r="Q963" s="2">
        <v>45571</v>
      </c>
    </row>
    <row r="964" spans="1:17" x14ac:dyDescent="0.45">
      <c r="A964" t="s">
        <v>1291</v>
      </c>
      <c r="B964" t="s">
        <v>771</v>
      </c>
      <c r="C964" t="s">
        <v>19</v>
      </c>
      <c r="D964" t="s">
        <v>28</v>
      </c>
      <c r="E964" t="s">
        <v>21</v>
      </c>
      <c r="F964">
        <v>14.17</v>
      </c>
      <c r="G964">
        <v>15.84</v>
      </c>
      <c r="H964">
        <v>17.5</v>
      </c>
      <c r="I964" s="4" t="str">
        <f t="shared" si="60"/>
        <v>Admis</v>
      </c>
      <c r="J964" s="4" t="str">
        <f t="shared" si="61"/>
        <v>Eligible</v>
      </c>
      <c r="K964">
        <v>15.58</v>
      </c>
      <c r="L964" s="6" t="str">
        <f t="shared" si="62"/>
        <v>RAS</v>
      </c>
      <c r="M964" s="6" t="str">
        <f t="shared" si="63"/>
        <v>Hors Data</v>
      </c>
      <c r="N964" s="8" t="str" cm="1">
        <f t="array" ref="N964">_xlfn.IFS(H964&gt;=16,"Excellent",H964&gt;=14,"Très bien",H964&gt;=12,"Bien",H964&gt;=10,"Passable",TRUE,"Insuffisant")</f>
        <v>Excellent</v>
      </c>
      <c r="O964">
        <v>0.87539999999999996</v>
      </c>
      <c r="P964">
        <v>130000</v>
      </c>
      <c r="Q964" s="2">
        <v>46212</v>
      </c>
    </row>
    <row r="965" spans="1:17" x14ac:dyDescent="0.45">
      <c r="A965" t="s">
        <v>1292</v>
      </c>
      <c r="B965" t="s">
        <v>188</v>
      </c>
      <c r="C965" t="s">
        <v>14</v>
      </c>
      <c r="D965" t="s">
        <v>28</v>
      </c>
      <c r="E965" t="s">
        <v>29</v>
      </c>
      <c r="F965">
        <v>8.07</v>
      </c>
      <c r="G965">
        <v>8.9499999999999993</v>
      </c>
      <c r="H965">
        <v>8.0500000000000007</v>
      </c>
      <c r="I965" s="4" t="str">
        <f t="shared" si="60"/>
        <v>Non admis</v>
      </c>
      <c r="J965" s="4" t="str">
        <f t="shared" si="61"/>
        <v>Non eligible</v>
      </c>
      <c r="K965">
        <v>11.93</v>
      </c>
      <c r="L965" s="6" t="str">
        <f t="shared" si="62"/>
        <v>A surveiller</v>
      </c>
      <c r="M965" s="6" t="str">
        <f t="shared" si="63"/>
        <v>Hors Data</v>
      </c>
      <c r="N965" s="8" t="str" cm="1">
        <f t="array" ref="N965">_xlfn.IFS(H965&gt;=16,"Excellent",H965&gt;=14,"Très bien",H965&gt;=12,"Bien",H965&gt;=10,"Passable",TRUE,"Insuffisant")</f>
        <v>Insuffisant</v>
      </c>
      <c r="O965">
        <v>0.92620000000000002</v>
      </c>
      <c r="P965">
        <v>60000</v>
      </c>
      <c r="Q965" s="2">
        <v>46182</v>
      </c>
    </row>
    <row r="966" spans="1:17" x14ac:dyDescent="0.45">
      <c r="A966" t="s">
        <v>1293</v>
      </c>
      <c r="B966" t="s">
        <v>463</v>
      </c>
      <c r="C966" t="s">
        <v>19</v>
      </c>
      <c r="D966" t="s">
        <v>15</v>
      </c>
      <c r="E966" t="s">
        <v>16</v>
      </c>
      <c r="F966">
        <v>13.34</v>
      </c>
      <c r="G966">
        <v>14.49</v>
      </c>
      <c r="H966">
        <v>12.08</v>
      </c>
      <c r="I966" s="4" t="str">
        <f t="shared" si="60"/>
        <v>Admis</v>
      </c>
      <c r="J966" s="4" t="str">
        <f t="shared" si="61"/>
        <v>Non eligible</v>
      </c>
      <c r="K966">
        <v>9.73</v>
      </c>
      <c r="L966" s="6" t="str">
        <f t="shared" si="62"/>
        <v>RAS</v>
      </c>
      <c r="M966" s="6" t="str">
        <f t="shared" si="63"/>
        <v>Data</v>
      </c>
      <c r="N966" s="8" t="str" cm="1">
        <f t="array" ref="N966">_xlfn.IFS(H966&gt;=16,"Excellent",H966&gt;=14,"Très bien",H966&gt;=12,"Bien",H966&gt;=10,"Passable",TRUE,"Insuffisant")</f>
        <v>Bien</v>
      </c>
      <c r="O966">
        <v>0.79010000000000002</v>
      </c>
      <c r="P966">
        <v>60000</v>
      </c>
      <c r="Q966" s="2">
        <v>46188</v>
      </c>
    </row>
    <row r="967" spans="1:17" x14ac:dyDescent="0.45">
      <c r="A967" t="s">
        <v>1294</v>
      </c>
      <c r="B967" t="s">
        <v>207</v>
      </c>
      <c r="C967" t="s">
        <v>19</v>
      </c>
      <c r="D967" t="s">
        <v>47</v>
      </c>
      <c r="E967" t="s">
        <v>16</v>
      </c>
      <c r="F967">
        <v>10.32</v>
      </c>
      <c r="G967">
        <v>14.9</v>
      </c>
      <c r="H967">
        <v>11.64</v>
      </c>
      <c r="I967" s="4" t="str">
        <f t="shared" si="60"/>
        <v>Admis</v>
      </c>
      <c r="J967" s="4" t="str">
        <f t="shared" si="61"/>
        <v>Non eligible</v>
      </c>
      <c r="K967">
        <v>7.74</v>
      </c>
      <c r="L967" s="6" t="str">
        <f t="shared" si="62"/>
        <v>RAS</v>
      </c>
      <c r="M967" s="6" t="str">
        <f t="shared" si="63"/>
        <v>Data</v>
      </c>
      <c r="N967" s="8" t="str" cm="1">
        <f t="array" ref="N967">_xlfn.IFS(H967&gt;=16,"Excellent",H967&gt;=14,"Très bien",H967&gt;=12,"Bien",H967&gt;=10,"Passable",TRUE,"Insuffisant")</f>
        <v>Passable</v>
      </c>
      <c r="O967">
        <v>0.98</v>
      </c>
      <c r="P967">
        <v>60000</v>
      </c>
      <c r="Q967" s="2">
        <v>46154</v>
      </c>
    </row>
    <row r="968" spans="1:17" x14ac:dyDescent="0.45">
      <c r="A968" t="s">
        <v>1295</v>
      </c>
      <c r="B968" t="s">
        <v>612</v>
      </c>
      <c r="C968" t="s">
        <v>19</v>
      </c>
      <c r="D968" t="s">
        <v>28</v>
      </c>
      <c r="E968" t="s">
        <v>16</v>
      </c>
      <c r="F968">
        <v>17.62</v>
      </c>
      <c r="G968">
        <v>18.329999999999998</v>
      </c>
      <c r="H968">
        <v>17.04</v>
      </c>
      <c r="I968" s="4" t="str">
        <f t="shared" si="60"/>
        <v>Admis</v>
      </c>
      <c r="J968" s="4" t="str">
        <f t="shared" si="61"/>
        <v>Eligible</v>
      </c>
      <c r="K968">
        <v>15.67</v>
      </c>
      <c r="L968" s="6" t="str">
        <f t="shared" si="62"/>
        <v>RAS</v>
      </c>
      <c r="M968" s="6" t="str">
        <f t="shared" si="63"/>
        <v>Data</v>
      </c>
      <c r="N968" s="8" t="str" cm="1">
        <f t="array" ref="N968">_xlfn.IFS(H968&gt;=16,"Excellent",H968&gt;=14,"Très bien",H968&gt;=12,"Bien",H968&gt;=10,"Passable",TRUE,"Insuffisant")</f>
        <v>Excellent</v>
      </c>
      <c r="O968">
        <v>0.81389999999999996</v>
      </c>
      <c r="P968">
        <v>60000</v>
      </c>
      <c r="Q968" s="2">
        <v>45990</v>
      </c>
    </row>
    <row r="969" spans="1:17" x14ac:dyDescent="0.45">
      <c r="A969" t="s">
        <v>1296</v>
      </c>
      <c r="B969" t="s">
        <v>345</v>
      </c>
      <c r="C969" t="s">
        <v>14</v>
      </c>
      <c r="D969" t="s">
        <v>20</v>
      </c>
      <c r="E969" t="s">
        <v>16</v>
      </c>
      <c r="F969">
        <v>13.22</v>
      </c>
      <c r="G969">
        <v>14.46</v>
      </c>
      <c r="H969">
        <v>7.65</v>
      </c>
      <c r="I969" s="4" t="str">
        <f t="shared" si="60"/>
        <v>Non admis</v>
      </c>
      <c r="J969" s="4" t="str">
        <f t="shared" si="61"/>
        <v>Non eligible</v>
      </c>
      <c r="K969">
        <v>6.57</v>
      </c>
      <c r="L969" s="6" t="str">
        <f t="shared" si="62"/>
        <v>A surveiller</v>
      </c>
      <c r="M969" s="6" t="str">
        <f t="shared" si="63"/>
        <v>Data</v>
      </c>
      <c r="N969" s="8" t="str" cm="1">
        <f t="array" ref="N969">_xlfn.IFS(H969&gt;=16,"Excellent",H969&gt;=14,"Très bien",H969&gt;=12,"Bien",H969&gt;=10,"Passable",TRUE,"Insuffisant")</f>
        <v>Insuffisant</v>
      </c>
      <c r="O969">
        <v>0.9506</v>
      </c>
      <c r="P969">
        <v>85000</v>
      </c>
      <c r="Q969" s="2">
        <v>45901</v>
      </c>
    </row>
    <row r="970" spans="1:17" x14ac:dyDescent="0.45">
      <c r="A970" t="s">
        <v>1297</v>
      </c>
      <c r="B970" t="s">
        <v>463</v>
      </c>
      <c r="C970" t="s">
        <v>19</v>
      </c>
      <c r="D970" t="s">
        <v>32</v>
      </c>
      <c r="E970" t="s">
        <v>42</v>
      </c>
      <c r="F970">
        <v>17.61</v>
      </c>
      <c r="G970">
        <v>20</v>
      </c>
      <c r="H970">
        <v>18.11</v>
      </c>
      <c r="I970" s="4" t="str">
        <f t="shared" si="60"/>
        <v>Admis</v>
      </c>
      <c r="J970" s="4" t="str">
        <f t="shared" si="61"/>
        <v>Eligible</v>
      </c>
      <c r="K970">
        <v>14.85</v>
      </c>
      <c r="L970" s="6" t="str">
        <f t="shared" si="62"/>
        <v>RAS</v>
      </c>
      <c r="M970" s="6" t="str">
        <f t="shared" si="63"/>
        <v>Hors Data</v>
      </c>
      <c r="N970" s="8" t="str" cm="1">
        <f t="array" ref="N970">_xlfn.IFS(H970&gt;=16,"Excellent",H970&gt;=14,"Très bien",H970&gt;=12,"Bien",H970&gt;=10,"Passable",TRUE,"Insuffisant")</f>
        <v>Excellent</v>
      </c>
      <c r="O970">
        <v>0.80110000000000003</v>
      </c>
      <c r="P970">
        <v>100000</v>
      </c>
      <c r="Q970" s="2">
        <v>46230</v>
      </c>
    </row>
    <row r="971" spans="1:17" x14ac:dyDescent="0.45">
      <c r="A971" t="s">
        <v>1298</v>
      </c>
      <c r="B971" t="s">
        <v>924</v>
      </c>
      <c r="C971" t="s">
        <v>14</v>
      </c>
      <c r="D971" t="s">
        <v>20</v>
      </c>
      <c r="E971" t="s">
        <v>16</v>
      </c>
      <c r="F971">
        <v>16</v>
      </c>
      <c r="G971">
        <v>13.29</v>
      </c>
      <c r="H971">
        <v>15.79</v>
      </c>
      <c r="I971" s="4" t="str">
        <f t="shared" si="60"/>
        <v>Admis</v>
      </c>
      <c r="J971" s="4" t="str">
        <f t="shared" si="61"/>
        <v>Eligible</v>
      </c>
      <c r="K971">
        <v>14.67</v>
      </c>
      <c r="L971" s="6" t="str">
        <f t="shared" si="62"/>
        <v>RAS</v>
      </c>
      <c r="M971" s="6" t="str">
        <f t="shared" si="63"/>
        <v>Data</v>
      </c>
      <c r="N971" s="8" t="str" cm="1">
        <f t="array" ref="N971">_xlfn.IFS(H971&gt;=16,"Excellent",H971&gt;=14,"Très bien",H971&gt;=12,"Bien",H971&gt;=10,"Passable",TRUE,"Insuffisant")</f>
        <v>Très bien</v>
      </c>
      <c r="O971">
        <v>0.87490000000000001</v>
      </c>
      <c r="P971">
        <v>110000</v>
      </c>
      <c r="Q971" s="2">
        <v>45922</v>
      </c>
    </row>
    <row r="972" spans="1:17" x14ac:dyDescent="0.45">
      <c r="A972" t="s">
        <v>1299</v>
      </c>
      <c r="B972" t="s">
        <v>258</v>
      </c>
      <c r="C972" t="s">
        <v>14</v>
      </c>
      <c r="D972" t="s">
        <v>20</v>
      </c>
      <c r="E972" t="s">
        <v>21</v>
      </c>
      <c r="F972">
        <v>11.48</v>
      </c>
      <c r="G972">
        <v>12.47</v>
      </c>
      <c r="H972">
        <v>8.1300000000000008</v>
      </c>
      <c r="I972" s="4" t="str">
        <f t="shared" si="60"/>
        <v>Non admis</v>
      </c>
      <c r="J972" s="4" t="str">
        <f t="shared" si="61"/>
        <v>Non eligible</v>
      </c>
      <c r="K972">
        <v>10.14</v>
      </c>
      <c r="L972" s="6" t="str">
        <f t="shared" si="62"/>
        <v>A surveiller</v>
      </c>
      <c r="M972" s="6" t="str">
        <f t="shared" si="63"/>
        <v>Hors Data</v>
      </c>
      <c r="N972" s="8" t="str" cm="1">
        <f t="array" ref="N972">_xlfn.IFS(H972&gt;=16,"Excellent",H972&gt;=14,"Très bien",H972&gt;=12,"Bien",H972&gt;=10,"Passable",TRUE,"Insuffisant")</f>
        <v>Insuffisant</v>
      </c>
      <c r="O972">
        <v>0.94620000000000004</v>
      </c>
      <c r="P972">
        <v>50000</v>
      </c>
      <c r="Q972" s="2">
        <v>45985</v>
      </c>
    </row>
    <row r="973" spans="1:17" x14ac:dyDescent="0.45">
      <c r="A973" t="s">
        <v>1300</v>
      </c>
      <c r="B973" t="s">
        <v>1276</v>
      </c>
      <c r="C973" t="s">
        <v>14</v>
      </c>
      <c r="D973" t="s">
        <v>20</v>
      </c>
      <c r="E973" t="s">
        <v>29</v>
      </c>
      <c r="F973">
        <v>8.3800000000000008</v>
      </c>
      <c r="G973">
        <v>15.76</v>
      </c>
      <c r="H973">
        <v>10.98</v>
      </c>
      <c r="I973" s="4" t="str">
        <f t="shared" si="60"/>
        <v>Admis</v>
      </c>
      <c r="J973" s="4" t="str">
        <f t="shared" si="61"/>
        <v>Non eligible</v>
      </c>
      <c r="K973">
        <v>10.45</v>
      </c>
      <c r="L973" s="6" t="str">
        <f t="shared" si="62"/>
        <v>A surveiller</v>
      </c>
      <c r="M973" s="6" t="str">
        <f t="shared" si="63"/>
        <v>Hors Data</v>
      </c>
      <c r="N973" s="8" t="str" cm="1">
        <f t="array" ref="N973">_xlfn.IFS(H973&gt;=16,"Excellent",H973&gt;=14,"Très bien",H973&gt;=12,"Bien",H973&gt;=10,"Passable",TRUE,"Insuffisant")</f>
        <v>Passable</v>
      </c>
      <c r="O973">
        <v>0.82310000000000005</v>
      </c>
      <c r="P973">
        <v>75000</v>
      </c>
      <c r="Q973" s="2">
        <v>45684</v>
      </c>
    </row>
    <row r="974" spans="1:17" x14ac:dyDescent="0.45">
      <c r="A974" t="s">
        <v>1301</v>
      </c>
      <c r="B974" t="s">
        <v>515</v>
      </c>
      <c r="C974" t="s">
        <v>14</v>
      </c>
      <c r="D974" t="s">
        <v>15</v>
      </c>
      <c r="E974" t="s">
        <v>42</v>
      </c>
      <c r="F974">
        <v>8.83</v>
      </c>
      <c r="G974">
        <v>16.05</v>
      </c>
      <c r="H974">
        <v>8.42</v>
      </c>
      <c r="I974" s="4" t="str">
        <f t="shared" si="60"/>
        <v>Non admis</v>
      </c>
      <c r="J974" s="4" t="str">
        <f t="shared" si="61"/>
        <v>Non eligible</v>
      </c>
      <c r="K974">
        <v>10.3</v>
      </c>
      <c r="L974" s="6" t="str">
        <f t="shared" si="62"/>
        <v>A surveiller</v>
      </c>
      <c r="M974" s="6" t="str">
        <f t="shared" si="63"/>
        <v>Hors Data</v>
      </c>
      <c r="N974" s="8" t="str" cm="1">
        <f t="array" ref="N974">_xlfn.IFS(H974&gt;=16,"Excellent",H974&gt;=14,"Très bien",H974&gt;=12,"Bien",H974&gt;=10,"Passable",TRUE,"Insuffisant")</f>
        <v>Insuffisant</v>
      </c>
      <c r="O974">
        <v>0.73939999999999995</v>
      </c>
      <c r="P974">
        <v>60000</v>
      </c>
      <c r="Q974" s="2">
        <v>46058</v>
      </c>
    </row>
    <row r="975" spans="1:17" x14ac:dyDescent="0.45">
      <c r="A975" t="s">
        <v>1302</v>
      </c>
      <c r="B975" t="s">
        <v>331</v>
      </c>
      <c r="C975" t="s">
        <v>14</v>
      </c>
      <c r="D975" t="s">
        <v>15</v>
      </c>
      <c r="E975" t="s">
        <v>29</v>
      </c>
      <c r="F975">
        <v>8.1</v>
      </c>
      <c r="G975">
        <v>12.94</v>
      </c>
      <c r="H975">
        <v>12.2</v>
      </c>
      <c r="I975" s="4" t="str">
        <f t="shared" si="60"/>
        <v>Admis</v>
      </c>
      <c r="J975" s="4" t="str">
        <f t="shared" si="61"/>
        <v>Non eligible</v>
      </c>
      <c r="K975">
        <v>8.52</v>
      </c>
      <c r="L975" s="6" t="str">
        <f t="shared" si="62"/>
        <v>A surveiller</v>
      </c>
      <c r="M975" s="6" t="str">
        <f t="shared" si="63"/>
        <v>Hors Data</v>
      </c>
      <c r="N975" s="8" t="str" cm="1">
        <f t="array" ref="N975">_xlfn.IFS(H975&gt;=16,"Excellent",H975&gt;=14,"Très bien",H975&gt;=12,"Bien",H975&gt;=10,"Passable",TRUE,"Insuffisant")</f>
        <v>Bien</v>
      </c>
      <c r="O975">
        <v>0.55000000000000004</v>
      </c>
      <c r="P975">
        <v>60000</v>
      </c>
      <c r="Q975" s="2">
        <v>46109</v>
      </c>
    </row>
    <row r="976" spans="1:17" x14ac:dyDescent="0.45">
      <c r="A976" t="s">
        <v>1303</v>
      </c>
      <c r="B976" t="s">
        <v>1304</v>
      </c>
      <c r="C976" t="s">
        <v>14</v>
      </c>
      <c r="D976" t="s">
        <v>15</v>
      </c>
      <c r="E976" t="s">
        <v>16</v>
      </c>
      <c r="F976">
        <v>11.88</v>
      </c>
      <c r="G976">
        <v>14.22</v>
      </c>
      <c r="H976">
        <v>13.76</v>
      </c>
      <c r="I976" s="4" t="str">
        <f t="shared" si="60"/>
        <v>Admis</v>
      </c>
      <c r="J976" s="4" t="str">
        <f t="shared" si="61"/>
        <v>Non eligible</v>
      </c>
      <c r="K976">
        <v>17.3</v>
      </c>
      <c r="L976" s="6" t="str">
        <f t="shared" si="62"/>
        <v>RAS</v>
      </c>
      <c r="M976" s="6" t="str">
        <f t="shared" si="63"/>
        <v>Data</v>
      </c>
      <c r="N976" s="8" t="str" cm="1">
        <f t="array" ref="N976">_xlfn.IFS(H976&gt;=16,"Excellent",H976&gt;=14,"Très bien",H976&gt;=12,"Bien",H976&gt;=10,"Passable",TRUE,"Insuffisant")</f>
        <v>Bien</v>
      </c>
      <c r="O976">
        <v>0.64019999999999999</v>
      </c>
      <c r="P976">
        <v>110000</v>
      </c>
      <c r="Q976" s="2">
        <v>46010</v>
      </c>
    </row>
    <row r="977" spans="1:17" x14ac:dyDescent="0.45">
      <c r="A977" t="s">
        <v>1305</v>
      </c>
      <c r="B977" t="s">
        <v>508</v>
      </c>
      <c r="C977" t="s">
        <v>14</v>
      </c>
      <c r="D977" t="s">
        <v>35</v>
      </c>
      <c r="E977" t="s">
        <v>16</v>
      </c>
      <c r="F977">
        <v>9.86</v>
      </c>
      <c r="G977">
        <v>9.99</v>
      </c>
      <c r="H977">
        <v>8.39</v>
      </c>
      <c r="I977" s="4" t="str">
        <f t="shared" si="60"/>
        <v>Non admis</v>
      </c>
      <c r="J977" s="4" t="str">
        <f t="shared" si="61"/>
        <v>Non eligible</v>
      </c>
      <c r="K977">
        <v>8.34</v>
      </c>
      <c r="L977" s="6" t="str">
        <f t="shared" si="62"/>
        <v>A surveiller</v>
      </c>
      <c r="M977" s="6" t="str">
        <f t="shared" si="63"/>
        <v>Data</v>
      </c>
      <c r="N977" s="8" t="str" cm="1">
        <f t="array" ref="N977">_xlfn.IFS(H977&gt;=16,"Excellent",H977&gt;=14,"Très bien",H977&gt;=12,"Bien",H977&gt;=10,"Passable",TRUE,"Insuffisant")</f>
        <v>Insuffisant</v>
      </c>
      <c r="O977">
        <v>0.87709999999999999</v>
      </c>
      <c r="P977">
        <v>100000</v>
      </c>
      <c r="Q977" s="2">
        <v>45885</v>
      </c>
    </row>
    <row r="978" spans="1:17" x14ac:dyDescent="0.45">
      <c r="A978" t="s">
        <v>1306</v>
      </c>
      <c r="B978" t="s">
        <v>404</v>
      </c>
      <c r="C978" t="s">
        <v>14</v>
      </c>
      <c r="D978" t="s">
        <v>35</v>
      </c>
      <c r="E978" t="s">
        <v>42</v>
      </c>
      <c r="F978">
        <v>8.75</v>
      </c>
      <c r="G978">
        <v>9.06</v>
      </c>
      <c r="H978">
        <v>7.8</v>
      </c>
      <c r="I978" s="4" t="str">
        <f t="shared" si="60"/>
        <v>Non admis</v>
      </c>
      <c r="J978" s="4" t="str">
        <f t="shared" si="61"/>
        <v>Non eligible</v>
      </c>
      <c r="K978">
        <v>4.3899999999999997</v>
      </c>
      <c r="L978" s="6" t="str">
        <f t="shared" si="62"/>
        <v>A surveiller</v>
      </c>
      <c r="M978" s="6" t="str">
        <f t="shared" si="63"/>
        <v>Hors Data</v>
      </c>
      <c r="N978" s="8" t="str" cm="1">
        <f t="array" ref="N978">_xlfn.IFS(H978&gt;=16,"Excellent",H978&gt;=14,"Très bien",H978&gt;=12,"Bien",H978&gt;=10,"Passable",TRUE,"Insuffisant")</f>
        <v>Insuffisant</v>
      </c>
      <c r="O978">
        <v>0.96530000000000005</v>
      </c>
      <c r="P978">
        <v>70000</v>
      </c>
      <c r="Q978" s="2">
        <v>45674</v>
      </c>
    </row>
    <row r="979" spans="1:17" x14ac:dyDescent="0.45">
      <c r="A979" t="s">
        <v>1307</v>
      </c>
      <c r="B979" t="s">
        <v>90</v>
      </c>
      <c r="C979" t="s">
        <v>19</v>
      </c>
      <c r="D979" t="s">
        <v>15</v>
      </c>
      <c r="E979" t="s">
        <v>42</v>
      </c>
      <c r="F979">
        <v>15.2</v>
      </c>
      <c r="G979">
        <v>16.52</v>
      </c>
      <c r="H979">
        <v>9.99</v>
      </c>
      <c r="I979" s="4" t="str">
        <f t="shared" si="60"/>
        <v>Non admis</v>
      </c>
      <c r="J979" s="4" t="str">
        <f t="shared" si="61"/>
        <v>Non eligible</v>
      </c>
      <c r="K979">
        <v>14.09</v>
      </c>
      <c r="L979" s="6" t="str">
        <f t="shared" si="62"/>
        <v>A surveiller</v>
      </c>
      <c r="M979" s="6" t="str">
        <f t="shared" si="63"/>
        <v>Hors Data</v>
      </c>
      <c r="N979" s="8" t="str" cm="1">
        <f t="array" ref="N979">_xlfn.IFS(H979&gt;=16,"Excellent",H979&gt;=14,"Très bien",H979&gt;=12,"Bien",H979&gt;=10,"Passable",TRUE,"Insuffisant")</f>
        <v>Insuffisant</v>
      </c>
      <c r="O979">
        <v>0.69869999999999999</v>
      </c>
      <c r="P979">
        <v>75000</v>
      </c>
      <c r="Q979" s="2">
        <v>45559</v>
      </c>
    </row>
    <row r="980" spans="1:17" x14ac:dyDescent="0.45">
      <c r="A980" t="s">
        <v>1308</v>
      </c>
      <c r="B980" t="s">
        <v>247</v>
      </c>
      <c r="C980" t="s">
        <v>14</v>
      </c>
      <c r="D980" t="s">
        <v>35</v>
      </c>
      <c r="E980" t="s">
        <v>29</v>
      </c>
      <c r="F980">
        <v>9.1300000000000008</v>
      </c>
      <c r="G980">
        <v>9.81</v>
      </c>
      <c r="H980">
        <v>6.38</v>
      </c>
      <c r="I980" s="4" t="str">
        <f t="shared" si="60"/>
        <v>Non admis</v>
      </c>
      <c r="J980" s="4" t="str">
        <f t="shared" si="61"/>
        <v>Non eligible</v>
      </c>
      <c r="K980">
        <v>7.88</v>
      </c>
      <c r="L980" s="6" t="str">
        <f t="shared" si="62"/>
        <v>A surveiller</v>
      </c>
      <c r="M980" s="6" t="str">
        <f t="shared" si="63"/>
        <v>Hors Data</v>
      </c>
      <c r="N980" s="8" t="str" cm="1">
        <f t="array" ref="N980">_xlfn.IFS(H980&gt;=16,"Excellent",H980&gt;=14,"Très bien",H980&gt;=12,"Bien",H980&gt;=10,"Passable",TRUE,"Insuffisant")</f>
        <v>Insuffisant</v>
      </c>
      <c r="O980">
        <v>0.69350000000000001</v>
      </c>
      <c r="P980">
        <v>130000</v>
      </c>
      <c r="Q980" s="2">
        <v>45975</v>
      </c>
    </row>
    <row r="981" spans="1:17" x14ac:dyDescent="0.45">
      <c r="A981" t="s">
        <v>1309</v>
      </c>
      <c r="B981" t="s">
        <v>207</v>
      </c>
      <c r="C981" t="s">
        <v>19</v>
      </c>
      <c r="D981" t="s">
        <v>28</v>
      </c>
      <c r="E981" t="s">
        <v>29</v>
      </c>
      <c r="F981">
        <v>10.41</v>
      </c>
      <c r="G981">
        <v>12.79</v>
      </c>
      <c r="H981">
        <v>8.3800000000000008</v>
      </c>
      <c r="I981" s="4" t="str">
        <f t="shared" si="60"/>
        <v>Non admis</v>
      </c>
      <c r="J981" s="4" t="str">
        <f t="shared" si="61"/>
        <v>Non eligible</v>
      </c>
      <c r="K981">
        <v>15.78</v>
      </c>
      <c r="L981" s="6" t="str">
        <f t="shared" si="62"/>
        <v>A surveiller</v>
      </c>
      <c r="M981" s="6" t="str">
        <f t="shared" si="63"/>
        <v>Hors Data</v>
      </c>
      <c r="N981" s="8" t="str" cm="1">
        <f t="array" ref="N981">_xlfn.IFS(H981&gt;=16,"Excellent",H981&gt;=14,"Très bien",H981&gt;=12,"Bien",H981&gt;=10,"Passable",TRUE,"Insuffisant")</f>
        <v>Insuffisant</v>
      </c>
      <c r="O981">
        <v>0.8115</v>
      </c>
      <c r="P981">
        <v>90000</v>
      </c>
      <c r="Q981" s="2">
        <v>46014</v>
      </c>
    </row>
    <row r="982" spans="1:17" x14ac:dyDescent="0.45">
      <c r="A982" t="s">
        <v>1310</v>
      </c>
      <c r="B982" t="s">
        <v>160</v>
      </c>
      <c r="C982" t="s">
        <v>19</v>
      </c>
      <c r="D982" t="s">
        <v>15</v>
      </c>
      <c r="E982" t="s">
        <v>21</v>
      </c>
      <c r="F982">
        <v>6.37</v>
      </c>
      <c r="G982">
        <v>11.47</v>
      </c>
      <c r="H982">
        <v>8.81</v>
      </c>
      <c r="I982" s="4" t="str">
        <f t="shared" si="60"/>
        <v>Non admis</v>
      </c>
      <c r="J982" s="4" t="str">
        <f t="shared" si="61"/>
        <v>Non eligible</v>
      </c>
      <c r="K982">
        <v>9.6999999999999993</v>
      </c>
      <c r="L982" s="6" t="str">
        <f t="shared" si="62"/>
        <v>A surveiller</v>
      </c>
      <c r="M982" s="6" t="str">
        <f t="shared" si="63"/>
        <v>Hors Data</v>
      </c>
      <c r="N982" s="8" t="str" cm="1">
        <f t="array" ref="N982">_xlfn.IFS(H982&gt;=16,"Excellent",H982&gt;=14,"Très bien",H982&gt;=12,"Bien",H982&gt;=10,"Passable",TRUE,"Insuffisant")</f>
        <v>Insuffisant</v>
      </c>
      <c r="O982">
        <v>0.72199999999999998</v>
      </c>
      <c r="P982">
        <v>70000</v>
      </c>
      <c r="Q982" s="2">
        <v>46076</v>
      </c>
    </row>
    <row r="983" spans="1:17" x14ac:dyDescent="0.45">
      <c r="A983" t="s">
        <v>1311</v>
      </c>
      <c r="B983" t="s">
        <v>1003</v>
      </c>
      <c r="C983" t="s">
        <v>19</v>
      </c>
      <c r="D983" t="s">
        <v>47</v>
      </c>
      <c r="E983" t="s">
        <v>21</v>
      </c>
      <c r="F983">
        <v>11.22</v>
      </c>
      <c r="G983">
        <v>10.74</v>
      </c>
      <c r="H983">
        <v>14.25</v>
      </c>
      <c r="I983" s="4" t="str">
        <f t="shared" si="60"/>
        <v>Admis</v>
      </c>
      <c r="J983" s="4" t="str">
        <f t="shared" si="61"/>
        <v>Non eligible</v>
      </c>
      <c r="K983">
        <v>12.82</v>
      </c>
      <c r="L983" s="6" t="str">
        <f t="shared" si="62"/>
        <v>RAS</v>
      </c>
      <c r="M983" s="6" t="str">
        <f t="shared" si="63"/>
        <v>Hors Data</v>
      </c>
      <c r="N983" s="8" t="str" cm="1">
        <f t="array" ref="N983">_xlfn.IFS(H983&gt;=16,"Excellent",H983&gt;=14,"Très bien",H983&gt;=12,"Bien",H983&gt;=10,"Passable",TRUE,"Insuffisant")</f>
        <v>Très bien</v>
      </c>
      <c r="O983">
        <v>0.65639999999999998</v>
      </c>
      <c r="P983">
        <v>130000</v>
      </c>
      <c r="Q983" s="2">
        <v>46201</v>
      </c>
    </row>
    <row r="984" spans="1:17" x14ac:dyDescent="0.45">
      <c r="A984" t="s">
        <v>1312</v>
      </c>
      <c r="B984" t="s">
        <v>92</v>
      </c>
      <c r="C984" t="s">
        <v>19</v>
      </c>
      <c r="D984" t="s">
        <v>28</v>
      </c>
      <c r="E984" t="s">
        <v>29</v>
      </c>
      <c r="F984">
        <v>19.16</v>
      </c>
      <c r="G984">
        <v>19.149999999999999</v>
      </c>
      <c r="H984">
        <v>17.690000000000001</v>
      </c>
      <c r="I984" s="4" t="str">
        <f t="shared" si="60"/>
        <v>Admis</v>
      </c>
      <c r="J984" s="4" t="str">
        <f t="shared" si="61"/>
        <v>Non eligible</v>
      </c>
      <c r="K984">
        <v>20</v>
      </c>
      <c r="L984" s="6" t="str">
        <f t="shared" si="62"/>
        <v>RAS</v>
      </c>
      <c r="M984" s="6" t="str">
        <f t="shared" si="63"/>
        <v>Hors Data</v>
      </c>
      <c r="N984" s="8" t="str" cm="1">
        <f t="array" ref="N984">_xlfn.IFS(H984&gt;=16,"Excellent",H984&gt;=14,"Très bien",H984&gt;=12,"Bien",H984&gt;=10,"Passable",TRUE,"Insuffisant")</f>
        <v>Excellent</v>
      </c>
      <c r="O984">
        <v>0.73260000000000003</v>
      </c>
      <c r="P984">
        <v>70000</v>
      </c>
      <c r="Q984" s="2">
        <v>45884</v>
      </c>
    </row>
    <row r="985" spans="1:17" x14ac:dyDescent="0.45">
      <c r="A985" t="s">
        <v>1313</v>
      </c>
      <c r="B985" t="s">
        <v>583</v>
      </c>
      <c r="C985" t="s">
        <v>19</v>
      </c>
      <c r="D985" t="s">
        <v>28</v>
      </c>
      <c r="E985" t="s">
        <v>16</v>
      </c>
      <c r="F985">
        <v>14.06</v>
      </c>
      <c r="G985">
        <v>14.36</v>
      </c>
      <c r="H985">
        <v>14.88</v>
      </c>
      <c r="I985" s="4" t="str">
        <f t="shared" si="60"/>
        <v>Admis</v>
      </c>
      <c r="J985" s="4" t="str">
        <f t="shared" si="61"/>
        <v>Eligible</v>
      </c>
      <c r="K985">
        <v>12.41</v>
      </c>
      <c r="L985" s="6" t="str">
        <f t="shared" si="62"/>
        <v>RAS</v>
      </c>
      <c r="M985" s="6" t="str">
        <f t="shared" si="63"/>
        <v>Data</v>
      </c>
      <c r="N985" s="8" t="str" cm="1">
        <f t="array" ref="N985">_xlfn.IFS(H985&gt;=16,"Excellent",H985&gt;=14,"Très bien",H985&gt;=12,"Bien",H985&gt;=10,"Passable",TRUE,"Insuffisant")</f>
        <v>Très bien</v>
      </c>
      <c r="O985">
        <v>0.94850000000000001</v>
      </c>
      <c r="P985">
        <v>75000</v>
      </c>
      <c r="Q985" s="2">
        <v>46116</v>
      </c>
    </row>
    <row r="986" spans="1:17" x14ac:dyDescent="0.45">
      <c r="A986" t="s">
        <v>1314</v>
      </c>
      <c r="B986" t="s">
        <v>1315</v>
      </c>
      <c r="C986" t="s">
        <v>19</v>
      </c>
      <c r="D986" t="s">
        <v>35</v>
      </c>
      <c r="E986" t="s">
        <v>29</v>
      </c>
      <c r="F986">
        <v>18.82</v>
      </c>
      <c r="G986">
        <v>18.37</v>
      </c>
      <c r="H986">
        <v>12.55</v>
      </c>
      <c r="I986" s="4" t="str">
        <f t="shared" si="60"/>
        <v>Admis</v>
      </c>
      <c r="J986" s="4" t="str">
        <f t="shared" si="61"/>
        <v>Non eligible</v>
      </c>
      <c r="K986">
        <v>12.45</v>
      </c>
      <c r="L986" s="6" t="str">
        <f t="shared" si="62"/>
        <v>RAS</v>
      </c>
      <c r="M986" s="6" t="str">
        <f t="shared" si="63"/>
        <v>Hors Data</v>
      </c>
      <c r="N986" s="8" t="str" cm="1">
        <f t="array" ref="N986">_xlfn.IFS(H986&gt;=16,"Excellent",H986&gt;=14,"Très bien",H986&gt;=12,"Bien",H986&gt;=10,"Passable",TRUE,"Insuffisant")</f>
        <v>Bien</v>
      </c>
      <c r="O986">
        <v>0.66259999999999997</v>
      </c>
      <c r="P986">
        <v>100000</v>
      </c>
      <c r="Q986" s="2">
        <v>46037</v>
      </c>
    </row>
    <row r="987" spans="1:17" x14ac:dyDescent="0.45">
      <c r="A987" t="s">
        <v>1316</v>
      </c>
      <c r="B987" t="s">
        <v>18</v>
      </c>
      <c r="C987" t="s">
        <v>19</v>
      </c>
      <c r="D987" t="s">
        <v>20</v>
      </c>
      <c r="E987" t="s">
        <v>42</v>
      </c>
      <c r="F987">
        <v>11.26</v>
      </c>
      <c r="G987">
        <v>8.4</v>
      </c>
      <c r="H987">
        <v>10.4</v>
      </c>
      <c r="I987" s="4" t="str">
        <f t="shared" si="60"/>
        <v>Admis</v>
      </c>
      <c r="J987" s="4" t="str">
        <f t="shared" si="61"/>
        <v>Non eligible</v>
      </c>
      <c r="K987">
        <v>10.06</v>
      </c>
      <c r="L987" s="6" t="str">
        <f t="shared" si="62"/>
        <v>RAS</v>
      </c>
      <c r="M987" s="6" t="str">
        <f t="shared" si="63"/>
        <v>Hors Data</v>
      </c>
      <c r="N987" s="8" t="str" cm="1">
        <f t="array" ref="N987">_xlfn.IFS(H987&gt;=16,"Excellent",H987&gt;=14,"Très bien",H987&gt;=12,"Bien",H987&gt;=10,"Passable",TRUE,"Insuffisant")</f>
        <v>Passable</v>
      </c>
      <c r="O987">
        <v>0.97289999999999999</v>
      </c>
      <c r="P987">
        <v>85000</v>
      </c>
      <c r="Q987" s="2">
        <v>45730</v>
      </c>
    </row>
    <row r="988" spans="1:17" x14ac:dyDescent="0.45">
      <c r="A988" t="s">
        <v>1317</v>
      </c>
      <c r="B988" t="s">
        <v>902</v>
      </c>
      <c r="C988" t="s">
        <v>19</v>
      </c>
      <c r="D988" t="s">
        <v>47</v>
      </c>
      <c r="E988" t="s">
        <v>42</v>
      </c>
      <c r="F988">
        <v>13.4</v>
      </c>
      <c r="G988">
        <v>12.18</v>
      </c>
      <c r="H988">
        <v>9.61</v>
      </c>
      <c r="I988" s="4" t="str">
        <f t="shared" si="60"/>
        <v>Non admis</v>
      </c>
      <c r="J988" s="4" t="str">
        <f t="shared" si="61"/>
        <v>Non eligible</v>
      </c>
      <c r="K988">
        <v>12.83</v>
      </c>
      <c r="L988" s="6" t="str">
        <f t="shared" si="62"/>
        <v>A surveiller</v>
      </c>
      <c r="M988" s="6" t="str">
        <f t="shared" si="63"/>
        <v>Hors Data</v>
      </c>
      <c r="N988" s="8" t="str" cm="1">
        <f t="array" ref="N988">_xlfn.IFS(H988&gt;=16,"Excellent",H988&gt;=14,"Très bien",H988&gt;=12,"Bien",H988&gt;=10,"Passable",TRUE,"Insuffisant")</f>
        <v>Insuffisant</v>
      </c>
      <c r="O988">
        <v>0.77700000000000002</v>
      </c>
      <c r="P988">
        <v>50000</v>
      </c>
      <c r="Q988" s="2">
        <v>46127</v>
      </c>
    </row>
    <row r="989" spans="1:17" x14ac:dyDescent="0.45">
      <c r="A989" t="s">
        <v>1318</v>
      </c>
      <c r="B989" t="s">
        <v>569</v>
      </c>
      <c r="C989" t="s">
        <v>14</v>
      </c>
      <c r="D989" t="s">
        <v>28</v>
      </c>
      <c r="E989" t="s">
        <v>16</v>
      </c>
      <c r="F989">
        <v>11.99</v>
      </c>
      <c r="G989">
        <v>12.6</v>
      </c>
      <c r="H989">
        <v>14.39</v>
      </c>
      <c r="I989" s="4" t="str">
        <f t="shared" si="60"/>
        <v>Admis</v>
      </c>
      <c r="J989" s="4" t="str">
        <f t="shared" si="61"/>
        <v>Non eligible</v>
      </c>
      <c r="K989">
        <v>10.9</v>
      </c>
      <c r="L989" s="6" t="str">
        <f t="shared" si="62"/>
        <v>RAS</v>
      </c>
      <c r="M989" s="6" t="str">
        <f t="shared" si="63"/>
        <v>Data</v>
      </c>
      <c r="N989" s="8" t="str" cm="1">
        <f t="array" ref="N989">_xlfn.IFS(H989&gt;=16,"Excellent",H989&gt;=14,"Très bien",H989&gt;=12,"Bien",H989&gt;=10,"Passable",TRUE,"Insuffisant")</f>
        <v>Très bien</v>
      </c>
      <c r="O989">
        <v>0.85909999999999997</v>
      </c>
      <c r="P989">
        <v>110000</v>
      </c>
      <c r="Q989" s="2">
        <v>45573</v>
      </c>
    </row>
    <row r="990" spans="1:17" x14ac:dyDescent="0.45">
      <c r="A990" t="s">
        <v>1319</v>
      </c>
      <c r="B990" t="s">
        <v>235</v>
      </c>
      <c r="C990" t="s">
        <v>14</v>
      </c>
      <c r="D990" t="s">
        <v>20</v>
      </c>
      <c r="E990" t="s">
        <v>16</v>
      </c>
      <c r="F990">
        <v>9.5</v>
      </c>
      <c r="G990">
        <v>12.61</v>
      </c>
      <c r="H990">
        <v>10.95</v>
      </c>
      <c r="I990" s="4" t="str">
        <f t="shared" si="60"/>
        <v>Admis</v>
      </c>
      <c r="J990" s="4" t="str">
        <f t="shared" si="61"/>
        <v>Non eligible</v>
      </c>
      <c r="K990">
        <v>8.0500000000000007</v>
      </c>
      <c r="L990" s="6" t="str">
        <f t="shared" si="62"/>
        <v>A surveiller</v>
      </c>
      <c r="M990" s="6" t="str">
        <f t="shared" si="63"/>
        <v>Data</v>
      </c>
      <c r="N990" s="8" t="str" cm="1">
        <f t="array" ref="N990">_xlfn.IFS(H990&gt;=16,"Excellent",H990&gt;=14,"Très bien",H990&gt;=12,"Bien",H990&gt;=10,"Passable",TRUE,"Insuffisant")</f>
        <v>Passable</v>
      </c>
      <c r="O990">
        <v>0.66690000000000005</v>
      </c>
      <c r="P990">
        <v>70000</v>
      </c>
      <c r="Q990" s="2">
        <v>45955</v>
      </c>
    </row>
    <row r="991" spans="1:17" x14ac:dyDescent="0.45">
      <c r="A991" t="s">
        <v>1320</v>
      </c>
      <c r="B991" t="s">
        <v>398</v>
      </c>
      <c r="C991" t="s">
        <v>19</v>
      </c>
      <c r="D991" t="s">
        <v>15</v>
      </c>
      <c r="E991" t="s">
        <v>29</v>
      </c>
      <c r="F991">
        <v>15.83</v>
      </c>
      <c r="G991">
        <v>19.45</v>
      </c>
      <c r="H991">
        <v>20</v>
      </c>
      <c r="I991" s="4" t="str">
        <f t="shared" si="60"/>
        <v>Admis</v>
      </c>
      <c r="J991" s="4" t="str">
        <f t="shared" si="61"/>
        <v>Eligible</v>
      </c>
      <c r="K991">
        <v>10.36</v>
      </c>
      <c r="L991" s="6" t="str">
        <f t="shared" si="62"/>
        <v>RAS</v>
      </c>
      <c r="M991" s="6" t="str">
        <f t="shared" si="63"/>
        <v>Hors Data</v>
      </c>
      <c r="N991" s="8" t="str" cm="1">
        <f t="array" ref="N991">_xlfn.IFS(H991&gt;=16,"Excellent",H991&gt;=14,"Très bien",H991&gt;=12,"Bien",H991&gt;=10,"Passable",TRUE,"Insuffisant")</f>
        <v>Excellent</v>
      </c>
      <c r="O991">
        <v>0.90310000000000001</v>
      </c>
      <c r="P991">
        <v>100000</v>
      </c>
      <c r="Q991" s="2">
        <v>46194</v>
      </c>
    </row>
    <row r="992" spans="1:17" x14ac:dyDescent="0.45">
      <c r="A992" t="s">
        <v>1321</v>
      </c>
      <c r="B992" t="s">
        <v>626</v>
      </c>
      <c r="C992" t="s">
        <v>14</v>
      </c>
      <c r="D992" t="s">
        <v>15</v>
      </c>
      <c r="E992" t="s">
        <v>21</v>
      </c>
      <c r="F992">
        <v>8.43</v>
      </c>
      <c r="G992">
        <v>14.11</v>
      </c>
      <c r="H992">
        <v>11.72</v>
      </c>
      <c r="I992" s="4" t="str">
        <f t="shared" si="60"/>
        <v>Admis</v>
      </c>
      <c r="J992" s="4" t="str">
        <f t="shared" si="61"/>
        <v>Non eligible</v>
      </c>
      <c r="K992">
        <v>11.34</v>
      </c>
      <c r="L992" s="6" t="str">
        <f t="shared" si="62"/>
        <v>A surveiller</v>
      </c>
      <c r="M992" s="6" t="str">
        <f t="shared" si="63"/>
        <v>Hors Data</v>
      </c>
      <c r="N992" s="8" t="str" cm="1">
        <f t="array" ref="N992">_xlfn.IFS(H992&gt;=16,"Excellent",H992&gt;=14,"Très bien",H992&gt;=12,"Bien",H992&gt;=10,"Passable",TRUE,"Insuffisant")</f>
        <v>Passable</v>
      </c>
      <c r="O992">
        <v>0.6804</v>
      </c>
      <c r="P992">
        <v>75000</v>
      </c>
      <c r="Q992" s="2">
        <v>45997</v>
      </c>
    </row>
    <row r="993" spans="1:17" x14ac:dyDescent="0.45">
      <c r="A993" t="s">
        <v>1322</v>
      </c>
      <c r="B993" t="s">
        <v>212</v>
      </c>
      <c r="C993" t="s">
        <v>19</v>
      </c>
      <c r="D993" t="s">
        <v>20</v>
      </c>
      <c r="E993" t="s">
        <v>16</v>
      </c>
      <c r="F993">
        <v>13.8</v>
      </c>
      <c r="G993">
        <v>13.55</v>
      </c>
      <c r="H993">
        <v>11.59</v>
      </c>
      <c r="I993" s="4" t="str">
        <f t="shared" si="60"/>
        <v>Admis</v>
      </c>
      <c r="J993" s="4" t="str">
        <f t="shared" si="61"/>
        <v>Non eligible</v>
      </c>
      <c r="K993">
        <v>12.02</v>
      </c>
      <c r="L993" s="6" t="str">
        <f t="shared" si="62"/>
        <v>RAS</v>
      </c>
      <c r="M993" s="6" t="str">
        <f t="shared" si="63"/>
        <v>Data</v>
      </c>
      <c r="N993" s="8" t="str" cm="1">
        <f t="array" ref="N993">_xlfn.IFS(H993&gt;=16,"Excellent",H993&gt;=14,"Très bien",H993&gt;=12,"Bien",H993&gt;=10,"Passable",TRUE,"Insuffisant")</f>
        <v>Passable</v>
      </c>
      <c r="O993">
        <v>0.87019999999999997</v>
      </c>
      <c r="P993">
        <v>110000</v>
      </c>
      <c r="Q993" s="2">
        <v>46191</v>
      </c>
    </row>
    <row r="994" spans="1:17" x14ac:dyDescent="0.45">
      <c r="A994" t="s">
        <v>1323</v>
      </c>
      <c r="B994" t="s">
        <v>1324</v>
      </c>
      <c r="C994" t="s">
        <v>14</v>
      </c>
      <c r="D994" t="s">
        <v>28</v>
      </c>
      <c r="E994" t="s">
        <v>29</v>
      </c>
      <c r="F994">
        <v>12.64</v>
      </c>
      <c r="G994">
        <v>13.52</v>
      </c>
      <c r="H994">
        <v>13.57</v>
      </c>
      <c r="I994" s="4" t="str">
        <f t="shared" si="60"/>
        <v>Admis</v>
      </c>
      <c r="J994" s="4" t="str">
        <f t="shared" si="61"/>
        <v>Eligible</v>
      </c>
      <c r="K994">
        <v>11.4</v>
      </c>
      <c r="L994" s="6" t="str">
        <f t="shared" si="62"/>
        <v>RAS</v>
      </c>
      <c r="M994" s="6" t="str">
        <f t="shared" si="63"/>
        <v>Hors Data</v>
      </c>
      <c r="N994" s="8" t="str" cm="1">
        <f t="array" ref="N994">_xlfn.IFS(H994&gt;=16,"Excellent",H994&gt;=14,"Très bien",H994&gt;=12,"Bien",H994&gt;=10,"Passable",TRUE,"Insuffisant")</f>
        <v>Bien</v>
      </c>
      <c r="O994">
        <v>0.87929999999999997</v>
      </c>
      <c r="P994">
        <v>120000</v>
      </c>
      <c r="Q994" s="2">
        <v>45575</v>
      </c>
    </row>
    <row r="995" spans="1:17" x14ac:dyDescent="0.45">
      <c r="A995" t="s">
        <v>1325</v>
      </c>
      <c r="B995" t="s">
        <v>376</v>
      </c>
      <c r="C995" t="s">
        <v>14</v>
      </c>
      <c r="D995" t="s">
        <v>20</v>
      </c>
      <c r="E995" t="s">
        <v>16</v>
      </c>
      <c r="F995">
        <v>11.57</v>
      </c>
      <c r="G995">
        <v>14.02</v>
      </c>
      <c r="H995">
        <v>18.86</v>
      </c>
      <c r="I995" s="4" t="str">
        <f t="shared" si="60"/>
        <v>Admis</v>
      </c>
      <c r="J995" s="4" t="str">
        <f t="shared" si="61"/>
        <v>Non eligible</v>
      </c>
      <c r="K995">
        <v>10.14</v>
      </c>
      <c r="L995" s="6" t="str">
        <f t="shared" si="62"/>
        <v>RAS</v>
      </c>
      <c r="M995" s="6" t="str">
        <f t="shared" si="63"/>
        <v>Data</v>
      </c>
      <c r="N995" s="8" t="str" cm="1">
        <f t="array" ref="N995">_xlfn.IFS(H995&gt;=16,"Excellent",H995&gt;=14,"Très bien",H995&gt;=12,"Bien",H995&gt;=10,"Passable",TRUE,"Insuffisant")</f>
        <v>Excellent</v>
      </c>
      <c r="O995">
        <v>0.94410000000000005</v>
      </c>
      <c r="P995">
        <v>110000</v>
      </c>
      <c r="Q995" s="2">
        <v>45908</v>
      </c>
    </row>
    <row r="996" spans="1:17" x14ac:dyDescent="0.45">
      <c r="A996" t="s">
        <v>1326</v>
      </c>
      <c r="B996" t="s">
        <v>374</v>
      </c>
      <c r="C996" t="s">
        <v>19</v>
      </c>
      <c r="D996" t="s">
        <v>15</v>
      </c>
      <c r="E996" t="s">
        <v>16</v>
      </c>
      <c r="F996">
        <v>14.34</v>
      </c>
      <c r="G996">
        <v>13.27</v>
      </c>
      <c r="H996">
        <v>8.32</v>
      </c>
      <c r="I996" s="4" t="str">
        <f t="shared" si="60"/>
        <v>Non admis</v>
      </c>
      <c r="J996" s="4" t="str">
        <f t="shared" si="61"/>
        <v>Non eligible</v>
      </c>
      <c r="K996">
        <v>9.19</v>
      </c>
      <c r="L996" s="6" t="str">
        <f t="shared" si="62"/>
        <v>A surveiller</v>
      </c>
      <c r="M996" s="6" t="str">
        <f t="shared" si="63"/>
        <v>Data</v>
      </c>
      <c r="N996" s="8" t="str" cm="1">
        <f t="array" ref="N996">_xlfn.IFS(H996&gt;=16,"Excellent",H996&gt;=14,"Très bien",H996&gt;=12,"Bien",H996&gt;=10,"Passable",TRUE,"Insuffisant")</f>
        <v>Insuffisant</v>
      </c>
      <c r="O996">
        <v>0.66180000000000005</v>
      </c>
      <c r="P996">
        <v>130000</v>
      </c>
      <c r="Q996" s="2">
        <v>46082</v>
      </c>
    </row>
    <row r="997" spans="1:17" x14ac:dyDescent="0.45">
      <c r="A997" t="s">
        <v>1327</v>
      </c>
      <c r="B997" t="s">
        <v>65</v>
      </c>
      <c r="C997" t="s">
        <v>19</v>
      </c>
      <c r="D997" t="s">
        <v>32</v>
      </c>
      <c r="E997" t="s">
        <v>42</v>
      </c>
      <c r="F997">
        <v>12.97</v>
      </c>
      <c r="G997">
        <v>13.83</v>
      </c>
      <c r="H997">
        <v>11.09</v>
      </c>
      <c r="I997" s="4" t="str">
        <f t="shared" si="60"/>
        <v>Admis</v>
      </c>
      <c r="J997" s="4" t="str">
        <f t="shared" si="61"/>
        <v>Non eligible</v>
      </c>
      <c r="K997">
        <v>11.59</v>
      </c>
      <c r="L997" s="6" t="str">
        <f t="shared" si="62"/>
        <v>RAS</v>
      </c>
      <c r="M997" s="6" t="str">
        <f t="shared" si="63"/>
        <v>Hors Data</v>
      </c>
      <c r="N997" s="8" t="str" cm="1">
        <f t="array" ref="N997">_xlfn.IFS(H997&gt;=16,"Excellent",H997&gt;=14,"Très bien",H997&gt;=12,"Bien",H997&gt;=10,"Passable",TRUE,"Insuffisant")</f>
        <v>Passable</v>
      </c>
      <c r="O997">
        <v>0.63160000000000005</v>
      </c>
      <c r="P997">
        <v>85000</v>
      </c>
      <c r="Q997" s="2">
        <v>45985</v>
      </c>
    </row>
    <row r="998" spans="1:17" x14ac:dyDescent="0.45">
      <c r="A998" t="s">
        <v>1328</v>
      </c>
      <c r="B998" t="s">
        <v>23</v>
      </c>
      <c r="C998" t="s">
        <v>19</v>
      </c>
      <c r="D998" t="s">
        <v>28</v>
      </c>
      <c r="E998" t="s">
        <v>29</v>
      </c>
      <c r="F998">
        <v>9.0299999999999994</v>
      </c>
      <c r="G998">
        <v>13.37</v>
      </c>
      <c r="H998">
        <v>12.52</v>
      </c>
      <c r="I998" s="4" t="str">
        <f t="shared" si="60"/>
        <v>Admis</v>
      </c>
      <c r="J998" s="4" t="str">
        <f t="shared" si="61"/>
        <v>Non eligible</v>
      </c>
      <c r="K998">
        <v>11.26</v>
      </c>
      <c r="L998" s="6" t="str">
        <f t="shared" si="62"/>
        <v>A surveiller</v>
      </c>
      <c r="M998" s="6" t="str">
        <f t="shared" si="63"/>
        <v>Hors Data</v>
      </c>
      <c r="N998" s="8" t="str" cm="1">
        <f t="array" ref="N998">_xlfn.IFS(H998&gt;=16,"Excellent",H998&gt;=14,"Très bien",H998&gt;=12,"Bien",H998&gt;=10,"Passable",TRUE,"Insuffisant")</f>
        <v>Bien</v>
      </c>
      <c r="O998">
        <v>0.87109999999999999</v>
      </c>
      <c r="P998">
        <v>50000</v>
      </c>
      <c r="Q998" s="2">
        <v>46152</v>
      </c>
    </row>
    <row r="999" spans="1:17" x14ac:dyDescent="0.45">
      <c r="A999" t="s">
        <v>1329</v>
      </c>
      <c r="B999" t="s">
        <v>372</v>
      </c>
      <c r="C999" t="s">
        <v>14</v>
      </c>
      <c r="D999" t="s">
        <v>35</v>
      </c>
      <c r="E999" t="s">
        <v>29</v>
      </c>
      <c r="F999">
        <v>11.33</v>
      </c>
      <c r="G999">
        <v>12.15</v>
      </c>
      <c r="H999">
        <v>10.73</v>
      </c>
      <c r="I999" s="4" t="str">
        <f t="shared" si="60"/>
        <v>Admis</v>
      </c>
      <c r="J999" s="4" t="str">
        <f t="shared" si="61"/>
        <v>Non eligible</v>
      </c>
      <c r="K999">
        <v>11.6</v>
      </c>
      <c r="L999" s="6" t="str">
        <f t="shared" si="62"/>
        <v>RAS</v>
      </c>
      <c r="M999" s="6" t="str">
        <f t="shared" si="63"/>
        <v>Hors Data</v>
      </c>
      <c r="N999" s="8" t="str" cm="1">
        <f t="array" ref="N999">_xlfn.IFS(H999&gt;=16,"Excellent",H999&gt;=14,"Très bien",H999&gt;=12,"Bien",H999&gt;=10,"Passable",TRUE,"Insuffisant")</f>
        <v>Passable</v>
      </c>
      <c r="O999">
        <v>0.96430000000000005</v>
      </c>
      <c r="P999">
        <v>85000</v>
      </c>
      <c r="Q999" s="2">
        <v>45859</v>
      </c>
    </row>
    <row r="1000" spans="1:17" x14ac:dyDescent="0.45">
      <c r="A1000" t="s">
        <v>1330</v>
      </c>
      <c r="B1000" t="s">
        <v>185</v>
      </c>
      <c r="C1000" t="s">
        <v>19</v>
      </c>
      <c r="D1000" t="s">
        <v>28</v>
      </c>
      <c r="E1000" t="s">
        <v>21</v>
      </c>
      <c r="F1000">
        <v>15.48</v>
      </c>
      <c r="G1000">
        <v>16.25</v>
      </c>
      <c r="H1000">
        <v>14.33</v>
      </c>
      <c r="I1000" s="4" t="str">
        <f t="shared" si="60"/>
        <v>Admis</v>
      </c>
      <c r="J1000" s="4" t="str">
        <f t="shared" si="61"/>
        <v>Non eligible</v>
      </c>
      <c r="K1000">
        <v>16.04</v>
      </c>
      <c r="L1000" s="6" t="str">
        <f t="shared" si="62"/>
        <v>RAS</v>
      </c>
      <c r="M1000" s="6" t="str">
        <f t="shared" si="63"/>
        <v>Hors Data</v>
      </c>
      <c r="N1000" s="8" t="str" cm="1">
        <f t="array" ref="N1000">_xlfn.IFS(H1000&gt;=16,"Excellent",H1000&gt;=14,"Très bien",H1000&gt;=12,"Bien",H1000&gt;=10,"Passable",TRUE,"Insuffisant")</f>
        <v>Très bien</v>
      </c>
      <c r="O1000">
        <v>0.64580000000000004</v>
      </c>
      <c r="P1000">
        <v>85000</v>
      </c>
      <c r="Q1000" s="2">
        <v>46013</v>
      </c>
    </row>
    <row r="1001" spans="1:17" x14ac:dyDescent="0.45">
      <c r="A1001" t="s">
        <v>1331</v>
      </c>
      <c r="B1001" t="s">
        <v>49</v>
      </c>
      <c r="C1001" t="s">
        <v>19</v>
      </c>
      <c r="D1001" t="s">
        <v>20</v>
      </c>
      <c r="E1001" t="s">
        <v>16</v>
      </c>
      <c r="F1001">
        <v>16.309999999999999</v>
      </c>
      <c r="G1001">
        <v>13.92</v>
      </c>
      <c r="H1001">
        <v>11.5</v>
      </c>
      <c r="I1001" s="4" t="str">
        <f t="shared" si="60"/>
        <v>Admis</v>
      </c>
      <c r="J1001" s="4" t="str">
        <f t="shared" si="61"/>
        <v>Non eligible</v>
      </c>
      <c r="K1001">
        <v>19.059999999999999</v>
      </c>
      <c r="L1001" s="6" t="str">
        <f t="shared" si="62"/>
        <v>RAS</v>
      </c>
      <c r="M1001" s="6" t="str">
        <f t="shared" si="63"/>
        <v>Data</v>
      </c>
      <c r="N1001" s="8" t="str" cm="1">
        <f t="array" ref="N1001">_xlfn.IFS(H1001&gt;=16,"Excellent",H1001&gt;=14,"Très bien",H1001&gt;=12,"Bien",H1001&gt;=10,"Passable",TRUE,"Insuffisant")</f>
        <v>Passable</v>
      </c>
      <c r="O1001">
        <v>0.90300000000000002</v>
      </c>
      <c r="P1001">
        <v>100000</v>
      </c>
      <c r="Q1001" s="2">
        <v>45829</v>
      </c>
    </row>
  </sheetData>
  <conditionalFormatting sqref="I1:J1048576">
    <cfRule type="containsText" dxfId="12" priority="15" operator="containsText" text="Non Admis">
      <formula>NOT(ISERROR(SEARCH("Non Admis",I1)))</formula>
    </cfRule>
    <cfRule type="containsText" dxfId="11" priority="16" operator="containsText" text="Non admis">
      <formula>NOT(ISERROR(SEARCH("Non admis",I1)))</formula>
    </cfRule>
    <cfRule type="containsText" dxfId="10" priority="17" operator="containsText" text="Non admis">
      <formula>NOT(ISERROR(SEARCH("Non admis",I1)))</formula>
    </cfRule>
  </conditionalFormatting>
  <conditionalFormatting sqref="J2:J1001">
    <cfRule type="containsText" dxfId="9" priority="14" operator="containsText" text="Non eligible">
      <formula>NOT(ISERROR(SEARCH("Non eligible",J2)))</formula>
    </cfRule>
  </conditionalFormatting>
  <conditionalFormatting sqref="L2:N1001">
    <cfRule type="containsText" dxfId="8" priority="13" operator="containsText" text="RAS">
      <formula>NOT(ISERROR(SEARCH("RAS",L2)))</formula>
    </cfRule>
  </conditionalFormatting>
  <conditionalFormatting sqref="M2:N1001">
    <cfRule type="containsText" dxfId="7" priority="12" operator="containsText" text="Hors Data">
      <formula>NOT(ISERROR(SEARCH("Hors Data",M2)))</formula>
    </cfRule>
  </conditionalFormatting>
  <conditionalFormatting sqref="N1:N1048576">
    <cfRule type="iconSet" priority="7">
      <iconSet>
        <cfvo type="percent" val="0"/>
        <cfvo type="percent" val="33"/>
        <cfvo type="percent" val="67"/>
      </iconSet>
    </cfRule>
    <cfRule type="expression" dxfId="6" priority="8" stopIfTrue="1">
      <formula>I2="Excellent"</formula>
    </cfRule>
  </conditionalFormatting>
  <conditionalFormatting sqref="N1:N1001">
    <cfRule type="containsText" dxfId="5" priority="6" operator="containsText" text="Excellent">
      <formula>NOT(ISERROR(SEARCH("Excellent",N1)))</formula>
    </cfRule>
  </conditionalFormatting>
  <conditionalFormatting sqref="N2:N1001">
    <cfRule type="containsText" dxfId="4" priority="1" operator="containsText" text="Insuffisant">
      <formula>NOT(ISERROR(SEARCH("Insuffisant",N2)))</formula>
    </cfRule>
    <cfRule type="containsText" dxfId="3" priority="2" operator="containsText" text="Passable">
      <formula>NOT(ISERROR(SEARCH("Passable",N2)))</formula>
    </cfRule>
    <cfRule type="beginsWith" dxfId="2" priority="3" operator="beginsWith" text="Très">
      <formula>LEFT(N2,LEN("Très"))="Très"</formula>
    </cfRule>
    <cfRule type="containsText" dxfId="1" priority="4" operator="containsText" text="Bien">
      <formula>NOT(ISERROR(SEARCH("Bien",N2)))</formula>
    </cfRule>
    <cfRule type="containsText" dxfId="0" priority="5" operator="containsText" text="Très bien">
      <formula>NOT(ISERROR(SEARCH("Très bien",N2)))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9518-0ACB-44BB-8E95-A28B908F6CF1}">
  <dimension ref="A1:D5"/>
  <sheetViews>
    <sheetView workbookViewId="0">
      <selection activeCell="H6" sqref="H6"/>
    </sheetView>
  </sheetViews>
  <sheetFormatPr baseColWidth="10" defaultRowHeight="14.25" x14ac:dyDescent="0.45"/>
  <cols>
    <col min="4" max="4" width="18.9296875" bestFit="1" customWidth="1"/>
  </cols>
  <sheetData>
    <row r="1" spans="1:4" x14ac:dyDescent="0.45">
      <c r="A1" t="s">
        <v>1337</v>
      </c>
      <c r="B1" t="s">
        <v>1338</v>
      </c>
      <c r="C1" t="s">
        <v>1339</v>
      </c>
      <c r="D1" t="s">
        <v>1340</v>
      </c>
    </row>
    <row r="2" spans="1:4" x14ac:dyDescent="0.45">
      <c r="A2">
        <v>100</v>
      </c>
      <c r="B2">
        <v>10</v>
      </c>
      <c r="C2">
        <f>A2/B2</f>
        <v>10</v>
      </c>
      <c r="D2">
        <f>IFERROR(A2/B2,"Non disponible")</f>
        <v>10</v>
      </c>
    </row>
    <row r="3" spans="1:4" x14ac:dyDescent="0.45">
      <c r="A3">
        <v>200</v>
      </c>
      <c r="B3">
        <v>20</v>
      </c>
      <c r="C3">
        <f t="shared" ref="C3:C5" si="0">A3/B3</f>
        <v>10</v>
      </c>
      <c r="D3">
        <f t="shared" ref="D3:D5" si="1">IFERROR(A3/B3,"Non disponible")</f>
        <v>10</v>
      </c>
    </row>
    <row r="4" spans="1:4" x14ac:dyDescent="0.45">
      <c r="A4">
        <v>150</v>
      </c>
      <c r="B4">
        <v>0</v>
      </c>
      <c r="C4" t="e">
        <f t="shared" si="0"/>
        <v>#DIV/0!</v>
      </c>
      <c r="D4" t="str">
        <f t="shared" si="1"/>
        <v>Non disponible</v>
      </c>
    </row>
    <row r="5" spans="1:4" x14ac:dyDescent="0.45">
      <c r="A5">
        <v>300</v>
      </c>
      <c r="B5">
        <v>15</v>
      </c>
      <c r="C5">
        <f t="shared" si="0"/>
        <v>20</v>
      </c>
      <c r="D5">
        <f t="shared" si="1"/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CE01-0C3D-4DB9-BF2B-34ADB859CCE8}">
  <dimension ref="A1:N1001"/>
  <sheetViews>
    <sheetView tabSelected="1" topLeftCell="B1" workbookViewId="0">
      <selection activeCell="L8" sqref="L8"/>
    </sheetView>
  </sheetViews>
  <sheetFormatPr baseColWidth="10" defaultRowHeight="14.25" x14ac:dyDescent="0.45"/>
  <cols>
    <col min="2" max="2" width="16.19921875" bestFit="1" customWidth="1"/>
    <col min="5" max="5" width="13.19921875" bestFit="1" customWidth="1"/>
    <col min="11" max="11" width="17.46484375" bestFit="1" customWidth="1"/>
    <col min="14" max="14" width="12.33203125" bestFit="1" customWidth="1"/>
  </cols>
  <sheetData>
    <row r="1" spans="1:14" ht="15.4" x14ac:dyDescent="0.45">
      <c r="A1" t="s">
        <v>0</v>
      </c>
      <c r="B1" s="9" t="s">
        <v>1</v>
      </c>
      <c r="C1" s="9"/>
      <c r="D1" s="9"/>
      <c r="E1" s="9" t="s">
        <v>4</v>
      </c>
      <c r="F1" s="9" t="s">
        <v>5</v>
      </c>
      <c r="G1" s="9"/>
      <c r="H1" s="9" t="s">
        <v>7</v>
      </c>
      <c r="I1" s="9"/>
      <c r="J1" s="9" t="s">
        <v>9</v>
      </c>
      <c r="K1" s="9" t="s">
        <v>1341</v>
      </c>
      <c r="L1" s="10" t="s">
        <v>1342</v>
      </c>
      <c r="M1" s="9" t="s">
        <v>1334</v>
      </c>
      <c r="N1" s="9" t="s">
        <v>1335</v>
      </c>
    </row>
    <row r="2" spans="1:14" x14ac:dyDescent="0.45">
      <c r="A2" t="s">
        <v>12</v>
      </c>
      <c r="B2" t="s">
        <v>13</v>
      </c>
      <c r="E2" t="s">
        <v>16</v>
      </c>
      <c r="F2">
        <v>12.13</v>
      </c>
      <c r="H2">
        <v>11.09</v>
      </c>
      <c r="J2">
        <v>0.91869999999999996</v>
      </c>
      <c r="K2" t="str">
        <f>IF(AND(F2&gt;=12,H2&gt;=12,J2&gt;=0.8),"Admis",
   IF(AND(F2&gt;=10,H2&gt;=10),"Admis sous condition","Refusé"))</f>
        <v>Admis sous condition</v>
      </c>
      <c r="L2" t="str" cm="1">
        <f t="array" ref="L2">_xlfn.IFS(H2&gt;=16,"Excellent",
               H2&gt;=14,"Très bien",
               H2&gt;=12,"Bien",
               H2&gt;=10,"Passable",
               TRUE,"Insuffisant")</f>
        <v>Passable</v>
      </c>
      <c r="M2" t="str">
        <f>IF(OR(F2&lt;10,H2&lt;10,J2&lt;0.7),"A surveiller","RAS")</f>
        <v>RAS</v>
      </c>
      <c r="N2" t="str">
        <f>IF(NOT(E2="Data"),"Autre filière","Data")</f>
        <v>Data</v>
      </c>
    </row>
    <row r="3" spans="1:14" x14ac:dyDescent="0.45">
      <c r="A3" t="s">
        <v>17</v>
      </c>
      <c r="B3" t="s">
        <v>18</v>
      </c>
      <c r="E3" t="s">
        <v>21</v>
      </c>
      <c r="F3">
        <v>15.39</v>
      </c>
      <c r="H3">
        <v>20</v>
      </c>
      <c r="J3">
        <v>0.81930000000000003</v>
      </c>
      <c r="K3" t="str">
        <f t="shared" ref="K3:K8" si="0">IF(AND(F3&gt;=12,H3&gt;=12,J3&gt;=0.8),"Admis",
   IF(AND(F3&gt;=10,H3&gt;=10),"Admis sous condition","Refusé"))</f>
        <v>Admis</v>
      </c>
      <c r="L3" t="str" cm="1">
        <f t="array" ref="L3">_xlfn.IFS(H3&gt;=16,"Excellent",
               H3&gt;=14,"Très bien",
               H3&gt;=12,"Bien",
               H3&gt;=10,"Passable",
               TRUE,"Insuffisant")</f>
        <v>Excellent</v>
      </c>
      <c r="M3" t="str">
        <f t="shared" ref="M3:M8" si="1">IF(OR(F3&lt;10,H3&lt;10,J3&lt;0.7),"A surveiller","RAS")</f>
        <v>RAS</v>
      </c>
      <c r="N3" t="str">
        <f t="shared" ref="N3:N8" si="2">IF(NOT(E3="Data"),"Autre filière","Data")</f>
        <v>Autre filière</v>
      </c>
    </row>
    <row r="4" spans="1:14" x14ac:dyDescent="0.45">
      <c r="A4" t="s">
        <v>22</v>
      </c>
      <c r="B4" t="s">
        <v>23</v>
      </c>
      <c r="E4" t="s">
        <v>16</v>
      </c>
      <c r="F4">
        <v>11.17</v>
      </c>
      <c r="H4">
        <v>19.760000000000002</v>
      </c>
      <c r="J4">
        <v>0.79079999999999995</v>
      </c>
      <c r="K4" t="str">
        <f t="shared" si="0"/>
        <v>Admis sous condition</v>
      </c>
      <c r="L4" t="str" cm="1">
        <f t="array" ref="L4">_xlfn.IFS(H4&gt;=16,"Excellent",
               H4&gt;=14,"Très bien",
               H4&gt;=12,"Bien",
               H4&gt;=10,"Passable",
               TRUE,"Insuffisant")</f>
        <v>Excellent</v>
      </c>
      <c r="M4" t="str">
        <f t="shared" si="1"/>
        <v>RAS</v>
      </c>
      <c r="N4" t="str">
        <f t="shared" si="2"/>
        <v>Data</v>
      </c>
    </row>
    <row r="5" spans="1:14" x14ac:dyDescent="0.45">
      <c r="A5" t="s">
        <v>24</v>
      </c>
      <c r="B5" t="s">
        <v>25</v>
      </c>
      <c r="E5" t="s">
        <v>21</v>
      </c>
      <c r="F5">
        <v>14.17</v>
      </c>
      <c r="H5">
        <v>10.26</v>
      </c>
      <c r="J5">
        <v>0.76400000000000001</v>
      </c>
      <c r="K5" t="str">
        <f t="shared" si="0"/>
        <v>Admis sous condition</v>
      </c>
      <c r="L5" t="str" cm="1">
        <f t="array" ref="L5">_xlfn.IFS(H5&gt;=16,"Excellent",
               H5&gt;=14,"Très bien",
               H5&gt;=12,"Bien",
               H5&gt;=10,"Passable",
               TRUE,"Insuffisant")</f>
        <v>Passable</v>
      </c>
      <c r="M5" t="str">
        <f t="shared" si="1"/>
        <v>RAS</v>
      </c>
      <c r="N5" t="str">
        <f t="shared" si="2"/>
        <v>Autre filière</v>
      </c>
    </row>
    <row r="6" spans="1:14" x14ac:dyDescent="0.45">
      <c r="A6" t="s">
        <v>26</v>
      </c>
      <c r="B6" t="s">
        <v>27</v>
      </c>
      <c r="E6" t="s">
        <v>29</v>
      </c>
      <c r="F6">
        <v>13.23</v>
      </c>
      <c r="H6">
        <v>10.63</v>
      </c>
      <c r="J6">
        <v>0.73070000000000002</v>
      </c>
      <c r="K6" t="str">
        <f t="shared" si="0"/>
        <v>Admis sous condition</v>
      </c>
      <c r="L6" t="str" cm="1">
        <f t="array" ref="L6">_xlfn.IFS(H6&gt;=16,"Excellent",
               H6&gt;=14,"Très bien",
               H6&gt;=12,"Bien",
               H6&gt;=10,"Passable",
               TRUE,"Insuffisant")</f>
        <v>Passable</v>
      </c>
      <c r="M6" t="str">
        <f t="shared" si="1"/>
        <v>RAS</v>
      </c>
      <c r="N6" t="str">
        <f t="shared" si="2"/>
        <v>Autre filière</v>
      </c>
    </row>
    <row r="7" spans="1:14" x14ac:dyDescent="0.45">
      <c r="A7" t="s">
        <v>30</v>
      </c>
      <c r="B7" t="s">
        <v>31</v>
      </c>
      <c r="E7" t="s">
        <v>21</v>
      </c>
      <c r="F7">
        <v>16.079999999999998</v>
      </c>
      <c r="H7">
        <v>12.22</v>
      </c>
      <c r="J7">
        <v>0.7429</v>
      </c>
      <c r="K7" t="str">
        <f t="shared" si="0"/>
        <v>Admis sous condition</v>
      </c>
      <c r="L7" t="str" cm="1">
        <f t="array" ref="L7">_xlfn.IFS(H7&gt;=16,"Excellent",
               H7&gt;=14,"Très bien",
               H7&gt;=12,"Bien",
               H7&gt;=10,"Passable",
               TRUE,"Insuffisant")</f>
        <v>Bien</v>
      </c>
      <c r="M7" t="str">
        <f t="shared" si="1"/>
        <v>RAS</v>
      </c>
      <c r="N7" t="str">
        <f t="shared" si="2"/>
        <v>Autre filière</v>
      </c>
    </row>
    <row r="8" spans="1:14" x14ac:dyDescent="0.45">
      <c r="A8" t="s">
        <v>33</v>
      </c>
      <c r="B8" t="s">
        <v>34</v>
      </c>
      <c r="E8" t="s">
        <v>21</v>
      </c>
      <c r="F8">
        <v>16.97</v>
      </c>
      <c r="H8">
        <v>15.2</v>
      </c>
      <c r="J8">
        <v>0.75839999999999996</v>
      </c>
      <c r="K8" t="str">
        <f t="shared" si="0"/>
        <v>Admis sous condition</v>
      </c>
      <c r="L8" t="str" cm="1">
        <f t="array" ref="L8">_xlfn.IFS(H8&gt;=16,"Excellent",
               H8&gt;=14,"Très bien",
               H8&gt;=12,"Bien",
               H8&gt;=10,"Passable",
               TRUE,"Insuffisant")</f>
        <v>Très bien</v>
      </c>
      <c r="M8" t="str">
        <f t="shared" si="1"/>
        <v>RAS</v>
      </c>
      <c r="N8" t="str">
        <f t="shared" si="2"/>
        <v>Autre filière</v>
      </c>
    </row>
    <row r="9" spans="1:14" x14ac:dyDescent="0.45">
      <c r="A9" t="s">
        <v>36</v>
      </c>
      <c r="B9" t="s">
        <v>37</v>
      </c>
      <c r="E9" t="s">
        <v>21</v>
      </c>
      <c r="F9">
        <v>7.57</v>
      </c>
      <c r="H9">
        <v>12.87</v>
      </c>
      <c r="J9">
        <v>0.95250000000000001</v>
      </c>
      <c r="K9" t="str">
        <f t="shared" ref="K9:K22" si="3">IF(AND(F9&gt;=12,H9&gt;=12,J9&gt;=0.8),"Admis",
   IF(AND(F9&gt;=10,H9&gt;=10),"Admis sous condition","Refusé"))</f>
        <v>Refusé</v>
      </c>
      <c r="L9" t="str" cm="1">
        <f t="array" ref="L9">_xlfn.IFS(H9&gt;=16,"Excellent",
               H9&gt;=14,"Très bien",
               H9&gt;=12,"Bien",
               H9&gt;=10,"Passable",
               TRUE,"Insuffisant")</f>
        <v>Bien</v>
      </c>
      <c r="M9" t="str">
        <f t="shared" ref="M9:M22" si="4">IF(OR(F9&lt;10,H9&lt;10,J9&lt;0.7),"A surveiller","RAS")</f>
        <v>A surveiller</v>
      </c>
      <c r="N9" t="str">
        <f t="shared" ref="N9:N22" si="5">IF(NOT(E9="Data"),"Autre filière","Data")</f>
        <v>Autre filière</v>
      </c>
    </row>
    <row r="10" spans="1:14" x14ac:dyDescent="0.45">
      <c r="A10" t="s">
        <v>38</v>
      </c>
      <c r="B10" t="s">
        <v>39</v>
      </c>
      <c r="E10" t="s">
        <v>21</v>
      </c>
      <c r="F10">
        <v>7.43</v>
      </c>
      <c r="H10">
        <v>12.08</v>
      </c>
      <c r="J10">
        <v>0.87990000000000002</v>
      </c>
      <c r="K10" t="str">
        <f t="shared" si="3"/>
        <v>Refusé</v>
      </c>
      <c r="L10" t="str" cm="1">
        <f t="array" ref="L10">_xlfn.IFS(H10&gt;=16,"Excellent",
               H10&gt;=14,"Très bien",
               H10&gt;=12,"Bien",
               H10&gt;=10,"Passable",
               TRUE,"Insuffisant")</f>
        <v>Bien</v>
      </c>
      <c r="M10" t="str">
        <f t="shared" si="4"/>
        <v>A surveiller</v>
      </c>
      <c r="N10" t="str">
        <f t="shared" si="5"/>
        <v>Autre filière</v>
      </c>
    </row>
    <row r="11" spans="1:14" x14ac:dyDescent="0.45">
      <c r="A11" t="s">
        <v>40</v>
      </c>
      <c r="B11" t="s">
        <v>41</v>
      </c>
      <c r="E11" t="s">
        <v>42</v>
      </c>
      <c r="F11">
        <v>14.93</v>
      </c>
      <c r="H11">
        <v>17.170000000000002</v>
      </c>
      <c r="J11">
        <v>0.74860000000000004</v>
      </c>
      <c r="K11" t="str">
        <f t="shared" si="3"/>
        <v>Admis sous condition</v>
      </c>
      <c r="L11" t="str" cm="1">
        <f t="array" ref="L11">_xlfn.IFS(H11&gt;=16,"Excellent",
               H11&gt;=14,"Très bien",
               H11&gt;=12,"Bien",
               H11&gt;=10,"Passable",
               TRUE,"Insuffisant")</f>
        <v>Excellent</v>
      </c>
      <c r="M11" t="str">
        <f t="shared" si="4"/>
        <v>RAS</v>
      </c>
      <c r="N11" t="str">
        <f t="shared" si="5"/>
        <v>Autre filière</v>
      </c>
    </row>
    <row r="12" spans="1:14" x14ac:dyDescent="0.45">
      <c r="A12" t="s">
        <v>43</v>
      </c>
      <c r="B12" t="s">
        <v>44</v>
      </c>
      <c r="E12" t="s">
        <v>21</v>
      </c>
      <c r="F12">
        <v>10.02</v>
      </c>
      <c r="H12">
        <v>13.71</v>
      </c>
      <c r="J12">
        <v>0.78959999999999997</v>
      </c>
      <c r="K12" t="str">
        <f t="shared" si="3"/>
        <v>Admis sous condition</v>
      </c>
      <c r="L12" t="str" cm="1">
        <f t="array" ref="L12">_xlfn.IFS(H12&gt;=16,"Excellent",
               H12&gt;=14,"Très bien",
               H12&gt;=12,"Bien",
               H12&gt;=10,"Passable",
               TRUE,"Insuffisant")</f>
        <v>Bien</v>
      </c>
      <c r="M12" t="str">
        <f t="shared" si="4"/>
        <v>RAS</v>
      </c>
      <c r="N12" t="str">
        <f t="shared" si="5"/>
        <v>Autre filière</v>
      </c>
    </row>
    <row r="13" spans="1:14" x14ac:dyDescent="0.45">
      <c r="A13" t="s">
        <v>45</v>
      </c>
      <c r="B13" t="s">
        <v>46</v>
      </c>
      <c r="E13" t="s">
        <v>16</v>
      </c>
      <c r="F13">
        <v>11.19</v>
      </c>
      <c r="H13">
        <v>8.2100000000000009</v>
      </c>
      <c r="J13">
        <v>0.9133</v>
      </c>
      <c r="K13" t="str">
        <f t="shared" si="3"/>
        <v>Refusé</v>
      </c>
      <c r="L13" t="str" cm="1">
        <f t="array" ref="L13">_xlfn.IFS(H13&gt;=16,"Excellent",
               H13&gt;=14,"Très bien",
               H13&gt;=12,"Bien",
               H13&gt;=10,"Passable",
               TRUE,"Insuffisant")</f>
        <v>Insuffisant</v>
      </c>
      <c r="M13" t="str">
        <f t="shared" si="4"/>
        <v>A surveiller</v>
      </c>
      <c r="N13" t="str">
        <f t="shared" si="5"/>
        <v>Data</v>
      </c>
    </row>
    <row r="14" spans="1:14" x14ac:dyDescent="0.45">
      <c r="A14" t="s">
        <v>48</v>
      </c>
      <c r="B14" t="s">
        <v>49</v>
      </c>
      <c r="E14" t="s">
        <v>16</v>
      </c>
      <c r="F14">
        <v>15.52</v>
      </c>
      <c r="H14">
        <v>14.41</v>
      </c>
      <c r="J14">
        <v>0.87109999999999999</v>
      </c>
      <c r="K14" t="str">
        <f t="shared" si="3"/>
        <v>Admis</v>
      </c>
      <c r="L14" t="str" cm="1">
        <f t="array" ref="L14">_xlfn.IFS(H14&gt;=16,"Excellent",
               H14&gt;=14,"Très bien",
               H14&gt;=12,"Bien",
               H14&gt;=10,"Passable",
               TRUE,"Insuffisant")</f>
        <v>Très bien</v>
      </c>
      <c r="M14" t="str">
        <f t="shared" si="4"/>
        <v>RAS</v>
      </c>
      <c r="N14" t="str">
        <f t="shared" si="5"/>
        <v>Data</v>
      </c>
    </row>
    <row r="15" spans="1:14" x14ac:dyDescent="0.45">
      <c r="A15" t="s">
        <v>50</v>
      </c>
      <c r="B15" t="s">
        <v>51</v>
      </c>
      <c r="E15" t="s">
        <v>42</v>
      </c>
      <c r="F15">
        <v>17.22</v>
      </c>
      <c r="H15">
        <v>14.95</v>
      </c>
      <c r="J15">
        <v>0.73260000000000003</v>
      </c>
      <c r="K15" t="str">
        <f t="shared" si="3"/>
        <v>Admis sous condition</v>
      </c>
      <c r="L15" t="str" cm="1">
        <f t="array" ref="L15">_xlfn.IFS(H15&gt;=16,"Excellent",
               H15&gt;=14,"Très bien",
               H15&gt;=12,"Bien",
               H15&gt;=10,"Passable",
               TRUE,"Insuffisant")</f>
        <v>Très bien</v>
      </c>
      <c r="M15" t="str">
        <f t="shared" si="4"/>
        <v>RAS</v>
      </c>
      <c r="N15" t="str">
        <f t="shared" si="5"/>
        <v>Autre filière</v>
      </c>
    </row>
    <row r="16" spans="1:14" x14ac:dyDescent="0.45">
      <c r="A16" t="s">
        <v>52</v>
      </c>
      <c r="B16" t="s">
        <v>53</v>
      </c>
      <c r="E16" t="s">
        <v>21</v>
      </c>
      <c r="F16">
        <v>10.09</v>
      </c>
      <c r="H16">
        <v>5.93</v>
      </c>
      <c r="J16">
        <v>0.95089999999999997</v>
      </c>
      <c r="K16" t="str">
        <f t="shared" si="3"/>
        <v>Refusé</v>
      </c>
      <c r="L16" t="str" cm="1">
        <f t="array" ref="L16">_xlfn.IFS(H16&gt;=16,"Excellent",
               H16&gt;=14,"Très bien",
               H16&gt;=12,"Bien",
               H16&gt;=10,"Passable",
               TRUE,"Insuffisant")</f>
        <v>Insuffisant</v>
      </c>
      <c r="M16" t="str">
        <f t="shared" si="4"/>
        <v>A surveiller</v>
      </c>
      <c r="N16" t="str">
        <f t="shared" si="5"/>
        <v>Autre filière</v>
      </c>
    </row>
    <row r="17" spans="1:14" x14ac:dyDescent="0.45">
      <c r="A17" t="s">
        <v>54</v>
      </c>
      <c r="B17" t="s">
        <v>55</v>
      </c>
      <c r="E17" t="s">
        <v>21</v>
      </c>
      <c r="F17">
        <v>14.6</v>
      </c>
      <c r="H17">
        <v>11.79</v>
      </c>
      <c r="J17">
        <v>0.79810000000000003</v>
      </c>
      <c r="K17" t="str">
        <f t="shared" si="3"/>
        <v>Admis sous condition</v>
      </c>
      <c r="L17" t="str" cm="1">
        <f t="array" ref="L17">_xlfn.IFS(H17&gt;=16,"Excellent",
               H17&gt;=14,"Très bien",
               H17&gt;=12,"Bien",
               H17&gt;=10,"Passable",
               TRUE,"Insuffisant")</f>
        <v>Passable</v>
      </c>
      <c r="M17" t="str">
        <f t="shared" si="4"/>
        <v>RAS</v>
      </c>
      <c r="N17" t="str">
        <f t="shared" si="5"/>
        <v>Autre filière</v>
      </c>
    </row>
    <row r="18" spans="1:14" x14ac:dyDescent="0.45">
      <c r="A18" t="s">
        <v>56</v>
      </c>
      <c r="B18" t="s">
        <v>57</v>
      </c>
      <c r="E18" t="s">
        <v>42</v>
      </c>
      <c r="F18">
        <v>18.2</v>
      </c>
      <c r="H18">
        <v>13.29</v>
      </c>
      <c r="J18">
        <v>0.84589999999999999</v>
      </c>
      <c r="K18" t="str">
        <f t="shared" si="3"/>
        <v>Admis</v>
      </c>
      <c r="L18" t="str" cm="1">
        <f t="array" ref="L18">_xlfn.IFS(H18&gt;=16,"Excellent",
               H18&gt;=14,"Très bien",
               H18&gt;=12,"Bien",
               H18&gt;=10,"Passable",
               TRUE,"Insuffisant")</f>
        <v>Bien</v>
      </c>
      <c r="M18" t="str">
        <f t="shared" si="4"/>
        <v>RAS</v>
      </c>
      <c r="N18" t="str">
        <f t="shared" si="5"/>
        <v>Autre filière</v>
      </c>
    </row>
    <row r="19" spans="1:14" x14ac:dyDescent="0.45">
      <c r="A19" t="s">
        <v>58</v>
      </c>
      <c r="B19" t="s">
        <v>59</v>
      </c>
      <c r="E19" t="s">
        <v>42</v>
      </c>
      <c r="F19">
        <v>15.58</v>
      </c>
      <c r="H19">
        <v>16.43</v>
      </c>
      <c r="J19">
        <v>0.55000000000000004</v>
      </c>
      <c r="K19" t="str">
        <f t="shared" si="3"/>
        <v>Admis sous condition</v>
      </c>
      <c r="L19" t="str" cm="1">
        <f t="array" ref="L19">_xlfn.IFS(H19&gt;=16,"Excellent",
               H19&gt;=14,"Très bien",
               H19&gt;=12,"Bien",
               H19&gt;=10,"Passable",
               TRUE,"Insuffisant")</f>
        <v>Excellent</v>
      </c>
      <c r="M19" t="str">
        <f t="shared" si="4"/>
        <v>A surveiller</v>
      </c>
      <c r="N19" t="str">
        <f t="shared" si="5"/>
        <v>Autre filière</v>
      </c>
    </row>
    <row r="20" spans="1:14" x14ac:dyDescent="0.45">
      <c r="A20" t="s">
        <v>60</v>
      </c>
      <c r="B20" t="s">
        <v>61</v>
      </c>
      <c r="E20" t="s">
        <v>42</v>
      </c>
      <c r="F20">
        <v>15.42</v>
      </c>
      <c r="H20">
        <v>16.010000000000002</v>
      </c>
      <c r="J20">
        <v>0.55000000000000004</v>
      </c>
      <c r="K20" t="str">
        <f t="shared" si="3"/>
        <v>Admis sous condition</v>
      </c>
      <c r="L20" t="str" cm="1">
        <f t="array" ref="L20">_xlfn.IFS(H20&gt;=16,"Excellent",
               H20&gt;=14,"Très bien",
               H20&gt;=12,"Bien",
               H20&gt;=10,"Passable",
               TRUE,"Insuffisant")</f>
        <v>Excellent</v>
      </c>
      <c r="M20" t="str">
        <f t="shared" si="4"/>
        <v>A surveiller</v>
      </c>
      <c r="N20" t="str">
        <f t="shared" si="5"/>
        <v>Autre filière</v>
      </c>
    </row>
    <row r="21" spans="1:14" x14ac:dyDescent="0.45">
      <c r="A21" t="s">
        <v>62</v>
      </c>
      <c r="B21" t="s">
        <v>63</v>
      </c>
      <c r="E21" t="s">
        <v>21</v>
      </c>
      <c r="F21">
        <v>12.83</v>
      </c>
      <c r="H21">
        <v>11.11</v>
      </c>
      <c r="J21">
        <v>0.82350000000000001</v>
      </c>
      <c r="K21" t="str">
        <f t="shared" si="3"/>
        <v>Admis sous condition</v>
      </c>
      <c r="L21" t="str" cm="1">
        <f t="array" ref="L21">_xlfn.IFS(H21&gt;=16,"Excellent",
               H21&gt;=14,"Très bien",
               H21&gt;=12,"Bien",
               H21&gt;=10,"Passable",
               TRUE,"Insuffisant")</f>
        <v>Passable</v>
      </c>
      <c r="M21" t="str">
        <f t="shared" si="4"/>
        <v>RAS</v>
      </c>
      <c r="N21" t="str">
        <f t="shared" si="5"/>
        <v>Autre filière</v>
      </c>
    </row>
    <row r="22" spans="1:14" x14ac:dyDescent="0.45">
      <c r="A22" t="s">
        <v>64</v>
      </c>
      <c r="B22" t="s">
        <v>65</v>
      </c>
      <c r="E22" t="s">
        <v>21</v>
      </c>
      <c r="F22">
        <v>14.68</v>
      </c>
      <c r="H22">
        <v>10.58</v>
      </c>
      <c r="J22">
        <v>0.87709999999999999</v>
      </c>
      <c r="K22" t="str">
        <f t="shared" si="3"/>
        <v>Admis sous condition</v>
      </c>
      <c r="L22" t="str" cm="1">
        <f t="array" ref="L22">_xlfn.IFS(H22&gt;=16,"Excellent",
               H22&gt;=14,"Très bien",
               H22&gt;=12,"Bien",
               H22&gt;=10,"Passable",
               TRUE,"Insuffisant")</f>
        <v>Passable</v>
      </c>
      <c r="M22" t="str">
        <f t="shared" si="4"/>
        <v>RAS</v>
      </c>
      <c r="N22" t="str">
        <f t="shared" si="5"/>
        <v>Autre filière</v>
      </c>
    </row>
    <row r="23" spans="1:14" x14ac:dyDescent="0.45">
      <c r="A23" t="s">
        <v>66</v>
      </c>
      <c r="B23" t="s">
        <v>67</v>
      </c>
      <c r="E23" t="s">
        <v>16</v>
      </c>
      <c r="F23">
        <v>11.98</v>
      </c>
      <c r="H23">
        <v>9.59</v>
      </c>
      <c r="J23">
        <v>0.83630000000000004</v>
      </c>
      <c r="K23" t="str">
        <f t="shared" ref="K23:K86" si="6">IF(AND(F23&gt;=12,H23&gt;=12,J23&gt;=0.8),"Admis",
   IF(AND(F23&gt;=10,H23&gt;=10),"Admis sous condition","Refusé"))</f>
        <v>Refusé</v>
      </c>
      <c r="L23" t="str" cm="1">
        <f t="array" ref="L23">_xlfn.IFS(H23&gt;=16,"Excellent",
               H23&gt;=14,"Très bien",
               H23&gt;=12,"Bien",
               H23&gt;=10,"Passable",
               TRUE,"Insuffisant")</f>
        <v>Insuffisant</v>
      </c>
      <c r="M23" t="str">
        <f t="shared" ref="M23:M86" si="7">IF(OR(F23&lt;10,H23&lt;10,J23&lt;0.7),"A surveiller","RAS")</f>
        <v>A surveiller</v>
      </c>
      <c r="N23" t="str">
        <f t="shared" ref="N23:N86" si="8">IF(NOT(E23="Data"),"Autre filière","Data")</f>
        <v>Data</v>
      </c>
    </row>
    <row r="24" spans="1:14" x14ac:dyDescent="0.45">
      <c r="A24" t="s">
        <v>68</v>
      </c>
      <c r="B24" t="s">
        <v>69</v>
      </c>
      <c r="E24" t="s">
        <v>42</v>
      </c>
      <c r="F24">
        <v>10.3</v>
      </c>
      <c r="H24">
        <v>13.81</v>
      </c>
      <c r="J24">
        <v>0.94589999999999996</v>
      </c>
      <c r="K24" t="str">
        <f t="shared" si="6"/>
        <v>Admis sous condition</v>
      </c>
      <c r="L24" t="str" cm="1">
        <f t="array" ref="L24">_xlfn.IFS(H24&gt;=16,"Excellent",
               H24&gt;=14,"Très bien",
               H24&gt;=12,"Bien",
               H24&gt;=10,"Passable",
               TRUE,"Insuffisant")</f>
        <v>Bien</v>
      </c>
      <c r="M24" t="str">
        <f t="shared" si="7"/>
        <v>RAS</v>
      </c>
      <c r="N24" t="str">
        <f t="shared" si="8"/>
        <v>Autre filière</v>
      </c>
    </row>
    <row r="25" spans="1:14" x14ac:dyDescent="0.45">
      <c r="A25" t="s">
        <v>70</v>
      </c>
      <c r="B25" t="s">
        <v>71</v>
      </c>
      <c r="E25" t="s">
        <v>29</v>
      </c>
      <c r="F25">
        <v>17.48</v>
      </c>
      <c r="H25">
        <v>10.02</v>
      </c>
      <c r="J25">
        <v>0.58579999999999999</v>
      </c>
      <c r="K25" t="str">
        <f t="shared" si="6"/>
        <v>Admis sous condition</v>
      </c>
      <c r="L25" t="str" cm="1">
        <f t="array" ref="L25">_xlfn.IFS(H25&gt;=16,"Excellent",
               H25&gt;=14,"Très bien",
               H25&gt;=12,"Bien",
               H25&gt;=10,"Passable",
               TRUE,"Insuffisant")</f>
        <v>Passable</v>
      </c>
      <c r="M25" t="str">
        <f t="shared" si="7"/>
        <v>A surveiller</v>
      </c>
      <c r="N25" t="str">
        <f t="shared" si="8"/>
        <v>Autre filière</v>
      </c>
    </row>
    <row r="26" spans="1:14" x14ac:dyDescent="0.45">
      <c r="A26" t="s">
        <v>72</v>
      </c>
      <c r="B26" t="s">
        <v>73</v>
      </c>
      <c r="E26" t="s">
        <v>21</v>
      </c>
      <c r="F26">
        <v>20</v>
      </c>
      <c r="H26">
        <v>20</v>
      </c>
      <c r="J26">
        <v>0.9405</v>
      </c>
      <c r="K26" t="str">
        <f t="shared" si="6"/>
        <v>Admis</v>
      </c>
      <c r="L26" t="str" cm="1">
        <f t="array" ref="L26">_xlfn.IFS(H26&gt;=16,"Excellent",
               H26&gt;=14,"Très bien",
               H26&gt;=12,"Bien",
               H26&gt;=10,"Passable",
               TRUE,"Insuffisant")</f>
        <v>Excellent</v>
      </c>
      <c r="M26" t="str">
        <f t="shared" si="7"/>
        <v>RAS</v>
      </c>
      <c r="N26" t="str">
        <f t="shared" si="8"/>
        <v>Autre filière</v>
      </c>
    </row>
    <row r="27" spans="1:14" x14ac:dyDescent="0.45">
      <c r="A27" t="s">
        <v>74</v>
      </c>
      <c r="B27" t="s">
        <v>75</v>
      </c>
      <c r="E27" t="s">
        <v>42</v>
      </c>
      <c r="F27">
        <v>18.41</v>
      </c>
      <c r="H27">
        <v>14.71</v>
      </c>
      <c r="J27">
        <v>0.81899999999999995</v>
      </c>
      <c r="K27" t="str">
        <f t="shared" si="6"/>
        <v>Admis</v>
      </c>
      <c r="L27" t="str" cm="1">
        <f t="array" ref="L27">_xlfn.IFS(H27&gt;=16,"Excellent",
               H27&gt;=14,"Très bien",
               H27&gt;=12,"Bien",
               H27&gt;=10,"Passable",
               TRUE,"Insuffisant")</f>
        <v>Très bien</v>
      </c>
      <c r="M27" t="str">
        <f t="shared" si="7"/>
        <v>RAS</v>
      </c>
      <c r="N27" t="str">
        <f t="shared" si="8"/>
        <v>Autre filière</v>
      </c>
    </row>
    <row r="28" spans="1:14" x14ac:dyDescent="0.45">
      <c r="A28" t="s">
        <v>76</v>
      </c>
      <c r="B28" t="s">
        <v>77</v>
      </c>
      <c r="E28" t="s">
        <v>21</v>
      </c>
      <c r="F28">
        <v>20</v>
      </c>
      <c r="H28">
        <v>19.239999999999998</v>
      </c>
      <c r="J28">
        <v>0.76739999999999997</v>
      </c>
      <c r="K28" t="str">
        <f t="shared" si="6"/>
        <v>Admis sous condition</v>
      </c>
      <c r="L28" t="str" cm="1">
        <f t="array" ref="L28">_xlfn.IFS(H28&gt;=16,"Excellent",
               H28&gt;=14,"Très bien",
               H28&gt;=12,"Bien",
               H28&gt;=10,"Passable",
               TRUE,"Insuffisant")</f>
        <v>Excellent</v>
      </c>
      <c r="M28" t="str">
        <f t="shared" si="7"/>
        <v>RAS</v>
      </c>
      <c r="N28" t="str">
        <f t="shared" si="8"/>
        <v>Autre filière</v>
      </c>
    </row>
    <row r="29" spans="1:14" x14ac:dyDescent="0.45">
      <c r="A29" t="s">
        <v>78</v>
      </c>
      <c r="B29" t="s">
        <v>79</v>
      </c>
      <c r="E29" t="s">
        <v>29</v>
      </c>
      <c r="F29">
        <v>8.86</v>
      </c>
      <c r="H29">
        <v>11.44</v>
      </c>
      <c r="J29">
        <v>0.81159999999999999</v>
      </c>
      <c r="K29" t="str">
        <f t="shared" si="6"/>
        <v>Refusé</v>
      </c>
      <c r="L29" t="str" cm="1">
        <f t="array" ref="L29">_xlfn.IFS(H29&gt;=16,"Excellent",
               H29&gt;=14,"Très bien",
               H29&gt;=12,"Bien",
               H29&gt;=10,"Passable",
               TRUE,"Insuffisant")</f>
        <v>Passable</v>
      </c>
      <c r="M29" t="str">
        <f t="shared" si="7"/>
        <v>A surveiller</v>
      </c>
      <c r="N29" t="str">
        <f t="shared" si="8"/>
        <v>Autre filière</v>
      </c>
    </row>
    <row r="30" spans="1:14" x14ac:dyDescent="0.45">
      <c r="A30" t="s">
        <v>80</v>
      </c>
      <c r="B30" t="s">
        <v>53</v>
      </c>
      <c r="E30" t="s">
        <v>42</v>
      </c>
      <c r="F30">
        <v>14.37</v>
      </c>
      <c r="H30">
        <v>17</v>
      </c>
      <c r="J30">
        <v>0.97089999999999999</v>
      </c>
      <c r="K30" t="str">
        <f t="shared" si="6"/>
        <v>Admis</v>
      </c>
      <c r="L30" t="str" cm="1">
        <f t="array" ref="L30">_xlfn.IFS(H30&gt;=16,"Excellent",
               H30&gt;=14,"Très bien",
               H30&gt;=12,"Bien",
               H30&gt;=10,"Passable",
               TRUE,"Insuffisant")</f>
        <v>Excellent</v>
      </c>
      <c r="M30" t="str">
        <f t="shared" si="7"/>
        <v>RAS</v>
      </c>
      <c r="N30" t="str">
        <f t="shared" si="8"/>
        <v>Autre filière</v>
      </c>
    </row>
    <row r="31" spans="1:14" x14ac:dyDescent="0.45">
      <c r="A31" t="s">
        <v>81</v>
      </c>
      <c r="B31" t="s">
        <v>82</v>
      </c>
      <c r="E31" t="s">
        <v>16</v>
      </c>
      <c r="F31">
        <v>15.56</v>
      </c>
      <c r="H31">
        <v>20</v>
      </c>
      <c r="J31">
        <v>0.55000000000000004</v>
      </c>
      <c r="K31" t="str">
        <f t="shared" si="6"/>
        <v>Admis sous condition</v>
      </c>
      <c r="L31" t="str" cm="1">
        <f t="array" ref="L31">_xlfn.IFS(H31&gt;=16,"Excellent",
               H31&gt;=14,"Très bien",
               H31&gt;=12,"Bien",
               H31&gt;=10,"Passable",
               TRUE,"Insuffisant")</f>
        <v>Excellent</v>
      </c>
      <c r="M31" t="str">
        <f t="shared" si="7"/>
        <v>A surveiller</v>
      </c>
      <c r="N31" t="str">
        <f t="shared" si="8"/>
        <v>Data</v>
      </c>
    </row>
    <row r="32" spans="1:14" x14ac:dyDescent="0.45">
      <c r="A32" t="s">
        <v>83</v>
      </c>
      <c r="B32" t="s">
        <v>84</v>
      </c>
      <c r="E32" t="s">
        <v>21</v>
      </c>
      <c r="F32">
        <v>12.24</v>
      </c>
      <c r="H32">
        <v>9.0399999999999991</v>
      </c>
      <c r="J32">
        <v>0.98560000000000003</v>
      </c>
      <c r="K32" t="str">
        <f t="shared" si="6"/>
        <v>Refusé</v>
      </c>
      <c r="L32" t="str" cm="1">
        <f t="array" ref="L32">_xlfn.IFS(H32&gt;=16,"Excellent",
               H32&gt;=14,"Très bien",
               H32&gt;=12,"Bien",
               H32&gt;=10,"Passable",
               TRUE,"Insuffisant")</f>
        <v>Insuffisant</v>
      </c>
      <c r="M32" t="str">
        <f t="shared" si="7"/>
        <v>A surveiller</v>
      </c>
      <c r="N32" t="str">
        <f t="shared" si="8"/>
        <v>Autre filière</v>
      </c>
    </row>
    <row r="33" spans="1:14" x14ac:dyDescent="0.45">
      <c r="A33" t="s">
        <v>85</v>
      </c>
      <c r="B33" t="s">
        <v>86</v>
      </c>
      <c r="E33" t="s">
        <v>16</v>
      </c>
      <c r="F33">
        <v>19.11</v>
      </c>
      <c r="H33">
        <v>15.6</v>
      </c>
      <c r="J33">
        <v>0.93830000000000002</v>
      </c>
      <c r="K33" t="str">
        <f t="shared" si="6"/>
        <v>Admis</v>
      </c>
      <c r="L33" t="str" cm="1">
        <f t="array" ref="L33">_xlfn.IFS(H33&gt;=16,"Excellent",
               H33&gt;=14,"Très bien",
               H33&gt;=12,"Bien",
               H33&gt;=10,"Passable",
               TRUE,"Insuffisant")</f>
        <v>Très bien</v>
      </c>
      <c r="M33" t="str">
        <f t="shared" si="7"/>
        <v>RAS</v>
      </c>
      <c r="N33" t="str">
        <f t="shared" si="8"/>
        <v>Data</v>
      </c>
    </row>
    <row r="34" spans="1:14" x14ac:dyDescent="0.45">
      <c r="A34" t="s">
        <v>87</v>
      </c>
      <c r="B34" t="s">
        <v>88</v>
      </c>
      <c r="E34" t="s">
        <v>29</v>
      </c>
      <c r="F34">
        <v>15.66</v>
      </c>
      <c r="H34">
        <v>12.03</v>
      </c>
      <c r="J34">
        <v>0.79310000000000003</v>
      </c>
      <c r="K34" t="str">
        <f t="shared" si="6"/>
        <v>Admis sous condition</v>
      </c>
      <c r="L34" t="str" cm="1">
        <f t="array" ref="L34">_xlfn.IFS(H34&gt;=16,"Excellent",
               H34&gt;=14,"Très bien",
               H34&gt;=12,"Bien",
               H34&gt;=10,"Passable",
               TRUE,"Insuffisant")</f>
        <v>Bien</v>
      </c>
      <c r="M34" t="str">
        <f t="shared" si="7"/>
        <v>RAS</v>
      </c>
      <c r="N34" t="str">
        <f t="shared" si="8"/>
        <v>Autre filière</v>
      </c>
    </row>
    <row r="35" spans="1:14" x14ac:dyDescent="0.45">
      <c r="A35" t="s">
        <v>89</v>
      </c>
      <c r="B35" t="s">
        <v>90</v>
      </c>
      <c r="E35" t="s">
        <v>21</v>
      </c>
      <c r="F35">
        <v>12.44</v>
      </c>
      <c r="H35">
        <v>14.47</v>
      </c>
      <c r="J35">
        <v>0.85240000000000005</v>
      </c>
      <c r="K35" t="str">
        <f t="shared" si="6"/>
        <v>Admis</v>
      </c>
      <c r="L35" t="str" cm="1">
        <f t="array" ref="L35">_xlfn.IFS(H35&gt;=16,"Excellent",
               H35&gt;=14,"Très bien",
               H35&gt;=12,"Bien",
               H35&gt;=10,"Passable",
               TRUE,"Insuffisant")</f>
        <v>Très bien</v>
      </c>
      <c r="M35" t="str">
        <f t="shared" si="7"/>
        <v>RAS</v>
      </c>
      <c r="N35" t="str">
        <f t="shared" si="8"/>
        <v>Autre filière</v>
      </c>
    </row>
    <row r="36" spans="1:14" x14ac:dyDescent="0.45">
      <c r="A36" t="s">
        <v>91</v>
      </c>
      <c r="B36" t="s">
        <v>92</v>
      </c>
      <c r="E36" t="s">
        <v>21</v>
      </c>
      <c r="F36">
        <v>11.52</v>
      </c>
      <c r="H36">
        <v>11.2</v>
      </c>
      <c r="J36">
        <v>0.75270000000000004</v>
      </c>
      <c r="K36" t="str">
        <f t="shared" si="6"/>
        <v>Admis sous condition</v>
      </c>
      <c r="L36" t="str" cm="1">
        <f t="array" ref="L36">_xlfn.IFS(H36&gt;=16,"Excellent",
               H36&gt;=14,"Très bien",
               H36&gt;=12,"Bien",
               H36&gt;=10,"Passable",
               TRUE,"Insuffisant")</f>
        <v>Passable</v>
      </c>
      <c r="M36" t="str">
        <f t="shared" si="7"/>
        <v>RAS</v>
      </c>
      <c r="N36" t="str">
        <f t="shared" si="8"/>
        <v>Autre filière</v>
      </c>
    </row>
    <row r="37" spans="1:14" x14ac:dyDescent="0.45">
      <c r="A37" t="s">
        <v>93</v>
      </c>
      <c r="B37" t="s">
        <v>94</v>
      </c>
      <c r="E37" t="s">
        <v>29</v>
      </c>
      <c r="F37">
        <v>7.93</v>
      </c>
      <c r="H37">
        <v>12.82</v>
      </c>
      <c r="J37">
        <v>0.7046</v>
      </c>
      <c r="K37" t="str">
        <f t="shared" si="6"/>
        <v>Refusé</v>
      </c>
      <c r="L37" t="str" cm="1">
        <f t="array" ref="L37">_xlfn.IFS(H37&gt;=16,"Excellent",
               H37&gt;=14,"Très bien",
               H37&gt;=12,"Bien",
               H37&gt;=10,"Passable",
               TRUE,"Insuffisant")</f>
        <v>Bien</v>
      </c>
      <c r="M37" t="str">
        <f t="shared" si="7"/>
        <v>A surveiller</v>
      </c>
      <c r="N37" t="str">
        <f t="shared" si="8"/>
        <v>Autre filière</v>
      </c>
    </row>
    <row r="38" spans="1:14" x14ac:dyDescent="0.45">
      <c r="A38" t="s">
        <v>95</v>
      </c>
      <c r="B38" t="s">
        <v>96</v>
      </c>
      <c r="E38" t="s">
        <v>29</v>
      </c>
      <c r="F38">
        <v>13.6</v>
      </c>
      <c r="H38">
        <v>13.47</v>
      </c>
      <c r="J38">
        <v>0.92279999999999995</v>
      </c>
      <c r="K38" t="str">
        <f t="shared" si="6"/>
        <v>Admis</v>
      </c>
      <c r="L38" t="str" cm="1">
        <f t="array" ref="L38">_xlfn.IFS(H38&gt;=16,"Excellent",
               H38&gt;=14,"Très bien",
               H38&gt;=12,"Bien",
               H38&gt;=10,"Passable",
               TRUE,"Insuffisant")</f>
        <v>Bien</v>
      </c>
      <c r="M38" t="str">
        <f t="shared" si="7"/>
        <v>RAS</v>
      </c>
      <c r="N38" t="str">
        <f t="shared" si="8"/>
        <v>Autre filière</v>
      </c>
    </row>
    <row r="39" spans="1:14" x14ac:dyDescent="0.45">
      <c r="A39" t="s">
        <v>97</v>
      </c>
      <c r="B39" t="s">
        <v>98</v>
      </c>
      <c r="E39" t="s">
        <v>16</v>
      </c>
      <c r="F39">
        <v>15.67</v>
      </c>
      <c r="H39">
        <v>15.43</v>
      </c>
      <c r="J39">
        <v>0.82920000000000005</v>
      </c>
      <c r="K39" t="str">
        <f t="shared" si="6"/>
        <v>Admis</v>
      </c>
      <c r="L39" t="str" cm="1">
        <f t="array" ref="L39">_xlfn.IFS(H39&gt;=16,"Excellent",
               H39&gt;=14,"Très bien",
               H39&gt;=12,"Bien",
               H39&gt;=10,"Passable",
               TRUE,"Insuffisant")</f>
        <v>Très bien</v>
      </c>
      <c r="M39" t="str">
        <f t="shared" si="7"/>
        <v>RAS</v>
      </c>
      <c r="N39" t="str">
        <f t="shared" si="8"/>
        <v>Data</v>
      </c>
    </row>
    <row r="40" spans="1:14" x14ac:dyDescent="0.45">
      <c r="A40" t="s">
        <v>99</v>
      </c>
      <c r="B40" t="s">
        <v>100</v>
      </c>
      <c r="E40" t="s">
        <v>21</v>
      </c>
      <c r="F40">
        <v>13.07</v>
      </c>
      <c r="H40">
        <v>11.47</v>
      </c>
      <c r="J40">
        <v>0.92720000000000002</v>
      </c>
      <c r="K40" t="str">
        <f t="shared" si="6"/>
        <v>Admis sous condition</v>
      </c>
      <c r="L40" t="str" cm="1">
        <f t="array" ref="L40">_xlfn.IFS(H40&gt;=16,"Excellent",
               H40&gt;=14,"Très bien",
               H40&gt;=12,"Bien",
               H40&gt;=10,"Passable",
               TRUE,"Insuffisant")</f>
        <v>Passable</v>
      </c>
      <c r="M40" t="str">
        <f t="shared" si="7"/>
        <v>RAS</v>
      </c>
      <c r="N40" t="str">
        <f t="shared" si="8"/>
        <v>Autre filière</v>
      </c>
    </row>
    <row r="41" spans="1:14" x14ac:dyDescent="0.45">
      <c r="A41" t="s">
        <v>101</v>
      </c>
      <c r="B41" t="s">
        <v>71</v>
      </c>
      <c r="E41" t="s">
        <v>16</v>
      </c>
      <c r="F41">
        <v>13.55</v>
      </c>
      <c r="H41">
        <v>18.309999999999999</v>
      </c>
      <c r="J41">
        <v>0.95599999999999996</v>
      </c>
      <c r="K41" t="str">
        <f t="shared" si="6"/>
        <v>Admis</v>
      </c>
      <c r="L41" t="str" cm="1">
        <f t="array" ref="L41">_xlfn.IFS(H41&gt;=16,"Excellent",
               H41&gt;=14,"Très bien",
               H41&gt;=12,"Bien",
               H41&gt;=10,"Passable",
               TRUE,"Insuffisant")</f>
        <v>Excellent</v>
      </c>
      <c r="M41" t="str">
        <f t="shared" si="7"/>
        <v>RAS</v>
      </c>
      <c r="N41" t="str">
        <f t="shared" si="8"/>
        <v>Data</v>
      </c>
    </row>
    <row r="42" spans="1:14" x14ac:dyDescent="0.45">
      <c r="A42" t="s">
        <v>102</v>
      </c>
      <c r="B42" t="s">
        <v>103</v>
      </c>
      <c r="E42" t="s">
        <v>16</v>
      </c>
      <c r="F42">
        <v>15.33</v>
      </c>
      <c r="H42">
        <v>11.75</v>
      </c>
      <c r="J42">
        <v>0.77600000000000002</v>
      </c>
      <c r="K42" t="str">
        <f t="shared" si="6"/>
        <v>Admis sous condition</v>
      </c>
      <c r="L42" t="str" cm="1">
        <f t="array" ref="L42">_xlfn.IFS(H42&gt;=16,"Excellent",
               H42&gt;=14,"Très bien",
               H42&gt;=12,"Bien",
               H42&gt;=10,"Passable",
               TRUE,"Insuffisant")</f>
        <v>Passable</v>
      </c>
      <c r="M42" t="str">
        <f t="shared" si="7"/>
        <v>RAS</v>
      </c>
      <c r="N42" t="str">
        <f t="shared" si="8"/>
        <v>Data</v>
      </c>
    </row>
    <row r="43" spans="1:14" x14ac:dyDescent="0.45">
      <c r="A43" t="s">
        <v>104</v>
      </c>
      <c r="B43" t="s">
        <v>105</v>
      </c>
      <c r="E43" t="s">
        <v>29</v>
      </c>
      <c r="F43">
        <v>18.57</v>
      </c>
      <c r="H43">
        <v>12.73</v>
      </c>
      <c r="J43">
        <v>0.90200000000000002</v>
      </c>
      <c r="K43" t="str">
        <f t="shared" si="6"/>
        <v>Admis</v>
      </c>
      <c r="L43" t="str" cm="1">
        <f t="array" ref="L43">_xlfn.IFS(H43&gt;=16,"Excellent",
               H43&gt;=14,"Très bien",
               H43&gt;=12,"Bien",
               H43&gt;=10,"Passable",
               TRUE,"Insuffisant")</f>
        <v>Bien</v>
      </c>
      <c r="M43" t="str">
        <f t="shared" si="7"/>
        <v>RAS</v>
      </c>
      <c r="N43" t="str">
        <f t="shared" si="8"/>
        <v>Autre filière</v>
      </c>
    </row>
    <row r="44" spans="1:14" x14ac:dyDescent="0.45">
      <c r="A44" t="s">
        <v>106</v>
      </c>
      <c r="B44" t="s">
        <v>107</v>
      </c>
      <c r="E44" t="s">
        <v>16</v>
      </c>
      <c r="F44">
        <v>15.7</v>
      </c>
      <c r="H44">
        <v>18.27</v>
      </c>
      <c r="J44">
        <v>0.94040000000000001</v>
      </c>
      <c r="K44" t="str">
        <f t="shared" si="6"/>
        <v>Admis</v>
      </c>
      <c r="L44" t="str" cm="1">
        <f t="array" ref="L44">_xlfn.IFS(H44&gt;=16,"Excellent",
               H44&gt;=14,"Très bien",
               H44&gt;=12,"Bien",
               H44&gt;=10,"Passable",
               TRUE,"Insuffisant")</f>
        <v>Excellent</v>
      </c>
      <c r="M44" t="str">
        <f t="shared" si="7"/>
        <v>RAS</v>
      </c>
      <c r="N44" t="str">
        <f t="shared" si="8"/>
        <v>Data</v>
      </c>
    </row>
    <row r="45" spans="1:14" x14ac:dyDescent="0.45">
      <c r="A45" t="s">
        <v>108</v>
      </c>
      <c r="B45" t="s">
        <v>109</v>
      </c>
      <c r="E45" t="s">
        <v>16</v>
      </c>
      <c r="F45">
        <v>9.0399999999999991</v>
      </c>
      <c r="H45">
        <v>10.09</v>
      </c>
      <c r="J45">
        <v>0.86899999999999999</v>
      </c>
      <c r="K45" t="str">
        <f t="shared" si="6"/>
        <v>Refusé</v>
      </c>
      <c r="L45" t="str" cm="1">
        <f t="array" ref="L45">_xlfn.IFS(H45&gt;=16,"Excellent",
               H45&gt;=14,"Très bien",
               H45&gt;=12,"Bien",
               H45&gt;=10,"Passable",
               TRUE,"Insuffisant")</f>
        <v>Passable</v>
      </c>
      <c r="M45" t="str">
        <f t="shared" si="7"/>
        <v>A surveiller</v>
      </c>
      <c r="N45" t="str">
        <f t="shared" si="8"/>
        <v>Data</v>
      </c>
    </row>
    <row r="46" spans="1:14" x14ac:dyDescent="0.45">
      <c r="A46" t="s">
        <v>110</v>
      </c>
      <c r="B46" t="s">
        <v>111</v>
      </c>
      <c r="E46" t="s">
        <v>42</v>
      </c>
      <c r="F46">
        <v>17.010000000000002</v>
      </c>
      <c r="H46">
        <v>20</v>
      </c>
      <c r="J46">
        <v>0.91449999999999998</v>
      </c>
      <c r="K46" t="str">
        <f t="shared" si="6"/>
        <v>Admis</v>
      </c>
      <c r="L46" t="str" cm="1">
        <f t="array" ref="L46">_xlfn.IFS(H46&gt;=16,"Excellent",
               H46&gt;=14,"Très bien",
               H46&gt;=12,"Bien",
               H46&gt;=10,"Passable",
               TRUE,"Insuffisant")</f>
        <v>Excellent</v>
      </c>
      <c r="M46" t="str">
        <f t="shared" si="7"/>
        <v>RAS</v>
      </c>
      <c r="N46" t="str">
        <f t="shared" si="8"/>
        <v>Autre filière</v>
      </c>
    </row>
    <row r="47" spans="1:14" x14ac:dyDescent="0.45">
      <c r="A47" t="s">
        <v>112</v>
      </c>
      <c r="B47" t="s">
        <v>113</v>
      </c>
      <c r="E47" t="s">
        <v>42</v>
      </c>
      <c r="F47">
        <v>10.33</v>
      </c>
      <c r="H47">
        <v>14.98</v>
      </c>
      <c r="J47">
        <v>0.98260000000000003</v>
      </c>
      <c r="K47" t="str">
        <f t="shared" si="6"/>
        <v>Admis sous condition</v>
      </c>
      <c r="L47" t="str" cm="1">
        <f t="array" ref="L47">_xlfn.IFS(H47&gt;=16,"Excellent",
               H47&gt;=14,"Très bien",
               H47&gt;=12,"Bien",
               H47&gt;=10,"Passable",
               TRUE,"Insuffisant")</f>
        <v>Très bien</v>
      </c>
      <c r="M47" t="str">
        <f t="shared" si="7"/>
        <v>RAS</v>
      </c>
      <c r="N47" t="str">
        <f t="shared" si="8"/>
        <v>Autre filière</v>
      </c>
    </row>
    <row r="48" spans="1:14" x14ac:dyDescent="0.45">
      <c r="A48" t="s">
        <v>114</v>
      </c>
      <c r="B48" t="s">
        <v>115</v>
      </c>
      <c r="E48" t="s">
        <v>29</v>
      </c>
      <c r="F48">
        <v>6.68</v>
      </c>
      <c r="H48">
        <v>7.31</v>
      </c>
      <c r="J48">
        <v>0.94130000000000003</v>
      </c>
      <c r="K48" t="str">
        <f t="shared" si="6"/>
        <v>Refusé</v>
      </c>
      <c r="L48" t="str" cm="1">
        <f t="array" ref="L48">_xlfn.IFS(H48&gt;=16,"Excellent",
               H48&gt;=14,"Très bien",
               H48&gt;=12,"Bien",
               H48&gt;=10,"Passable",
               TRUE,"Insuffisant")</f>
        <v>Insuffisant</v>
      </c>
      <c r="M48" t="str">
        <f t="shared" si="7"/>
        <v>A surveiller</v>
      </c>
      <c r="N48" t="str">
        <f t="shared" si="8"/>
        <v>Autre filière</v>
      </c>
    </row>
    <row r="49" spans="1:14" x14ac:dyDescent="0.45">
      <c r="A49" t="s">
        <v>116</v>
      </c>
      <c r="B49" t="s">
        <v>117</v>
      </c>
      <c r="E49" t="s">
        <v>21</v>
      </c>
      <c r="F49">
        <v>8.2799999999999994</v>
      </c>
      <c r="H49">
        <v>10.59</v>
      </c>
      <c r="J49">
        <v>0.93630000000000002</v>
      </c>
      <c r="K49" t="str">
        <f t="shared" si="6"/>
        <v>Refusé</v>
      </c>
      <c r="L49" t="str" cm="1">
        <f t="array" ref="L49">_xlfn.IFS(H49&gt;=16,"Excellent",
               H49&gt;=14,"Très bien",
               H49&gt;=12,"Bien",
               H49&gt;=10,"Passable",
               TRUE,"Insuffisant")</f>
        <v>Passable</v>
      </c>
      <c r="M49" t="str">
        <f t="shared" si="7"/>
        <v>A surveiller</v>
      </c>
      <c r="N49" t="str">
        <f t="shared" si="8"/>
        <v>Autre filière</v>
      </c>
    </row>
    <row r="50" spans="1:14" x14ac:dyDescent="0.45">
      <c r="A50" t="s">
        <v>118</v>
      </c>
      <c r="B50" t="s">
        <v>119</v>
      </c>
      <c r="E50" t="s">
        <v>42</v>
      </c>
      <c r="F50">
        <v>9.2799999999999994</v>
      </c>
      <c r="H50">
        <v>11.11</v>
      </c>
      <c r="J50">
        <v>0.92930000000000001</v>
      </c>
      <c r="K50" t="str">
        <f t="shared" si="6"/>
        <v>Refusé</v>
      </c>
      <c r="L50" t="str" cm="1">
        <f t="array" ref="L50">_xlfn.IFS(H50&gt;=16,"Excellent",
               H50&gt;=14,"Très bien",
               H50&gt;=12,"Bien",
               H50&gt;=10,"Passable",
               TRUE,"Insuffisant")</f>
        <v>Passable</v>
      </c>
      <c r="M50" t="str">
        <f t="shared" si="7"/>
        <v>A surveiller</v>
      </c>
      <c r="N50" t="str">
        <f t="shared" si="8"/>
        <v>Autre filière</v>
      </c>
    </row>
    <row r="51" spans="1:14" x14ac:dyDescent="0.45">
      <c r="A51" t="s">
        <v>120</v>
      </c>
      <c r="B51" t="s">
        <v>121</v>
      </c>
      <c r="E51" t="s">
        <v>16</v>
      </c>
      <c r="F51">
        <v>11.37</v>
      </c>
      <c r="H51">
        <v>17.2</v>
      </c>
      <c r="J51">
        <v>0.77490000000000003</v>
      </c>
      <c r="K51" t="str">
        <f t="shared" si="6"/>
        <v>Admis sous condition</v>
      </c>
      <c r="L51" t="str" cm="1">
        <f t="array" ref="L51">_xlfn.IFS(H51&gt;=16,"Excellent",
               H51&gt;=14,"Très bien",
               H51&gt;=12,"Bien",
               H51&gt;=10,"Passable",
               TRUE,"Insuffisant")</f>
        <v>Excellent</v>
      </c>
      <c r="M51" t="str">
        <f t="shared" si="7"/>
        <v>RAS</v>
      </c>
      <c r="N51" t="str">
        <f t="shared" si="8"/>
        <v>Data</v>
      </c>
    </row>
    <row r="52" spans="1:14" x14ac:dyDescent="0.45">
      <c r="A52" t="s">
        <v>122</v>
      </c>
      <c r="B52" t="s">
        <v>123</v>
      </c>
      <c r="E52" t="s">
        <v>42</v>
      </c>
      <c r="F52">
        <v>9.2899999999999991</v>
      </c>
      <c r="H52">
        <v>13.9</v>
      </c>
      <c r="J52">
        <v>0.95179999999999998</v>
      </c>
      <c r="K52" t="str">
        <f t="shared" si="6"/>
        <v>Refusé</v>
      </c>
      <c r="L52" t="str" cm="1">
        <f t="array" ref="L52">_xlfn.IFS(H52&gt;=16,"Excellent",
               H52&gt;=14,"Très bien",
               H52&gt;=12,"Bien",
               H52&gt;=10,"Passable",
               TRUE,"Insuffisant")</f>
        <v>Bien</v>
      </c>
      <c r="M52" t="str">
        <f t="shared" si="7"/>
        <v>A surveiller</v>
      </c>
      <c r="N52" t="str">
        <f t="shared" si="8"/>
        <v>Autre filière</v>
      </c>
    </row>
    <row r="53" spans="1:14" x14ac:dyDescent="0.45">
      <c r="A53" t="s">
        <v>124</v>
      </c>
      <c r="B53" t="s">
        <v>125</v>
      </c>
      <c r="E53" t="s">
        <v>42</v>
      </c>
      <c r="F53">
        <v>13.04</v>
      </c>
      <c r="H53">
        <v>13.14</v>
      </c>
      <c r="J53">
        <v>0.9385</v>
      </c>
      <c r="K53" t="str">
        <f t="shared" si="6"/>
        <v>Admis</v>
      </c>
      <c r="L53" t="str" cm="1">
        <f t="array" ref="L53">_xlfn.IFS(H53&gt;=16,"Excellent",
               H53&gt;=14,"Très bien",
               H53&gt;=12,"Bien",
               H53&gt;=10,"Passable",
               TRUE,"Insuffisant")</f>
        <v>Bien</v>
      </c>
      <c r="M53" t="str">
        <f t="shared" si="7"/>
        <v>RAS</v>
      </c>
      <c r="N53" t="str">
        <f t="shared" si="8"/>
        <v>Autre filière</v>
      </c>
    </row>
    <row r="54" spans="1:14" x14ac:dyDescent="0.45">
      <c r="A54" t="s">
        <v>126</v>
      </c>
      <c r="B54" t="s">
        <v>127</v>
      </c>
      <c r="E54" t="s">
        <v>21</v>
      </c>
      <c r="F54">
        <v>15.75</v>
      </c>
      <c r="H54">
        <v>15</v>
      </c>
      <c r="J54">
        <v>0.92410000000000003</v>
      </c>
      <c r="K54" t="str">
        <f t="shared" si="6"/>
        <v>Admis</v>
      </c>
      <c r="L54" t="str" cm="1">
        <f t="array" ref="L54">_xlfn.IFS(H54&gt;=16,"Excellent",
               H54&gt;=14,"Très bien",
               H54&gt;=12,"Bien",
               H54&gt;=10,"Passable",
               TRUE,"Insuffisant")</f>
        <v>Très bien</v>
      </c>
      <c r="M54" t="str">
        <f t="shared" si="7"/>
        <v>RAS</v>
      </c>
      <c r="N54" t="str">
        <f t="shared" si="8"/>
        <v>Autre filière</v>
      </c>
    </row>
    <row r="55" spans="1:14" x14ac:dyDescent="0.45">
      <c r="A55" t="s">
        <v>128</v>
      </c>
      <c r="B55" t="s">
        <v>129</v>
      </c>
      <c r="E55" t="s">
        <v>16</v>
      </c>
      <c r="F55">
        <v>18.190000000000001</v>
      </c>
      <c r="H55">
        <v>14.54</v>
      </c>
      <c r="J55">
        <v>0.79700000000000004</v>
      </c>
      <c r="K55" t="str">
        <f t="shared" si="6"/>
        <v>Admis sous condition</v>
      </c>
      <c r="L55" t="str" cm="1">
        <f t="array" ref="L55">_xlfn.IFS(H55&gt;=16,"Excellent",
               H55&gt;=14,"Très bien",
               H55&gt;=12,"Bien",
               H55&gt;=10,"Passable",
               TRUE,"Insuffisant")</f>
        <v>Très bien</v>
      </c>
      <c r="M55" t="str">
        <f t="shared" si="7"/>
        <v>RAS</v>
      </c>
      <c r="N55" t="str">
        <f t="shared" si="8"/>
        <v>Data</v>
      </c>
    </row>
    <row r="56" spans="1:14" x14ac:dyDescent="0.45">
      <c r="A56" t="s">
        <v>130</v>
      </c>
      <c r="B56" t="s">
        <v>131</v>
      </c>
      <c r="E56" t="s">
        <v>16</v>
      </c>
      <c r="F56">
        <v>12.91</v>
      </c>
      <c r="H56">
        <v>17.46</v>
      </c>
      <c r="J56">
        <v>0.80020000000000002</v>
      </c>
      <c r="K56" t="str">
        <f t="shared" si="6"/>
        <v>Admis</v>
      </c>
      <c r="L56" t="str" cm="1">
        <f t="array" ref="L56">_xlfn.IFS(H56&gt;=16,"Excellent",
               H56&gt;=14,"Très bien",
               H56&gt;=12,"Bien",
               H56&gt;=10,"Passable",
               TRUE,"Insuffisant")</f>
        <v>Excellent</v>
      </c>
      <c r="M56" t="str">
        <f t="shared" si="7"/>
        <v>RAS</v>
      </c>
      <c r="N56" t="str">
        <f t="shared" si="8"/>
        <v>Data</v>
      </c>
    </row>
    <row r="57" spans="1:14" x14ac:dyDescent="0.45">
      <c r="A57" t="s">
        <v>132</v>
      </c>
      <c r="B57" t="s">
        <v>133</v>
      </c>
      <c r="E57" t="s">
        <v>29</v>
      </c>
      <c r="F57">
        <v>15.3</v>
      </c>
      <c r="H57">
        <v>14.86</v>
      </c>
      <c r="J57">
        <v>0.89</v>
      </c>
      <c r="K57" t="str">
        <f t="shared" si="6"/>
        <v>Admis</v>
      </c>
      <c r="L57" t="str" cm="1">
        <f t="array" ref="L57">_xlfn.IFS(H57&gt;=16,"Excellent",
               H57&gt;=14,"Très bien",
               H57&gt;=12,"Bien",
               H57&gt;=10,"Passable",
               TRUE,"Insuffisant")</f>
        <v>Très bien</v>
      </c>
      <c r="M57" t="str">
        <f t="shared" si="7"/>
        <v>RAS</v>
      </c>
      <c r="N57" t="str">
        <f t="shared" si="8"/>
        <v>Autre filière</v>
      </c>
    </row>
    <row r="58" spans="1:14" x14ac:dyDescent="0.45">
      <c r="A58" t="s">
        <v>134</v>
      </c>
      <c r="B58" t="s">
        <v>135</v>
      </c>
      <c r="E58" t="s">
        <v>29</v>
      </c>
      <c r="F58">
        <v>15.91</v>
      </c>
      <c r="H58">
        <v>14.56</v>
      </c>
      <c r="J58">
        <v>0.74680000000000002</v>
      </c>
      <c r="K58" t="str">
        <f t="shared" si="6"/>
        <v>Admis sous condition</v>
      </c>
      <c r="L58" t="str" cm="1">
        <f t="array" ref="L58">_xlfn.IFS(H58&gt;=16,"Excellent",
               H58&gt;=14,"Très bien",
               H58&gt;=12,"Bien",
               H58&gt;=10,"Passable",
               TRUE,"Insuffisant")</f>
        <v>Très bien</v>
      </c>
      <c r="M58" t="str">
        <f t="shared" si="7"/>
        <v>RAS</v>
      </c>
      <c r="N58" t="str">
        <f t="shared" si="8"/>
        <v>Autre filière</v>
      </c>
    </row>
    <row r="59" spans="1:14" x14ac:dyDescent="0.45">
      <c r="A59" t="s">
        <v>136</v>
      </c>
      <c r="B59" t="s">
        <v>103</v>
      </c>
      <c r="E59" t="s">
        <v>21</v>
      </c>
      <c r="F59">
        <v>7.04</v>
      </c>
      <c r="H59">
        <v>6.56</v>
      </c>
      <c r="J59">
        <v>0.6895</v>
      </c>
      <c r="K59" t="str">
        <f t="shared" si="6"/>
        <v>Refusé</v>
      </c>
      <c r="L59" t="str" cm="1">
        <f t="array" ref="L59">_xlfn.IFS(H59&gt;=16,"Excellent",
               H59&gt;=14,"Très bien",
               H59&gt;=12,"Bien",
               H59&gt;=10,"Passable",
               TRUE,"Insuffisant")</f>
        <v>Insuffisant</v>
      </c>
      <c r="M59" t="str">
        <f t="shared" si="7"/>
        <v>A surveiller</v>
      </c>
      <c r="N59" t="str">
        <f t="shared" si="8"/>
        <v>Autre filière</v>
      </c>
    </row>
    <row r="60" spans="1:14" x14ac:dyDescent="0.45">
      <c r="A60" t="s">
        <v>137</v>
      </c>
      <c r="B60" t="s">
        <v>138</v>
      </c>
      <c r="E60" t="s">
        <v>42</v>
      </c>
      <c r="F60">
        <v>14.12</v>
      </c>
      <c r="H60">
        <v>11.46</v>
      </c>
      <c r="J60">
        <v>0.9617</v>
      </c>
      <c r="K60" t="str">
        <f t="shared" si="6"/>
        <v>Admis sous condition</v>
      </c>
      <c r="L60" t="str" cm="1">
        <f t="array" ref="L60">_xlfn.IFS(H60&gt;=16,"Excellent",
               H60&gt;=14,"Très bien",
               H60&gt;=12,"Bien",
               H60&gt;=10,"Passable",
               TRUE,"Insuffisant")</f>
        <v>Passable</v>
      </c>
      <c r="M60" t="str">
        <f t="shared" si="7"/>
        <v>RAS</v>
      </c>
      <c r="N60" t="str">
        <f t="shared" si="8"/>
        <v>Autre filière</v>
      </c>
    </row>
    <row r="61" spans="1:14" x14ac:dyDescent="0.45">
      <c r="A61" t="s">
        <v>139</v>
      </c>
      <c r="B61" t="s">
        <v>140</v>
      </c>
      <c r="E61" t="s">
        <v>42</v>
      </c>
      <c r="F61">
        <v>9.1</v>
      </c>
      <c r="H61">
        <v>4.51</v>
      </c>
      <c r="J61">
        <v>0.91279999999999994</v>
      </c>
      <c r="K61" t="str">
        <f t="shared" si="6"/>
        <v>Refusé</v>
      </c>
      <c r="L61" t="str" cm="1">
        <f t="array" ref="L61">_xlfn.IFS(H61&gt;=16,"Excellent",
               H61&gt;=14,"Très bien",
               H61&gt;=12,"Bien",
               H61&gt;=10,"Passable",
               TRUE,"Insuffisant")</f>
        <v>Insuffisant</v>
      </c>
      <c r="M61" t="str">
        <f t="shared" si="7"/>
        <v>A surveiller</v>
      </c>
      <c r="N61" t="str">
        <f t="shared" si="8"/>
        <v>Autre filière</v>
      </c>
    </row>
    <row r="62" spans="1:14" x14ac:dyDescent="0.45">
      <c r="A62" t="s">
        <v>141</v>
      </c>
      <c r="B62" t="s">
        <v>142</v>
      </c>
      <c r="E62" t="s">
        <v>42</v>
      </c>
      <c r="F62">
        <v>14.32</v>
      </c>
      <c r="H62">
        <v>12.15</v>
      </c>
      <c r="J62">
        <v>0.55000000000000004</v>
      </c>
      <c r="K62" t="str">
        <f t="shared" si="6"/>
        <v>Admis sous condition</v>
      </c>
      <c r="L62" t="str" cm="1">
        <f t="array" ref="L62">_xlfn.IFS(H62&gt;=16,"Excellent",
               H62&gt;=14,"Très bien",
               H62&gt;=12,"Bien",
               H62&gt;=10,"Passable",
               TRUE,"Insuffisant")</f>
        <v>Bien</v>
      </c>
      <c r="M62" t="str">
        <f t="shared" si="7"/>
        <v>A surveiller</v>
      </c>
      <c r="N62" t="str">
        <f t="shared" si="8"/>
        <v>Autre filière</v>
      </c>
    </row>
    <row r="63" spans="1:14" x14ac:dyDescent="0.45">
      <c r="A63" t="s">
        <v>143</v>
      </c>
      <c r="B63" t="s">
        <v>144</v>
      </c>
      <c r="E63" t="s">
        <v>21</v>
      </c>
      <c r="F63">
        <v>12.92</v>
      </c>
      <c r="H63">
        <v>16.98</v>
      </c>
      <c r="J63">
        <v>0.95489999999999997</v>
      </c>
      <c r="K63" t="str">
        <f t="shared" si="6"/>
        <v>Admis</v>
      </c>
      <c r="L63" t="str" cm="1">
        <f t="array" ref="L63">_xlfn.IFS(H63&gt;=16,"Excellent",
               H63&gt;=14,"Très bien",
               H63&gt;=12,"Bien",
               H63&gt;=10,"Passable",
               TRUE,"Insuffisant")</f>
        <v>Excellent</v>
      </c>
      <c r="M63" t="str">
        <f t="shared" si="7"/>
        <v>RAS</v>
      </c>
      <c r="N63" t="str">
        <f t="shared" si="8"/>
        <v>Autre filière</v>
      </c>
    </row>
    <row r="64" spans="1:14" x14ac:dyDescent="0.45">
      <c r="A64" t="s">
        <v>145</v>
      </c>
      <c r="B64" t="s">
        <v>146</v>
      </c>
      <c r="E64" t="s">
        <v>29</v>
      </c>
      <c r="F64">
        <v>15.64</v>
      </c>
      <c r="H64">
        <v>16.170000000000002</v>
      </c>
      <c r="J64">
        <v>0.84250000000000003</v>
      </c>
      <c r="K64" t="str">
        <f t="shared" si="6"/>
        <v>Admis</v>
      </c>
      <c r="L64" t="str" cm="1">
        <f t="array" ref="L64">_xlfn.IFS(H64&gt;=16,"Excellent",
               H64&gt;=14,"Très bien",
               H64&gt;=12,"Bien",
               H64&gt;=10,"Passable",
               TRUE,"Insuffisant")</f>
        <v>Excellent</v>
      </c>
      <c r="M64" t="str">
        <f t="shared" si="7"/>
        <v>RAS</v>
      </c>
      <c r="N64" t="str">
        <f t="shared" si="8"/>
        <v>Autre filière</v>
      </c>
    </row>
    <row r="65" spans="1:14" x14ac:dyDescent="0.45">
      <c r="A65" t="s">
        <v>147</v>
      </c>
      <c r="B65" t="s">
        <v>46</v>
      </c>
      <c r="E65" t="s">
        <v>16</v>
      </c>
      <c r="F65">
        <v>13.82</v>
      </c>
      <c r="H65">
        <v>18.579999999999998</v>
      </c>
      <c r="J65">
        <v>0.9204</v>
      </c>
      <c r="K65" t="str">
        <f t="shared" si="6"/>
        <v>Admis</v>
      </c>
      <c r="L65" t="str" cm="1">
        <f t="array" ref="L65">_xlfn.IFS(H65&gt;=16,"Excellent",
               H65&gt;=14,"Très bien",
               H65&gt;=12,"Bien",
               H65&gt;=10,"Passable",
               TRUE,"Insuffisant")</f>
        <v>Excellent</v>
      </c>
      <c r="M65" t="str">
        <f t="shared" si="7"/>
        <v>RAS</v>
      </c>
      <c r="N65" t="str">
        <f t="shared" si="8"/>
        <v>Data</v>
      </c>
    </row>
    <row r="66" spans="1:14" x14ac:dyDescent="0.45">
      <c r="A66" t="s">
        <v>148</v>
      </c>
      <c r="B66" t="s">
        <v>149</v>
      </c>
      <c r="E66" t="s">
        <v>16</v>
      </c>
      <c r="F66">
        <v>12.29</v>
      </c>
      <c r="H66">
        <v>8.81</v>
      </c>
      <c r="J66">
        <v>0.80159999999999998</v>
      </c>
      <c r="K66" t="str">
        <f t="shared" si="6"/>
        <v>Refusé</v>
      </c>
      <c r="L66" t="str" cm="1">
        <f t="array" ref="L66">_xlfn.IFS(H66&gt;=16,"Excellent",
               H66&gt;=14,"Très bien",
               H66&gt;=12,"Bien",
               H66&gt;=10,"Passable",
               TRUE,"Insuffisant")</f>
        <v>Insuffisant</v>
      </c>
      <c r="M66" t="str">
        <f t="shared" si="7"/>
        <v>A surveiller</v>
      </c>
      <c r="N66" t="str">
        <f t="shared" si="8"/>
        <v>Data</v>
      </c>
    </row>
    <row r="67" spans="1:14" x14ac:dyDescent="0.45">
      <c r="A67" t="s">
        <v>150</v>
      </c>
      <c r="B67" t="s">
        <v>151</v>
      </c>
      <c r="E67" t="s">
        <v>29</v>
      </c>
      <c r="F67">
        <v>10.73</v>
      </c>
      <c r="H67">
        <v>13.55</v>
      </c>
      <c r="J67">
        <v>0.87060000000000004</v>
      </c>
      <c r="K67" t="str">
        <f t="shared" si="6"/>
        <v>Admis sous condition</v>
      </c>
      <c r="L67" t="str" cm="1">
        <f t="array" ref="L67">_xlfn.IFS(H67&gt;=16,"Excellent",
               H67&gt;=14,"Très bien",
               H67&gt;=12,"Bien",
               H67&gt;=10,"Passable",
               TRUE,"Insuffisant")</f>
        <v>Bien</v>
      </c>
      <c r="M67" t="str">
        <f t="shared" si="7"/>
        <v>RAS</v>
      </c>
      <c r="N67" t="str">
        <f t="shared" si="8"/>
        <v>Autre filière</v>
      </c>
    </row>
    <row r="68" spans="1:14" x14ac:dyDescent="0.45">
      <c r="A68" t="s">
        <v>152</v>
      </c>
      <c r="B68" t="s">
        <v>153</v>
      </c>
      <c r="E68" t="s">
        <v>42</v>
      </c>
      <c r="F68">
        <v>12.39</v>
      </c>
      <c r="H68">
        <v>14.7</v>
      </c>
      <c r="J68">
        <v>0.84919999999999995</v>
      </c>
      <c r="K68" t="str">
        <f t="shared" si="6"/>
        <v>Admis</v>
      </c>
      <c r="L68" t="str" cm="1">
        <f t="array" ref="L68">_xlfn.IFS(H68&gt;=16,"Excellent",
               H68&gt;=14,"Très bien",
               H68&gt;=12,"Bien",
               H68&gt;=10,"Passable",
               TRUE,"Insuffisant")</f>
        <v>Très bien</v>
      </c>
      <c r="M68" t="str">
        <f t="shared" si="7"/>
        <v>RAS</v>
      </c>
      <c r="N68" t="str">
        <f t="shared" si="8"/>
        <v>Autre filière</v>
      </c>
    </row>
    <row r="69" spans="1:14" x14ac:dyDescent="0.45">
      <c r="A69" t="s">
        <v>154</v>
      </c>
      <c r="B69" t="s">
        <v>155</v>
      </c>
      <c r="E69" t="s">
        <v>29</v>
      </c>
      <c r="F69">
        <v>12.99</v>
      </c>
      <c r="H69">
        <v>11.16</v>
      </c>
      <c r="J69">
        <v>0.80720000000000003</v>
      </c>
      <c r="K69" t="str">
        <f t="shared" si="6"/>
        <v>Admis sous condition</v>
      </c>
      <c r="L69" t="str" cm="1">
        <f t="array" ref="L69">_xlfn.IFS(H69&gt;=16,"Excellent",
               H69&gt;=14,"Très bien",
               H69&gt;=12,"Bien",
               H69&gt;=10,"Passable",
               TRUE,"Insuffisant")</f>
        <v>Passable</v>
      </c>
      <c r="M69" t="str">
        <f t="shared" si="7"/>
        <v>RAS</v>
      </c>
      <c r="N69" t="str">
        <f t="shared" si="8"/>
        <v>Autre filière</v>
      </c>
    </row>
    <row r="70" spans="1:14" x14ac:dyDescent="0.45">
      <c r="A70" t="s">
        <v>156</v>
      </c>
      <c r="B70" t="s">
        <v>109</v>
      </c>
      <c r="E70" t="s">
        <v>29</v>
      </c>
      <c r="F70">
        <v>16.13</v>
      </c>
      <c r="H70">
        <v>14.09</v>
      </c>
      <c r="J70">
        <v>0.86950000000000005</v>
      </c>
      <c r="K70" t="str">
        <f t="shared" si="6"/>
        <v>Admis</v>
      </c>
      <c r="L70" t="str" cm="1">
        <f t="array" ref="L70">_xlfn.IFS(H70&gt;=16,"Excellent",
               H70&gt;=14,"Très bien",
               H70&gt;=12,"Bien",
               H70&gt;=10,"Passable",
               TRUE,"Insuffisant")</f>
        <v>Très bien</v>
      </c>
      <c r="M70" t="str">
        <f t="shared" si="7"/>
        <v>RAS</v>
      </c>
      <c r="N70" t="str">
        <f t="shared" si="8"/>
        <v>Autre filière</v>
      </c>
    </row>
    <row r="71" spans="1:14" x14ac:dyDescent="0.45">
      <c r="A71" t="s">
        <v>157</v>
      </c>
      <c r="B71" t="s">
        <v>158</v>
      </c>
      <c r="E71" t="s">
        <v>29</v>
      </c>
      <c r="F71">
        <v>14.26</v>
      </c>
      <c r="H71">
        <v>15.37</v>
      </c>
      <c r="J71">
        <v>0.72430000000000005</v>
      </c>
      <c r="K71" t="str">
        <f t="shared" si="6"/>
        <v>Admis sous condition</v>
      </c>
      <c r="L71" t="str" cm="1">
        <f t="array" ref="L71">_xlfn.IFS(H71&gt;=16,"Excellent",
               H71&gt;=14,"Très bien",
               H71&gt;=12,"Bien",
               H71&gt;=10,"Passable",
               TRUE,"Insuffisant")</f>
        <v>Très bien</v>
      </c>
      <c r="M71" t="str">
        <f t="shared" si="7"/>
        <v>RAS</v>
      </c>
      <c r="N71" t="str">
        <f t="shared" si="8"/>
        <v>Autre filière</v>
      </c>
    </row>
    <row r="72" spans="1:14" x14ac:dyDescent="0.45">
      <c r="A72" t="s">
        <v>159</v>
      </c>
      <c r="B72" t="s">
        <v>160</v>
      </c>
      <c r="E72" t="s">
        <v>21</v>
      </c>
      <c r="F72">
        <v>12.56</v>
      </c>
      <c r="H72">
        <v>7.47</v>
      </c>
      <c r="J72">
        <v>0.7157</v>
      </c>
      <c r="K72" t="str">
        <f t="shared" si="6"/>
        <v>Refusé</v>
      </c>
      <c r="L72" t="str" cm="1">
        <f t="array" ref="L72">_xlfn.IFS(H72&gt;=16,"Excellent",
               H72&gt;=14,"Très bien",
               H72&gt;=12,"Bien",
               H72&gt;=10,"Passable",
               TRUE,"Insuffisant")</f>
        <v>Insuffisant</v>
      </c>
      <c r="M72" t="str">
        <f t="shared" si="7"/>
        <v>A surveiller</v>
      </c>
      <c r="N72" t="str">
        <f t="shared" si="8"/>
        <v>Autre filière</v>
      </c>
    </row>
    <row r="73" spans="1:14" x14ac:dyDescent="0.45">
      <c r="A73" t="s">
        <v>161</v>
      </c>
      <c r="B73" t="s">
        <v>162</v>
      </c>
      <c r="E73" t="s">
        <v>21</v>
      </c>
      <c r="F73">
        <v>13.48</v>
      </c>
      <c r="H73">
        <v>17.98</v>
      </c>
      <c r="J73">
        <v>0.88990000000000002</v>
      </c>
      <c r="K73" t="str">
        <f t="shared" si="6"/>
        <v>Admis</v>
      </c>
      <c r="L73" t="str" cm="1">
        <f t="array" ref="L73">_xlfn.IFS(H73&gt;=16,"Excellent",
               H73&gt;=14,"Très bien",
               H73&gt;=12,"Bien",
               H73&gt;=10,"Passable",
               TRUE,"Insuffisant")</f>
        <v>Excellent</v>
      </c>
      <c r="M73" t="str">
        <f t="shared" si="7"/>
        <v>RAS</v>
      </c>
      <c r="N73" t="str">
        <f t="shared" si="8"/>
        <v>Autre filière</v>
      </c>
    </row>
    <row r="74" spans="1:14" x14ac:dyDescent="0.45">
      <c r="A74" t="s">
        <v>163</v>
      </c>
      <c r="B74" t="s">
        <v>164</v>
      </c>
      <c r="E74" t="s">
        <v>16</v>
      </c>
      <c r="F74">
        <v>14.73</v>
      </c>
      <c r="H74">
        <v>16.13</v>
      </c>
      <c r="J74">
        <v>0.76880000000000004</v>
      </c>
      <c r="K74" t="str">
        <f t="shared" si="6"/>
        <v>Admis sous condition</v>
      </c>
      <c r="L74" t="str" cm="1">
        <f t="array" ref="L74">_xlfn.IFS(H74&gt;=16,"Excellent",
               H74&gt;=14,"Très bien",
               H74&gt;=12,"Bien",
               H74&gt;=10,"Passable",
               TRUE,"Insuffisant")</f>
        <v>Excellent</v>
      </c>
      <c r="M74" t="str">
        <f t="shared" si="7"/>
        <v>RAS</v>
      </c>
      <c r="N74" t="str">
        <f t="shared" si="8"/>
        <v>Data</v>
      </c>
    </row>
    <row r="75" spans="1:14" x14ac:dyDescent="0.45">
      <c r="A75" t="s">
        <v>165</v>
      </c>
      <c r="B75" t="s">
        <v>127</v>
      </c>
      <c r="E75" t="s">
        <v>16</v>
      </c>
      <c r="F75">
        <v>9.31</v>
      </c>
      <c r="H75">
        <v>10.34</v>
      </c>
      <c r="J75">
        <v>0.90290000000000004</v>
      </c>
      <c r="K75" t="str">
        <f t="shared" si="6"/>
        <v>Refusé</v>
      </c>
      <c r="L75" t="str" cm="1">
        <f t="array" ref="L75">_xlfn.IFS(H75&gt;=16,"Excellent",
               H75&gt;=14,"Très bien",
               H75&gt;=12,"Bien",
               H75&gt;=10,"Passable",
               TRUE,"Insuffisant")</f>
        <v>Passable</v>
      </c>
      <c r="M75" t="str">
        <f t="shared" si="7"/>
        <v>A surveiller</v>
      </c>
      <c r="N75" t="str">
        <f t="shared" si="8"/>
        <v>Data</v>
      </c>
    </row>
    <row r="76" spans="1:14" x14ac:dyDescent="0.45">
      <c r="A76" t="s">
        <v>166</v>
      </c>
      <c r="B76" t="s">
        <v>167</v>
      </c>
      <c r="E76" t="s">
        <v>16</v>
      </c>
      <c r="F76">
        <v>17.55</v>
      </c>
      <c r="H76">
        <v>14.3</v>
      </c>
      <c r="J76">
        <v>0.96130000000000004</v>
      </c>
      <c r="K76" t="str">
        <f t="shared" si="6"/>
        <v>Admis</v>
      </c>
      <c r="L76" t="str" cm="1">
        <f t="array" ref="L76">_xlfn.IFS(H76&gt;=16,"Excellent",
               H76&gt;=14,"Très bien",
               H76&gt;=12,"Bien",
               H76&gt;=10,"Passable",
               TRUE,"Insuffisant")</f>
        <v>Très bien</v>
      </c>
      <c r="M76" t="str">
        <f t="shared" si="7"/>
        <v>RAS</v>
      </c>
      <c r="N76" t="str">
        <f t="shared" si="8"/>
        <v>Data</v>
      </c>
    </row>
    <row r="77" spans="1:14" x14ac:dyDescent="0.45">
      <c r="A77" t="s">
        <v>168</v>
      </c>
      <c r="B77" t="s">
        <v>169</v>
      </c>
      <c r="E77" t="s">
        <v>21</v>
      </c>
      <c r="F77">
        <v>13.96</v>
      </c>
      <c r="H77">
        <v>12.42</v>
      </c>
      <c r="J77">
        <v>0.65480000000000005</v>
      </c>
      <c r="K77" t="str">
        <f t="shared" si="6"/>
        <v>Admis sous condition</v>
      </c>
      <c r="L77" t="str" cm="1">
        <f t="array" ref="L77">_xlfn.IFS(H77&gt;=16,"Excellent",
               H77&gt;=14,"Très bien",
               H77&gt;=12,"Bien",
               H77&gt;=10,"Passable",
               TRUE,"Insuffisant")</f>
        <v>Bien</v>
      </c>
      <c r="M77" t="str">
        <f t="shared" si="7"/>
        <v>A surveiller</v>
      </c>
      <c r="N77" t="str">
        <f t="shared" si="8"/>
        <v>Autre filière</v>
      </c>
    </row>
    <row r="78" spans="1:14" x14ac:dyDescent="0.45">
      <c r="A78" t="s">
        <v>170</v>
      </c>
      <c r="B78" t="s">
        <v>103</v>
      </c>
      <c r="E78" t="s">
        <v>29</v>
      </c>
      <c r="F78">
        <v>16.010000000000002</v>
      </c>
      <c r="H78">
        <v>14.48</v>
      </c>
      <c r="J78">
        <v>0.92200000000000004</v>
      </c>
      <c r="K78" t="str">
        <f t="shared" si="6"/>
        <v>Admis</v>
      </c>
      <c r="L78" t="str" cm="1">
        <f t="array" ref="L78">_xlfn.IFS(H78&gt;=16,"Excellent",
               H78&gt;=14,"Très bien",
               H78&gt;=12,"Bien",
               H78&gt;=10,"Passable",
               TRUE,"Insuffisant")</f>
        <v>Très bien</v>
      </c>
      <c r="M78" t="str">
        <f t="shared" si="7"/>
        <v>RAS</v>
      </c>
      <c r="N78" t="str">
        <f t="shared" si="8"/>
        <v>Autre filière</v>
      </c>
    </row>
    <row r="79" spans="1:14" x14ac:dyDescent="0.45">
      <c r="A79" t="s">
        <v>171</v>
      </c>
      <c r="B79" t="s">
        <v>172</v>
      </c>
      <c r="E79" t="s">
        <v>21</v>
      </c>
      <c r="F79">
        <v>10.82</v>
      </c>
      <c r="H79">
        <v>15.12</v>
      </c>
      <c r="J79">
        <v>0.83409999999999995</v>
      </c>
      <c r="K79" t="str">
        <f t="shared" si="6"/>
        <v>Admis sous condition</v>
      </c>
      <c r="L79" t="str" cm="1">
        <f t="array" ref="L79">_xlfn.IFS(H79&gt;=16,"Excellent",
               H79&gt;=14,"Très bien",
               H79&gt;=12,"Bien",
               H79&gt;=10,"Passable",
               TRUE,"Insuffisant")</f>
        <v>Très bien</v>
      </c>
      <c r="M79" t="str">
        <f t="shared" si="7"/>
        <v>RAS</v>
      </c>
      <c r="N79" t="str">
        <f t="shared" si="8"/>
        <v>Autre filière</v>
      </c>
    </row>
    <row r="80" spans="1:14" x14ac:dyDescent="0.45">
      <c r="A80" t="s">
        <v>173</v>
      </c>
      <c r="B80" t="s">
        <v>174</v>
      </c>
      <c r="E80" t="s">
        <v>42</v>
      </c>
      <c r="F80">
        <v>9.67</v>
      </c>
      <c r="H80">
        <v>11.74</v>
      </c>
      <c r="J80">
        <v>0.87749999999999995</v>
      </c>
      <c r="K80" t="str">
        <f t="shared" si="6"/>
        <v>Refusé</v>
      </c>
      <c r="L80" t="str" cm="1">
        <f t="array" ref="L80">_xlfn.IFS(H80&gt;=16,"Excellent",
               H80&gt;=14,"Très bien",
               H80&gt;=12,"Bien",
               H80&gt;=10,"Passable",
               TRUE,"Insuffisant")</f>
        <v>Passable</v>
      </c>
      <c r="M80" t="str">
        <f t="shared" si="7"/>
        <v>A surveiller</v>
      </c>
      <c r="N80" t="str">
        <f t="shared" si="8"/>
        <v>Autre filière</v>
      </c>
    </row>
    <row r="81" spans="1:14" x14ac:dyDescent="0.45">
      <c r="A81" t="s">
        <v>175</v>
      </c>
      <c r="B81" t="s">
        <v>176</v>
      </c>
      <c r="E81" t="s">
        <v>42</v>
      </c>
      <c r="F81">
        <v>9.24</v>
      </c>
      <c r="H81">
        <v>9.15</v>
      </c>
      <c r="J81">
        <v>0.95140000000000002</v>
      </c>
      <c r="K81" t="str">
        <f t="shared" si="6"/>
        <v>Refusé</v>
      </c>
      <c r="L81" t="str" cm="1">
        <f t="array" ref="L81">_xlfn.IFS(H81&gt;=16,"Excellent",
               H81&gt;=14,"Très bien",
               H81&gt;=12,"Bien",
               H81&gt;=10,"Passable",
               TRUE,"Insuffisant")</f>
        <v>Insuffisant</v>
      </c>
      <c r="M81" t="str">
        <f t="shared" si="7"/>
        <v>A surveiller</v>
      </c>
      <c r="N81" t="str">
        <f t="shared" si="8"/>
        <v>Autre filière</v>
      </c>
    </row>
    <row r="82" spans="1:14" x14ac:dyDescent="0.45">
      <c r="A82" t="s">
        <v>177</v>
      </c>
      <c r="B82" t="s">
        <v>178</v>
      </c>
      <c r="E82" t="s">
        <v>29</v>
      </c>
      <c r="F82">
        <v>15.58</v>
      </c>
      <c r="H82">
        <v>15.71</v>
      </c>
      <c r="J82">
        <v>0.84179999999999999</v>
      </c>
      <c r="K82" t="str">
        <f t="shared" si="6"/>
        <v>Admis</v>
      </c>
      <c r="L82" t="str" cm="1">
        <f t="array" ref="L82">_xlfn.IFS(H82&gt;=16,"Excellent",
               H82&gt;=14,"Très bien",
               H82&gt;=12,"Bien",
               H82&gt;=10,"Passable",
               TRUE,"Insuffisant")</f>
        <v>Très bien</v>
      </c>
      <c r="M82" t="str">
        <f t="shared" si="7"/>
        <v>RAS</v>
      </c>
      <c r="N82" t="str">
        <f t="shared" si="8"/>
        <v>Autre filière</v>
      </c>
    </row>
    <row r="83" spans="1:14" x14ac:dyDescent="0.45">
      <c r="A83" t="s">
        <v>179</v>
      </c>
      <c r="B83" t="s">
        <v>180</v>
      </c>
      <c r="E83" t="s">
        <v>29</v>
      </c>
      <c r="F83">
        <v>12.79</v>
      </c>
      <c r="H83">
        <v>10.91</v>
      </c>
      <c r="J83">
        <v>0.93310000000000004</v>
      </c>
      <c r="K83" t="str">
        <f t="shared" si="6"/>
        <v>Admis sous condition</v>
      </c>
      <c r="L83" t="str" cm="1">
        <f t="array" ref="L83">_xlfn.IFS(H83&gt;=16,"Excellent",
               H83&gt;=14,"Très bien",
               H83&gt;=12,"Bien",
               H83&gt;=10,"Passable",
               TRUE,"Insuffisant")</f>
        <v>Passable</v>
      </c>
      <c r="M83" t="str">
        <f t="shared" si="7"/>
        <v>RAS</v>
      </c>
      <c r="N83" t="str">
        <f t="shared" si="8"/>
        <v>Autre filière</v>
      </c>
    </row>
    <row r="84" spans="1:14" x14ac:dyDescent="0.45">
      <c r="A84" t="s">
        <v>181</v>
      </c>
      <c r="B84" t="s">
        <v>182</v>
      </c>
      <c r="E84" t="s">
        <v>16</v>
      </c>
      <c r="F84">
        <v>15.33</v>
      </c>
      <c r="H84">
        <v>16.829999999999998</v>
      </c>
      <c r="J84">
        <v>0.93730000000000002</v>
      </c>
      <c r="K84" t="str">
        <f t="shared" si="6"/>
        <v>Admis</v>
      </c>
      <c r="L84" t="str" cm="1">
        <f t="array" ref="L84">_xlfn.IFS(H84&gt;=16,"Excellent",
               H84&gt;=14,"Très bien",
               H84&gt;=12,"Bien",
               H84&gt;=10,"Passable",
               TRUE,"Insuffisant")</f>
        <v>Excellent</v>
      </c>
      <c r="M84" t="str">
        <f t="shared" si="7"/>
        <v>RAS</v>
      </c>
      <c r="N84" t="str">
        <f t="shared" si="8"/>
        <v>Data</v>
      </c>
    </row>
    <row r="85" spans="1:14" x14ac:dyDescent="0.45">
      <c r="A85" t="s">
        <v>183</v>
      </c>
      <c r="B85" t="s">
        <v>53</v>
      </c>
      <c r="E85" t="s">
        <v>42</v>
      </c>
      <c r="F85">
        <v>14.95</v>
      </c>
      <c r="H85">
        <v>11.56</v>
      </c>
      <c r="J85">
        <v>0.83599999999999997</v>
      </c>
      <c r="K85" t="str">
        <f t="shared" si="6"/>
        <v>Admis sous condition</v>
      </c>
      <c r="L85" t="str" cm="1">
        <f t="array" ref="L85">_xlfn.IFS(H85&gt;=16,"Excellent",
               H85&gt;=14,"Très bien",
               H85&gt;=12,"Bien",
               H85&gt;=10,"Passable",
               TRUE,"Insuffisant")</f>
        <v>Passable</v>
      </c>
      <c r="M85" t="str">
        <f t="shared" si="7"/>
        <v>RAS</v>
      </c>
      <c r="N85" t="str">
        <f t="shared" si="8"/>
        <v>Autre filière</v>
      </c>
    </row>
    <row r="86" spans="1:14" x14ac:dyDescent="0.45">
      <c r="A86" t="s">
        <v>184</v>
      </c>
      <c r="B86" t="s">
        <v>185</v>
      </c>
      <c r="E86" t="s">
        <v>29</v>
      </c>
      <c r="F86">
        <v>16.07</v>
      </c>
      <c r="H86">
        <v>6.56</v>
      </c>
      <c r="J86">
        <v>0.84530000000000005</v>
      </c>
      <c r="K86" t="str">
        <f t="shared" si="6"/>
        <v>Refusé</v>
      </c>
      <c r="L86" t="str" cm="1">
        <f t="array" ref="L86">_xlfn.IFS(H86&gt;=16,"Excellent",
               H86&gt;=14,"Très bien",
               H86&gt;=12,"Bien",
               H86&gt;=10,"Passable",
               TRUE,"Insuffisant")</f>
        <v>Insuffisant</v>
      </c>
      <c r="M86" t="str">
        <f t="shared" si="7"/>
        <v>A surveiller</v>
      </c>
      <c r="N86" t="str">
        <f t="shared" si="8"/>
        <v>Autre filière</v>
      </c>
    </row>
    <row r="87" spans="1:14" x14ac:dyDescent="0.45">
      <c r="A87" t="s">
        <v>186</v>
      </c>
      <c r="B87" t="s">
        <v>73</v>
      </c>
      <c r="E87" t="s">
        <v>29</v>
      </c>
      <c r="F87">
        <v>13.13</v>
      </c>
      <c r="H87">
        <v>15.21</v>
      </c>
      <c r="J87">
        <v>0.74470000000000003</v>
      </c>
      <c r="K87" t="str">
        <f t="shared" ref="K87:K150" si="9">IF(AND(F87&gt;=12,H87&gt;=12,J87&gt;=0.8),"Admis",
   IF(AND(F87&gt;=10,H87&gt;=10),"Admis sous condition","Refusé"))</f>
        <v>Admis sous condition</v>
      </c>
      <c r="L87" t="str" cm="1">
        <f t="array" ref="L87">_xlfn.IFS(H87&gt;=16,"Excellent",
               H87&gt;=14,"Très bien",
               H87&gt;=12,"Bien",
               H87&gt;=10,"Passable",
               TRUE,"Insuffisant")</f>
        <v>Très bien</v>
      </c>
      <c r="M87" t="str">
        <f t="shared" ref="M87:M150" si="10">IF(OR(F87&lt;10,H87&lt;10,J87&lt;0.7),"A surveiller","RAS")</f>
        <v>RAS</v>
      </c>
      <c r="N87" t="str">
        <f t="shared" ref="N87:N150" si="11">IF(NOT(E87="Data"),"Autre filière","Data")</f>
        <v>Autre filière</v>
      </c>
    </row>
    <row r="88" spans="1:14" x14ac:dyDescent="0.45">
      <c r="A88" t="s">
        <v>187</v>
      </c>
      <c r="B88" t="s">
        <v>188</v>
      </c>
      <c r="E88" t="s">
        <v>16</v>
      </c>
      <c r="F88">
        <v>19.649999999999999</v>
      </c>
      <c r="H88">
        <v>18.34</v>
      </c>
      <c r="J88">
        <v>0.67400000000000004</v>
      </c>
      <c r="K88" t="str">
        <f t="shared" si="9"/>
        <v>Admis sous condition</v>
      </c>
      <c r="L88" t="str" cm="1">
        <f t="array" ref="L88">_xlfn.IFS(H88&gt;=16,"Excellent",
               H88&gt;=14,"Très bien",
               H88&gt;=12,"Bien",
               H88&gt;=10,"Passable",
               TRUE,"Insuffisant")</f>
        <v>Excellent</v>
      </c>
      <c r="M88" t="str">
        <f t="shared" si="10"/>
        <v>A surveiller</v>
      </c>
      <c r="N88" t="str">
        <f t="shared" si="11"/>
        <v>Data</v>
      </c>
    </row>
    <row r="89" spans="1:14" x14ac:dyDescent="0.45">
      <c r="A89" t="s">
        <v>189</v>
      </c>
      <c r="B89" t="s">
        <v>190</v>
      </c>
      <c r="E89" t="s">
        <v>21</v>
      </c>
      <c r="F89">
        <v>10.68</v>
      </c>
      <c r="H89">
        <v>6.72</v>
      </c>
      <c r="J89">
        <v>0.76039999999999996</v>
      </c>
      <c r="K89" t="str">
        <f t="shared" si="9"/>
        <v>Refusé</v>
      </c>
      <c r="L89" t="str" cm="1">
        <f t="array" ref="L89">_xlfn.IFS(H89&gt;=16,"Excellent",
               H89&gt;=14,"Très bien",
               H89&gt;=12,"Bien",
               H89&gt;=10,"Passable",
               TRUE,"Insuffisant")</f>
        <v>Insuffisant</v>
      </c>
      <c r="M89" t="str">
        <f t="shared" si="10"/>
        <v>A surveiller</v>
      </c>
      <c r="N89" t="str">
        <f t="shared" si="11"/>
        <v>Autre filière</v>
      </c>
    </row>
    <row r="90" spans="1:14" x14ac:dyDescent="0.45">
      <c r="A90" t="s">
        <v>191</v>
      </c>
      <c r="B90" t="s">
        <v>192</v>
      </c>
      <c r="E90" t="s">
        <v>21</v>
      </c>
      <c r="F90">
        <v>15.78</v>
      </c>
      <c r="H90">
        <v>17.41</v>
      </c>
      <c r="J90">
        <v>0.84550000000000003</v>
      </c>
      <c r="K90" t="str">
        <f t="shared" si="9"/>
        <v>Admis</v>
      </c>
      <c r="L90" t="str" cm="1">
        <f t="array" ref="L90">_xlfn.IFS(H90&gt;=16,"Excellent",
               H90&gt;=14,"Très bien",
               H90&gt;=12,"Bien",
               H90&gt;=10,"Passable",
               TRUE,"Insuffisant")</f>
        <v>Excellent</v>
      </c>
      <c r="M90" t="str">
        <f t="shared" si="10"/>
        <v>RAS</v>
      </c>
      <c r="N90" t="str">
        <f t="shared" si="11"/>
        <v>Autre filière</v>
      </c>
    </row>
    <row r="91" spans="1:14" x14ac:dyDescent="0.45">
      <c r="A91" t="s">
        <v>193</v>
      </c>
      <c r="B91" t="s">
        <v>194</v>
      </c>
      <c r="E91" t="s">
        <v>29</v>
      </c>
      <c r="F91">
        <v>16.489999999999998</v>
      </c>
      <c r="H91">
        <v>15.02</v>
      </c>
      <c r="J91">
        <v>0.67589999999999995</v>
      </c>
      <c r="K91" t="str">
        <f t="shared" si="9"/>
        <v>Admis sous condition</v>
      </c>
      <c r="L91" t="str" cm="1">
        <f t="array" ref="L91">_xlfn.IFS(H91&gt;=16,"Excellent",
               H91&gt;=14,"Très bien",
               H91&gt;=12,"Bien",
               H91&gt;=10,"Passable",
               TRUE,"Insuffisant")</f>
        <v>Très bien</v>
      </c>
      <c r="M91" t="str">
        <f t="shared" si="10"/>
        <v>A surveiller</v>
      </c>
      <c r="N91" t="str">
        <f t="shared" si="11"/>
        <v>Autre filière</v>
      </c>
    </row>
    <row r="92" spans="1:14" x14ac:dyDescent="0.45">
      <c r="A92" t="s">
        <v>195</v>
      </c>
      <c r="B92" t="s">
        <v>196</v>
      </c>
      <c r="E92" t="s">
        <v>42</v>
      </c>
      <c r="F92">
        <v>15.45</v>
      </c>
      <c r="H92">
        <v>11.24</v>
      </c>
      <c r="J92">
        <v>0.89300000000000002</v>
      </c>
      <c r="K92" t="str">
        <f t="shared" si="9"/>
        <v>Admis sous condition</v>
      </c>
      <c r="L92" t="str" cm="1">
        <f t="array" ref="L92">_xlfn.IFS(H92&gt;=16,"Excellent",
               H92&gt;=14,"Très bien",
               H92&gt;=12,"Bien",
               H92&gt;=10,"Passable",
               TRUE,"Insuffisant")</f>
        <v>Passable</v>
      </c>
      <c r="M92" t="str">
        <f t="shared" si="10"/>
        <v>RAS</v>
      </c>
      <c r="N92" t="str">
        <f t="shared" si="11"/>
        <v>Autre filière</v>
      </c>
    </row>
    <row r="93" spans="1:14" x14ac:dyDescent="0.45">
      <c r="A93" t="s">
        <v>197</v>
      </c>
      <c r="B93" t="s">
        <v>198</v>
      </c>
      <c r="E93" t="s">
        <v>21</v>
      </c>
      <c r="F93">
        <v>14.4</v>
      </c>
      <c r="H93">
        <v>15.58</v>
      </c>
      <c r="J93">
        <v>0.94669999999999999</v>
      </c>
      <c r="K93" t="str">
        <f t="shared" si="9"/>
        <v>Admis</v>
      </c>
      <c r="L93" t="str" cm="1">
        <f t="array" ref="L93">_xlfn.IFS(H93&gt;=16,"Excellent",
               H93&gt;=14,"Très bien",
               H93&gt;=12,"Bien",
               H93&gt;=10,"Passable",
               TRUE,"Insuffisant")</f>
        <v>Très bien</v>
      </c>
      <c r="M93" t="str">
        <f t="shared" si="10"/>
        <v>RAS</v>
      </c>
      <c r="N93" t="str">
        <f t="shared" si="11"/>
        <v>Autre filière</v>
      </c>
    </row>
    <row r="94" spans="1:14" x14ac:dyDescent="0.45">
      <c r="A94" t="s">
        <v>199</v>
      </c>
      <c r="B94" t="s">
        <v>73</v>
      </c>
      <c r="E94" t="s">
        <v>42</v>
      </c>
      <c r="F94">
        <v>16.260000000000002</v>
      </c>
      <c r="H94">
        <v>16.62</v>
      </c>
      <c r="J94">
        <v>0.82809999999999995</v>
      </c>
      <c r="K94" t="str">
        <f t="shared" si="9"/>
        <v>Admis</v>
      </c>
      <c r="L94" t="str" cm="1">
        <f t="array" ref="L94">_xlfn.IFS(H94&gt;=16,"Excellent",
               H94&gt;=14,"Très bien",
               H94&gt;=12,"Bien",
               H94&gt;=10,"Passable",
               TRUE,"Insuffisant")</f>
        <v>Excellent</v>
      </c>
      <c r="M94" t="str">
        <f t="shared" si="10"/>
        <v>RAS</v>
      </c>
      <c r="N94" t="str">
        <f t="shared" si="11"/>
        <v>Autre filière</v>
      </c>
    </row>
    <row r="95" spans="1:14" x14ac:dyDescent="0.45">
      <c r="A95" t="s">
        <v>200</v>
      </c>
      <c r="B95" t="s">
        <v>201</v>
      </c>
      <c r="E95" t="s">
        <v>42</v>
      </c>
      <c r="F95">
        <v>16.86</v>
      </c>
      <c r="H95">
        <v>13.37</v>
      </c>
      <c r="J95">
        <v>0.73799999999999999</v>
      </c>
      <c r="K95" t="str">
        <f t="shared" si="9"/>
        <v>Admis sous condition</v>
      </c>
      <c r="L95" t="str" cm="1">
        <f t="array" ref="L95">_xlfn.IFS(H95&gt;=16,"Excellent",
               H95&gt;=14,"Très bien",
               H95&gt;=12,"Bien",
               H95&gt;=10,"Passable",
               TRUE,"Insuffisant")</f>
        <v>Bien</v>
      </c>
      <c r="M95" t="str">
        <f t="shared" si="10"/>
        <v>RAS</v>
      </c>
      <c r="N95" t="str">
        <f t="shared" si="11"/>
        <v>Autre filière</v>
      </c>
    </row>
    <row r="96" spans="1:14" x14ac:dyDescent="0.45">
      <c r="A96" t="s">
        <v>202</v>
      </c>
      <c r="B96" t="s">
        <v>90</v>
      </c>
      <c r="E96" t="s">
        <v>29</v>
      </c>
      <c r="F96">
        <v>17.95</v>
      </c>
      <c r="H96">
        <v>15.86</v>
      </c>
      <c r="J96">
        <v>0.88939999999999997</v>
      </c>
      <c r="K96" t="str">
        <f t="shared" si="9"/>
        <v>Admis</v>
      </c>
      <c r="L96" t="str" cm="1">
        <f t="array" ref="L96">_xlfn.IFS(H96&gt;=16,"Excellent",
               H96&gt;=14,"Très bien",
               H96&gt;=12,"Bien",
               H96&gt;=10,"Passable",
               TRUE,"Insuffisant")</f>
        <v>Très bien</v>
      </c>
      <c r="M96" t="str">
        <f t="shared" si="10"/>
        <v>RAS</v>
      </c>
      <c r="N96" t="str">
        <f t="shared" si="11"/>
        <v>Autre filière</v>
      </c>
    </row>
    <row r="97" spans="1:14" x14ac:dyDescent="0.45">
      <c r="A97" t="s">
        <v>203</v>
      </c>
      <c r="B97" t="s">
        <v>204</v>
      </c>
      <c r="E97" t="s">
        <v>42</v>
      </c>
      <c r="F97">
        <v>11.97</v>
      </c>
      <c r="H97">
        <v>10.27</v>
      </c>
      <c r="J97">
        <v>0.83150000000000002</v>
      </c>
      <c r="K97" t="str">
        <f t="shared" si="9"/>
        <v>Admis sous condition</v>
      </c>
      <c r="L97" t="str" cm="1">
        <f t="array" ref="L97">_xlfn.IFS(H97&gt;=16,"Excellent",
               H97&gt;=14,"Très bien",
               H97&gt;=12,"Bien",
               H97&gt;=10,"Passable",
               TRUE,"Insuffisant")</f>
        <v>Passable</v>
      </c>
      <c r="M97" t="str">
        <f t="shared" si="10"/>
        <v>RAS</v>
      </c>
      <c r="N97" t="str">
        <f t="shared" si="11"/>
        <v>Autre filière</v>
      </c>
    </row>
    <row r="98" spans="1:14" x14ac:dyDescent="0.45">
      <c r="A98" t="s">
        <v>205</v>
      </c>
      <c r="B98" t="s">
        <v>13</v>
      </c>
      <c r="E98" t="s">
        <v>42</v>
      </c>
      <c r="F98">
        <v>19.989999999999998</v>
      </c>
      <c r="H98">
        <v>19.13</v>
      </c>
      <c r="J98">
        <v>0.92949999999999999</v>
      </c>
      <c r="K98" t="str">
        <f t="shared" si="9"/>
        <v>Admis</v>
      </c>
      <c r="L98" t="str" cm="1">
        <f t="array" ref="L98">_xlfn.IFS(H98&gt;=16,"Excellent",
               H98&gt;=14,"Très bien",
               H98&gt;=12,"Bien",
               H98&gt;=10,"Passable",
               TRUE,"Insuffisant")</f>
        <v>Excellent</v>
      </c>
      <c r="M98" t="str">
        <f t="shared" si="10"/>
        <v>RAS</v>
      </c>
      <c r="N98" t="str">
        <f t="shared" si="11"/>
        <v>Autre filière</v>
      </c>
    </row>
    <row r="99" spans="1:14" x14ac:dyDescent="0.45">
      <c r="A99" t="s">
        <v>206</v>
      </c>
      <c r="B99" t="s">
        <v>207</v>
      </c>
      <c r="E99" t="s">
        <v>42</v>
      </c>
      <c r="F99">
        <v>13.82</v>
      </c>
      <c r="H99">
        <v>8.57</v>
      </c>
      <c r="J99">
        <v>0.94189999999999996</v>
      </c>
      <c r="K99" t="str">
        <f t="shared" si="9"/>
        <v>Refusé</v>
      </c>
      <c r="L99" t="str" cm="1">
        <f t="array" ref="L99">_xlfn.IFS(H99&gt;=16,"Excellent",
               H99&gt;=14,"Très bien",
               H99&gt;=12,"Bien",
               H99&gt;=10,"Passable",
               TRUE,"Insuffisant")</f>
        <v>Insuffisant</v>
      </c>
      <c r="M99" t="str">
        <f t="shared" si="10"/>
        <v>A surveiller</v>
      </c>
      <c r="N99" t="str">
        <f t="shared" si="11"/>
        <v>Autre filière</v>
      </c>
    </row>
    <row r="100" spans="1:14" x14ac:dyDescent="0.45">
      <c r="A100" t="s">
        <v>208</v>
      </c>
      <c r="B100" t="s">
        <v>98</v>
      </c>
      <c r="E100" t="s">
        <v>42</v>
      </c>
      <c r="F100">
        <v>12.63</v>
      </c>
      <c r="H100">
        <v>15.87</v>
      </c>
      <c r="J100">
        <v>0.92549999999999999</v>
      </c>
      <c r="K100" t="str">
        <f t="shared" si="9"/>
        <v>Admis</v>
      </c>
      <c r="L100" t="str" cm="1">
        <f t="array" ref="L100">_xlfn.IFS(H100&gt;=16,"Excellent",
               H100&gt;=14,"Très bien",
               H100&gt;=12,"Bien",
               H100&gt;=10,"Passable",
               TRUE,"Insuffisant")</f>
        <v>Très bien</v>
      </c>
      <c r="M100" t="str">
        <f t="shared" si="10"/>
        <v>RAS</v>
      </c>
      <c r="N100" t="str">
        <f t="shared" si="11"/>
        <v>Autre filière</v>
      </c>
    </row>
    <row r="101" spans="1:14" x14ac:dyDescent="0.45">
      <c r="A101" t="s">
        <v>209</v>
      </c>
      <c r="B101" t="s">
        <v>210</v>
      </c>
      <c r="E101" t="s">
        <v>42</v>
      </c>
      <c r="F101">
        <v>10.51</v>
      </c>
      <c r="H101">
        <v>10.34</v>
      </c>
      <c r="J101">
        <v>0.78510000000000002</v>
      </c>
      <c r="K101" t="str">
        <f t="shared" si="9"/>
        <v>Admis sous condition</v>
      </c>
      <c r="L101" t="str" cm="1">
        <f t="array" ref="L101">_xlfn.IFS(H101&gt;=16,"Excellent",
               H101&gt;=14,"Très bien",
               H101&gt;=12,"Bien",
               H101&gt;=10,"Passable",
               TRUE,"Insuffisant")</f>
        <v>Passable</v>
      </c>
      <c r="M101" t="str">
        <f t="shared" si="10"/>
        <v>RAS</v>
      </c>
      <c r="N101" t="str">
        <f t="shared" si="11"/>
        <v>Autre filière</v>
      </c>
    </row>
    <row r="102" spans="1:14" x14ac:dyDescent="0.45">
      <c r="A102" t="s">
        <v>211</v>
      </c>
      <c r="B102" t="s">
        <v>212</v>
      </c>
      <c r="E102" t="s">
        <v>16</v>
      </c>
      <c r="F102">
        <v>15.2</v>
      </c>
      <c r="H102">
        <v>14.76</v>
      </c>
      <c r="J102">
        <v>0.80259999999999998</v>
      </c>
      <c r="K102" t="str">
        <f t="shared" si="9"/>
        <v>Admis</v>
      </c>
      <c r="L102" t="str" cm="1">
        <f t="array" ref="L102">_xlfn.IFS(H102&gt;=16,"Excellent",
               H102&gt;=14,"Très bien",
               H102&gt;=12,"Bien",
               H102&gt;=10,"Passable",
               TRUE,"Insuffisant")</f>
        <v>Très bien</v>
      </c>
      <c r="M102" t="str">
        <f t="shared" si="10"/>
        <v>RAS</v>
      </c>
      <c r="N102" t="str">
        <f t="shared" si="11"/>
        <v>Data</v>
      </c>
    </row>
    <row r="103" spans="1:14" x14ac:dyDescent="0.45">
      <c r="A103" t="s">
        <v>213</v>
      </c>
      <c r="B103" t="s">
        <v>214</v>
      </c>
      <c r="E103" t="s">
        <v>21</v>
      </c>
      <c r="F103">
        <v>18.34</v>
      </c>
      <c r="H103">
        <v>13.99</v>
      </c>
      <c r="J103">
        <v>0.79849999999999999</v>
      </c>
      <c r="K103" t="str">
        <f t="shared" si="9"/>
        <v>Admis sous condition</v>
      </c>
      <c r="L103" t="str" cm="1">
        <f t="array" ref="L103">_xlfn.IFS(H103&gt;=16,"Excellent",
               H103&gt;=14,"Très bien",
               H103&gt;=12,"Bien",
               H103&gt;=10,"Passable",
               TRUE,"Insuffisant")</f>
        <v>Bien</v>
      </c>
      <c r="M103" t="str">
        <f t="shared" si="10"/>
        <v>RAS</v>
      </c>
      <c r="N103" t="str">
        <f t="shared" si="11"/>
        <v>Autre filière</v>
      </c>
    </row>
    <row r="104" spans="1:14" x14ac:dyDescent="0.45">
      <c r="A104" t="s">
        <v>215</v>
      </c>
      <c r="B104" t="s">
        <v>31</v>
      </c>
      <c r="E104" t="s">
        <v>21</v>
      </c>
      <c r="F104">
        <v>10.3</v>
      </c>
      <c r="H104">
        <v>13.16</v>
      </c>
      <c r="J104">
        <v>0.62409999999999999</v>
      </c>
      <c r="K104" t="str">
        <f t="shared" si="9"/>
        <v>Admis sous condition</v>
      </c>
      <c r="L104" t="str" cm="1">
        <f t="array" ref="L104">_xlfn.IFS(H104&gt;=16,"Excellent",
               H104&gt;=14,"Très bien",
               H104&gt;=12,"Bien",
               H104&gt;=10,"Passable",
               TRUE,"Insuffisant")</f>
        <v>Bien</v>
      </c>
      <c r="M104" t="str">
        <f t="shared" si="10"/>
        <v>A surveiller</v>
      </c>
      <c r="N104" t="str">
        <f t="shared" si="11"/>
        <v>Autre filière</v>
      </c>
    </row>
    <row r="105" spans="1:14" x14ac:dyDescent="0.45">
      <c r="A105" t="s">
        <v>216</v>
      </c>
      <c r="B105" t="s">
        <v>172</v>
      </c>
      <c r="E105" t="s">
        <v>16</v>
      </c>
      <c r="F105">
        <v>9.56</v>
      </c>
      <c r="H105">
        <v>14.5</v>
      </c>
      <c r="J105">
        <v>0.90580000000000005</v>
      </c>
      <c r="K105" t="str">
        <f t="shared" si="9"/>
        <v>Refusé</v>
      </c>
      <c r="L105" t="str" cm="1">
        <f t="array" ref="L105">_xlfn.IFS(H105&gt;=16,"Excellent",
               H105&gt;=14,"Très bien",
               H105&gt;=12,"Bien",
               H105&gt;=10,"Passable",
               TRUE,"Insuffisant")</f>
        <v>Très bien</v>
      </c>
      <c r="M105" t="str">
        <f t="shared" si="10"/>
        <v>A surveiller</v>
      </c>
      <c r="N105" t="str">
        <f t="shared" si="11"/>
        <v>Data</v>
      </c>
    </row>
    <row r="106" spans="1:14" x14ac:dyDescent="0.45">
      <c r="A106" t="s">
        <v>217</v>
      </c>
      <c r="B106" t="s">
        <v>218</v>
      </c>
      <c r="E106" t="s">
        <v>29</v>
      </c>
      <c r="F106">
        <v>8.43</v>
      </c>
      <c r="H106">
        <v>7.64</v>
      </c>
      <c r="J106">
        <v>0.6411</v>
      </c>
      <c r="K106" t="str">
        <f t="shared" si="9"/>
        <v>Refusé</v>
      </c>
      <c r="L106" t="str" cm="1">
        <f t="array" ref="L106">_xlfn.IFS(H106&gt;=16,"Excellent",
               H106&gt;=14,"Très bien",
               H106&gt;=12,"Bien",
               H106&gt;=10,"Passable",
               TRUE,"Insuffisant")</f>
        <v>Insuffisant</v>
      </c>
      <c r="M106" t="str">
        <f t="shared" si="10"/>
        <v>A surveiller</v>
      </c>
      <c r="N106" t="str">
        <f t="shared" si="11"/>
        <v>Autre filière</v>
      </c>
    </row>
    <row r="107" spans="1:14" x14ac:dyDescent="0.45">
      <c r="A107" t="s">
        <v>219</v>
      </c>
      <c r="B107" t="s">
        <v>220</v>
      </c>
      <c r="E107" t="s">
        <v>21</v>
      </c>
      <c r="F107">
        <v>10.74</v>
      </c>
      <c r="H107">
        <v>14.15</v>
      </c>
      <c r="J107">
        <v>0.89759999999999995</v>
      </c>
      <c r="K107" t="str">
        <f t="shared" si="9"/>
        <v>Admis sous condition</v>
      </c>
      <c r="L107" t="str" cm="1">
        <f t="array" ref="L107">_xlfn.IFS(H107&gt;=16,"Excellent",
               H107&gt;=14,"Très bien",
               H107&gt;=12,"Bien",
               H107&gt;=10,"Passable",
               TRUE,"Insuffisant")</f>
        <v>Très bien</v>
      </c>
      <c r="M107" t="str">
        <f t="shared" si="10"/>
        <v>RAS</v>
      </c>
      <c r="N107" t="str">
        <f t="shared" si="11"/>
        <v>Autre filière</v>
      </c>
    </row>
    <row r="108" spans="1:14" x14ac:dyDescent="0.45">
      <c r="A108" t="s">
        <v>221</v>
      </c>
      <c r="B108" t="s">
        <v>185</v>
      </c>
      <c r="E108" t="s">
        <v>29</v>
      </c>
      <c r="F108">
        <v>7.62</v>
      </c>
      <c r="H108">
        <v>9.44</v>
      </c>
      <c r="J108">
        <v>0.85189999999999999</v>
      </c>
      <c r="K108" t="str">
        <f t="shared" si="9"/>
        <v>Refusé</v>
      </c>
      <c r="L108" t="str" cm="1">
        <f t="array" ref="L108">_xlfn.IFS(H108&gt;=16,"Excellent",
               H108&gt;=14,"Très bien",
               H108&gt;=12,"Bien",
               H108&gt;=10,"Passable",
               TRUE,"Insuffisant")</f>
        <v>Insuffisant</v>
      </c>
      <c r="M108" t="str">
        <f t="shared" si="10"/>
        <v>A surveiller</v>
      </c>
      <c r="N108" t="str">
        <f t="shared" si="11"/>
        <v>Autre filière</v>
      </c>
    </row>
    <row r="109" spans="1:14" x14ac:dyDescent="0.45">
      <c r="A109" t="s">
        <v>222</v>
      </c>
      <c r="B109" t="s">
        <v>223</v>
      </c>
      <c r="E109" t="s">
        <v>21</v>
      </c>
      <c r="F109">
        <v>12.34</v>
      </c>
      <c r="H109">
        <v>9.73</v>
      </c>
      <c r="J109">
        <v>0.79859999999999998</v>
      </c>
      <c r="K109" t="str">
        <f t="shared" si="9"/>
        <v>Refusé</v>
      </c>
      <c r="L109" t="str" cm="1">
        <f t="array" ref="L109">_xlfn.IFS(H109&gt;=16,"Excellent",
               H109&gt;=14,"Très bien",
               H109&gt;=12,"Bien",
               H109&gt;=10,"Passable",
               TRUE,"Insuffisant")</f>
        <v>Insuffisant</v>
      </c>
      <c r="M109" t="str">
        <f t="shared" si="10"/>
        <v>A surveiller</v>
      </c>
      <c r="N109" t="str">
        <f t="shared" si="11"/>
        <v>Autre filière</v>
      </c>
    </row>
    <row r="110" spans="1:14" x14ac:dyDescent="0.45">
      <c r="A110" t="s">
        <v>224</v>
      </c>
      <c r="B110" t="s">
        <v>225</v>
      </c>
      <c r="E110" t="s">
        <v>21</v>
      </c>
      <c r="F110">
        <v>13.76</v>
      </c>
      <c r="H110">
        <v>16.22</v>
      </c>
      <c r="J110">
        <v>0.98750000000000004</v>
      </c>
      <c r="K110" t="str">
        <f t="shared" si="9"/>
        <v>Admis</v>
      </c>
      <c r="L110" t="str" cm="1">
        <f t="array" ref="L110">_xlfn.IFS(H110&gt;=16,"Excellent",
               H110&gt;=14,"Très bien",
               H110&gt;=12,"Bien",
               H110&gt;=10,"Passable",
               TRUE,"Insuffisant")</f>
        <v>Excellent</v>
      </c>
      <c r="M110" t="str">
        <f t="shared" si="10"/>
        <v>RAS</v>
      </c>
      <c r="N110" t="str">
        <f t="shared" si="11"/>
        <v>Autre filière</v>
      </c>
    </row>
    <row r="111" spans="1:14" x14ac:dyDescent="0.45">
      <c r="A111" t="s">
        <v>226</v>
      </c>
      <c r="B111" t="s">
        <v>227</v>
      </c>
      <c r="E111" t="s">
        <v>21</v>
      </c>
      <c r="F111">
        <v>17.63</v>
      </c>
      <c r="H111">
        <v>12.55</v>
      </c>
      <c r="J111">
        <v>0.8972</v>
      </c>
      <c r="K111" t="str">
        <f t="shared" si="9"/>
        <v>Admis</v>
      </c>
      <c r="L111" t="str" cm="1">
        <f t="array" ref="L111">_xlfn.IFS(H111&gt;=16,"Excellent",
               H111&gt;=14,"Très bien",
               H111&gt;=12,"Bien",
               H111&gt;=10,"Passable",
               TRUE,"Insuffisant")</f>
        <v>Bien</v>
      </c>
      <c r="M111" t="str">
        <f t="shared" si="10"/>
        <v>RAS</v>
      </c>
      <c r="N111" t="str">
        <f t="shared" si="11"/>
        <v>Autre filière</v>
      </c>
    </row>
    <row r="112" spans="1:14" x14ac:dyDescent="0.45">
      <c r="A112" t="s">
        <v>228</v>
      </c>
      <c r="B112" t="s">
        <v>229</v>
      </c>
      <c r="E112" t="s">
        <v>16</v>
      </c>
      <c r="F112">
        <v>18.670000000000002</v>
      </c>
      <c r="H112">
        <v>20</v>
      </c>
      <c r="J112">
        <v>0.88100000000000001</v>
      </c>
      <c r="K112" t="str">
        <f t="shared" si="9"/>
        <v>Admis</v>
      </c>
      <c r="L112" t="str" cm="1">
        <f t="array" ref="L112">_xlfn.IFS(H112&gt;=16,"Excellent",
               H112&gt;=14,"Très bien",
               H112&gt;=12,"Bien",
               H112&gt;=10,"Passable",
               TRUE,"Insuffisant")</f>
        <v>Excellent</v>
      </c>
      <c r="M112" t="str">
        <f t="shared" si="10"/>
        <v>RAS</v>
      </c>
      <c r="N112" t="str">
        <f t="shared" si="11"/>
        <v>Data</v>
      </c>
    </row>
    <row r="113" spans="1:14" x14ac:dyDescent="0.45">
      <c r="A113" t="s">
        <v>230</v>
      </c>
      <c r="B113" t="s">
        <v>231</v>
      </c>
      <c r="E113" t="s">
        <v>29</v>
      </c>
      <c r="F113">
        <v>10.84</v>
      </c>
      <c r="H113">
        <v>15.62</v>
      </c>
      <c r="J113">
        <v>0.89270000000000005</v>
      </c>
      <c r="K113" t="str">
        <f t="shared" si="9"/>
        <v>Admis sous condition</v>
      </c>
      <c r="L113" t="str" cm="1">
        <f t="array" ref="L113">_xlfn.IFS(H113&gt;=16,"Excellent",
               H113&gt;=14,"Très bien",
               H113&gt;=12,"Bien",
               H113&gt;=10,"Passable",
               TRUE,"Insuffisant")</f>
        <v>Très bien</v>
      </c>
      <c r="M113" t="str">
        <f t="shared" si="10"/>
        <v>RAS</v>
      </c>
      <c r="N113" t="str">
        <f t="shared" si="11"/>
        <v>Autre filière</v>
      </c>
    </row>
    <row r="114" spans="1:14" x14ac:dyDescent="0.45">
      <c r="A114" t="s">
        <v>232</v>
      </c>
      <c r="B114" t="s">
        <v>233</v>
      </c>
      <c r="E114" t="s">
        <v>42</v>
      </c>
      <c r="F114">
        <v>18.809999999999999</v>
      </c>
      <c r="H114">
        <v>20</v>
      </c>
      <c r="J114">
        <v>0.84499999999999997</v>
      </c>
      <c r="K114" t="str">
        <f t="shared" si="9"/>
        <v>Admis</v>
      </c>
      <c r="L114" t="str" cm="1">
        <f t="array" ref="L114">_xlfn.IFS(H114&gt;=16,"Excellent",
               H114&gt;=14,"Très bien",
               H114&gt;=12,"Bien",
               H114&gt;=10,"Passable",
               TRUE,"Insuffisant")</f>
        <v>Excellent</v>
      </c>
      <c r="M114" t="str">
        <f t="shared" si="10"/>
        <v>RAS</v>
      </c>
      <c r="N114" t="str">
        <f t="shared" si="11"/>
        <v>Autre filière</v>
      </c>
    </row>
    <row r="115" spans="1:14" x14ac:dyDescent="0.45">
      <c r="A115" t="s">
        <v>234</v>
      </c>
      <c r="B115" t="s">
        <v>235</v>
      </c>
      <c r="E115" t="s">
        <v>21</v>
      </c>
      <c r="F115">
        <v>15.49</v>
      </c>
      <c r="H115">
        <v>15.24</v>
      </c>
      <c r="J115">
        <v>0.80830000000000002</v>
      </c>
      <c r="K115" t="str">
        <f t="shared" si="9"/>
        <v>Admis</v>
      </c>
      <c r="L115" t="str" cm="1">
        <f t="array" ref="L115">_xlfn.IFS(H115&gt;=16,"Excellent",
               H115&gt;=14,"Très bien",
               H115&gt;=12,"Bien",
               H115&gt;=10,"Passable",
               TRUE,"Insuffisant")</f>
        <v>Très bien</v>
      </c>
      <c r="M115" t="str">
        <f t="shared" si="10"/>
        <v>RAS</v>
      </c>
      <c r="N115" t="str">
        <f t="shared" si="11"/>
        <v>Autre filière</v>
      </c>
    </row>
    <row r="116" spans="1:14" x14ac:dyDescent="0.45">
      <c r="A116" t="s">
        <v>236</v>
      </c>
      <c r="B116" t="s">
        <v>237</v>
      </c>
      <c r="E116" t="s">
        <v>16</v>
      </c>
      <c r="F116">
        <v>11.48</v>
      </c>
      <c r="H116">
        <v>12.61</v>
      </c>
      <c r="J116">
        <v>0.55089999999999995</v>
      </c>
      <c r="K116" t="str">
        <f t="shared" si="9"/>
        <v>Admis sous condition</v>
      </c>
      <c r="L116" t="str" cm="1">
        <f t="array" ref="L116">_xlfn.IFS(H116&gt;=16,"Excellent",
               H116&gt;=14,"Très bien",
               H116&gt;=12,"Bien",
               H116&gt;=10,"Passable",
               TRUE,"Insuffisant")</f>
        <v>Bien</v>
      </c>
      <c r="M116" t="str">
        <f t="shared" si="10"/>
        <v>A surveiller</v>
      </c>
      <c r="N116" t="str">
        <f t="shared" si="11"/>
        <v>Data</v>
      </c>
    </row>
    <row r="117" spans="1:14" x14ac:dyDescent="0.45">
      <c r="A117" t="s">
        <v>238</v>
      </c>
      <c r="B117" t="s">
        <v>167</v>
      </c>
      <c r="E117" t="s">
        <v>29</v>
      </c>
      <c r="F117">
        <v>15.07</v>
      </c>
      <c r="H117">
        <v>13.51</v>
      </c>
      <c r="J117">
        <v>0.91290000000000004</v>
      </c>
      <c r="K117" t="str">
        <f t="shared" si="9"/>
        <v>Admis</v>
      </c>
      <c r="L117" t="str" cm="1">
        <f t="array" ref="L117">_xlfn.IFS(H117&gt;=16,"Excellent",
               H117&gt;=14,"Très bien",
               H117&gt;=12,"Bien",
               H117&gt;=10,"Passable",
               TRUE,"Insuffisant")</f>
        <v>Bien</v>
      </c>
      <c r="M117" t="str">
        <f t="shared" si="10"/>
        <v>RAS</v>
      </c>
      <c r="N117" t="str">
        <f t="shared" si="11"/>
        <v>Autre filière</v>
      </c>
    </row>
    <row r="118" spans="1:14" x14ac:dyDescent="0.45">
      <c r="A118" t="s">
        <v>239</v>
      </c>
      <c r="B118" t="s">
        <v>240</v>
      </c>
      <c r="E118" t="s">
        <v>16</v>
      </c>
      <c r="F118">
        <v>18.510000000000002</v>
      </c>
      <c r="H118">
        <v>13.21</v>
      </c>
      <c r="J118">
        <v>0.66739999999999999</v>
      </c>
      <c r="K118" t="str">
        <f t="shared" si="9"/>
        <v>Admis sous condition</v>
      </c>
      <c r="L118" t="str" cm="1">
        <f t="array" ref="L118">_xlfn.IFS(H118&gt;=16,"Excellent",
               H118&gt;=14,"Très bien",
               H118&gt;=12,"Bien",
               H118&gt;=10,"Passable",
               TRUE,"Insuffisant")</f>
        <v>Bien</v>
      </c>
      <c r="M118" t="str">
        <f t="shared" si="10"/>
        <v>A surveiller</v>
      </c>
      <c r="N118" t="str">
        <f t="shared" si="11"/>
        <v>Data</v>
      </c>
    </row>
    <row r="119" spans="1:14" x14ac:dyDescent="0.45">
      <c r="A119" t="s">
        <v>241</v>
      </c>
      <c r="B119" t="s">
        <v>242</v>
      </c>
      <c r="E119" t="s">
        <v>21</v>
      </c>
      <c r="F119">
        <v>13.77</v>
      </c>
      <c r="H119">
        <v>15.21</v>
      </c>
      <c r="J119">
        <v>0.94169999999999998</v>
      </c>
      <c r="K119" t="str">
        <f t="shared" si="9"/>
        <v>Admis</v>
      </c>
      <c r="L119" t="str" cm="1">
        <f t="array" ref="L119">_xlfn.IFS(H119&gt;=16,"Excellent",
               H119&gt;=14,"Très bien",
               H119&gt;=12,"Bien",
               H119&gt;=10,"Passable",
               TRUE,"Insuffisant")</f>
        <v>Très bien</v>
      </c>
      <c r="M119" t="str">
        <f t="shared" si="10"/>
        <v>RAS</v>
      </c>
      <c r="N119" t="str">
        <f t="shared" si="11"/>
        <v>Autre filière</v>
      </c>
    </row>
    <row r="120" spans="1:14" x14ac:dyDescent="0.45">
      <c r="A120" t="s">
        <v>243</v>
      </c>
      <c r="B120" t="s">
        <v>94</v>
      </c>
      <c r="E120" t="s">
        <v>21</v>
      </c>
      <c r="F120">
        <v>10.83</v>
      </c>
      <c r="H120">
        <v>10.78</v>
      </c>
      <c r="J120">
        <v>0.82340000000000002</v>
      </c>
      <c r="K120" t="str">
        <f t="shared" si="9"/>
        <v>Admis sous condition</v>
      </c>
      <c r="L120" t="str" cm="1">
        <f t="array" ref="L120">_xlfn.IFS(H120&gt;=16,"Excellent",
               H120&gt;=14,"Très bien",
               H120&gt;=12,"Bien",
               H120&gt;=10,"Passable",
               TRUE,"Insuffisant")</f>
        <v>Passable</v>
      </c>
      <c r="M120" t="str">
        <f t="shared" si="10"/>
        <v>RAS</v>
      </c>
      <c r="N120" t="str">
        <f t="shared" si="11"/>
        <v>Autre filière</v>
      </c>
    </row>
    <row r="121" spans="1:14" x14ac:dyDescent="0.45">
      <c r="A121" t="s">
        <v>244</v>
      </c>
      <c r="B121" t="s">
        <v>245</v>
      </c>
      <c r="E121" t="s">
        <v>16</v>
      </c>
      <c r="F121">
        <v>9.1999999999999993</v>
      </c>
      <c r="H121">
        <v>11.45</v>
      </c>
      <c r="J121">
        <v>0.77759999999999996</v>
      </c>
      <c r="K121" t="str">
        <f t="shared" si="9"/>
        <v>Refusé</v>
      </c>
      <c r="L121" t="str" cm="1">
        <f t="array" ref="L121">_xlfn.IFS(H121&gt;=16,"Excellent",
               H121&gt;=14,"Très bien",
               H121&gt;=12,"Bien",
               H121&gt;=10,"Passable",
               TRUE,"Insuffisant")</f>
        <v>Passable</v>
      </c>
      <c r="M121" t="str">
        <f t="shared" si="10"/>
        <v>A surveiller</v>
      </c>
      <c r="N121" t="str">
        <f t="shared" si="11"/>
        <v>Data</v>
      </c>
    </row>
    <row r="122" spans="1:14" x14ac:dyDescent="0.45">
      <c r="A122" t="s">
        <v>246</v>
      </c>
      <c r="B122" t="s">
        <v>247</v>
      </c>
      <c r="E122" t="s">
        <v>16</v>
      </c>
      <c r="F122">
        <v>9.3800000000000008</v>
      </c>
      <c r="H122">
        <v>14.07</v>
      </c>
      <c r="J122">
        <v>0.87290000000000001</v>
      </c>
      <c r="K122" t="str">
        <f t="shared" si="9"/>
        <v>Refusé</v>
      </c>
      <c r="L122" t="str" cm="1">
        <f t="array" ref="L122">_xlfn.IFS(H122&gt;=16,"Excellent",
               H122&gt;=14,"Très bien",
               H122&gt;=12,"Bien",
               H122&gt;=10,"Passable",
               TRUE,"Insuffisant")</f>
        <v>Très bien</v>
      </c>
      <c r="M122" t="str">
        <f t="shared" si="10"/>
        <v>A surveiller</v>
      </c>
      <c r="N122" t="str">
        <f t="shared" si="11"/>
        <v>Data</v>
      </c>
    </row>
    <row r="123" spans="1:14" x14ac:dyDescent="0.45">
      <c r="A123" t="s">
        <v>248</v>
      </c>
      <c r="B123" t="s">
        <v>65</v>
      </c>
      <c r="E123" t="s">
        <v>29</v>
      </c>
      <c r="F123">
        <v>15</v>
      </c>
      <c r="H123">
        <v>15.39</v>
      </c>
      <c r="J123">
        <v>0.83599999999999997</v>
      </c>
      <c r="K123" t="str">
        <f t="shared" si="9"/>
        <v>Admis</v>
      </c>
      <c r="L123" t="str" cm="1">
        <f t="array" ref="L123">_xlfn.IFS(H123&gt;=16,"Excellent",
               H123&gt;=14,"Très bien",
               H123&gt;=12,"Bien",
               H123&gt;=10,"Passable",
               TRUE,"Insuffisant")</f>
        <v>Très bien</v>
      </c>
      <c r="M123" t="str">
        <f t="shared" si="10"/>
        <v>RAS</v>
      </c>
      <c r="N123" t="str">
        <f t="shared" si="11"/>
        <v>Autre filière</v>
      </c>
    </row>
    <row r="124" spans="1:14" x14ac:dyDescent="0.45">
      <c r="A124" t="s">
        <v>249</v>
      </c>
      <c r="B124" t="s">
        <v>250</v>
      </c>
      <c r="E124" t="s">
        <v>21</v>
      </c>
      <c r="F124">
        <v>12.66</v>
      </c>
      <c r="H124">
        <v>9.9700000000000006</v>
      </c>
      <c r="J124">
        <v>0.8034</v>
      </c>
      <c r="K124" t="str">
        <f t="shared" si="9"/>
        <v>Refusé</v>
      </c>
      <c r="L124" t="str" cm="1">
        <f t="array" ref="L124">_xlfn.IFS(H124&gt;=16,"Excellent",
               H124&gt;=14,"Très bien",
               H124&gt;=12,"Bien",
               H124&gt;=10,"Passable",
               TRUE,"Insuffisant")</f>
        <v>Insuffisant</v>
      </c>
      <c r="M124" t="str">
        <f t="shared" si="10"/>
        <v>A surveiller</v>
      </c>
      <c r="N124" t="str">
        <f t="shared" si="11"/>
        <v>Autre filière</v>
      </c>
    </row>
    <row r="125" spans="1:14" x14ac:dyDescent="0.45">
      <c r="A125" t="s">
        <v>251</v>
      </c>
      <c r="B125" t="s">
        <v>252</v>
      </c>
      <c r="E125" t="s">
        <v>29</v>
      </c>
      <c r="F125">
        <v>8.66</v>
      </c>
      <c r="H125">
        <v>9.07</v>
      </c>
      <c r="J125">
        <v>0.70330000000000004</v>
      </c>
      <c r="K125" t="str">
        <f t="shared" si="9"/>
        <v>Refusé</v>
      </c>
      <c r="L125" t="str" cm="1">
        <f t="array" ref="L125">_xlfn.IFS(H125&gt;=16,"Excellent",
               H125&gt;=14,"Très bien",
               H125&gt;=12,"Bien",
               H125&gt;=10,"Passable",
               TRUE,"Insuffisant")</f>
        <v>Insuffisant</v>
      </c>
      <c r="M125" t="str">
        <f t="shared" si="10"/>
        <v>A surveiller</v>
      </c>
      <c r="N125" t="str">
        <f t="shared" si="11"/>
        <v>Autre filière</v>
      </c>
    </row>
    <row r="126" spans="1:14" x14ac:dyDescent="0.45">
      <c r="A126" t="s">
        <v>253</v>
      </c>
      <c r="B126" t="s">
        <v>254</v>
      </c>
      <c r="E126" t="s">
        <v>29</v>
      </c>
      <c r="F126">
        <v>11.41</v>
      </c>
      <c r="H126">
        <v>15.43</v>
      </c>
      <c r="J126">
        <v>0.77380000000000004</v>
      </c>
      <c r="K126" t="str">
        <f t="shared" si="9"/>
        <v>Admis sous condition</v>
      </c>
      <c r="L126" t="str" cm="1">
        <f t="array" ref="L126">_xlfn.IFS(H126&gt;=16,"Excellent",
               H126&gt;=14,"Très bien",
               H126&gt;=12,"Bien",
               H126&gt;=10,"Passable",
               TRUE,"Insuffisant")</f>
        <v>Très bien</v>
      </c>
      <c r="M126" t="str">
        <f t="shared" si="10"/>
        <v>RAS</v>
      </c>
      <c r="N126" t="str">
        <f t="shared" si="11"/>
        <v>Autre filière</v>
      </c>
    </row>
    <row r="127" spans="1:14" x14ac:dyDescent="0.45">
      <c r="A127" t="s">
        <v>255</v>
      </c>
      <c r="B127" t="s">
        <v>256</v>
      </c>
      <c r="E127" t="s">
        <v>29</v>
      </c>
      <c r="F127">
        <v>15.4</v>
      </c>
      <c r="H127">
        <v>15.79</v>
      </c>
      <c r="J127">
        <v>0.82779999999999998</v>
      </c>
      <c r="K127" t="str">
        <f t="shared" si="9"/>
        <v>Admis</v>
      </c>
      <c r="L127" t="str" cm="1">
        <f t="array" ref="L127">_xlfn.IFS(H127&gt;=16,"Excellent",
               H127&gt;=14,"Très bien",
               H127&gt;=12,"Bien",
               H127&gt;=10,"Passable",
               TRUE,"Insuffisant")</f>
        <v>Très bien</v>
      </c>
      <c r="M127" t="str">
        <f t="shared" si="10"/>
        <v>RAS</v>
      </c>
      <c r="N127" t="str">
        <f t="shared" si="11"/>
        <v>Autre filière</v>
      </c>
    </row>
    <row r="128" spans="1:14" x14ac:dyDescent="0.45">
      <c r="A128" t="s">
        <v>257</v>
      </c>
      <c r="B128" t="s">
        <v>258</v>
      </c>
      <c r="E128" t="s">
        <v>42</v>
      </c>
      <c r="F128">
        <v>13.64</v>
      </c>
      <c r="H128">
        <v>16.13</v>
      </c>
      <c r="J128">
        <v>0.83150000000000002</v>
      </c>
      <c r="K128" t="str">
        <f t="shared" si="9"/>
        <v>Admis</v>
      </c>
      <c r="L128" t="str" cm="1">
        <f t="array" ref="L128">_xlfn.IFS(H128&gt;=16,"Excellent",
               H128&gt;=14,"Très bien",
               H128&gt;=12,"Bien",
               H128&gt;=10,"Passable",
               TRUE,"Insuffisant")</f>
        <v>Excellent</v>
      </c>
      <c r="M128" t="str">
        <f t="shared" si="10"/>
        <v>RAS</v>
      </c>
      <c r="N128" t="str">
        <f t="shared" si="11"/>
        <v>Autre filière</v>
      </c>
    </row>
    <row r="129" spans="1:14" x14ac:dyDescent="0.45">
      <c r="A129" t="s">
        <v>259</v>
      </c>
      <c r="B129" t="s">
        <v>117</v>
      </c>
      <c r="E129" t="s">
        <v>29</v>
      </c>
      <c r="F129">
        <v>10.42</v>
      </c>
      <c r="H129">
        <v>10.69</v>
      </c>
      <c r="J129">
        <v>0.89610000000000001</v>
      </c>
      <c r="K129" t="str">
        <f t="shared" si="9"/>
        <v>Admis sous condition</v>
      </c>
      <c r="L129" t="str" cm="1">
        <f t="array" ref="L129">_xlfn.IFS(H129&gt;=16,"Excellent",
               H129&gt;=14,"Très bien",
               H129&gt;=12,"Bien",
               H129&gt;=10,"Passable",
               TRUE,"Insuffisant")</f>
        <v>Passable</v>
      </c>
      <c r="M129" t="str">
        <f t="shared" si="10"/>
        <v>RAS</v>
      </c>
      <c r="N129" t="str">
        <f t="shared" si="11"/>
        <v>Autre filière</v>
      </c>
    </row>
    <row r="130" spans="1:14" x14ac:dyDescent="0.45">
      <c r="A130" t="s">
        <v>260</v>
      </c>
      <c r="B130" t="s">
        <v>23</v>
      </c>
      <c r="E130" t="s">
        <v>16</v>
      </c>
      <c r="F130">
        <v>16.54</v>
      </c>
      <c r="H130">
        <v>18.96</v>
      </c>
      <c r="J130">
        <v>0.75839999999999996</v>
      </c>
      <c r="K130" t="str">
        <f t="shared" si="9"/>
        <v>Admis sous condition</v>
      </c>
      <c r="L130" t="str" cm="1">
        <f t="array" ref="L130">_xlfn.IFS(H130&gt;=16,"Excellent",
               H130&gt;=14,"Très bien",
               H130&gt;=12,"Bien",
               H130&gt;=10,"Passable",
               TRUE,"Insuffisant")</f>
        <v>Excellent</v>
      </c>
      <c r="M130" t="str">
        <f t="shared" si="10"/>
        <v>RAS</v>
      </c>
      <c r="N130" t="str">
        <f t="shared" si="11"/>
        <v>Data</v>
      </c>
    </row>
    <row r="131" spans="1:14" x14ac:dyDescent="0.45">
      <c r="A131" t="s">
        <v>261</v>
      </c>
      <c r="B131" t="s">
        <v>262</v>
      </c>
      <c r="E131" t="s">
        <v>21</v>
      </c>
      <c r="F131">
        <v>18.059999999999999</v>
      </c>
      <c r="H131">
        <v>17.77</v>
      </c>
      <c r="J131">
        <v>0.76829999999999998</v>
      </c>
      <c r="K131" t="str">
        <f t="shared" si="9"/>
        <v>Admis sous condition</v>
      </c>
      <c r="L131" t="str" cm="1">
        <f t="array" ref="L131">_xlfn.IFS(H131&gt;=16,"Excellent",
               H131&gt;=14,"Très bien",
               H131&gt;=12,"Bien",
               H131&gt;=10,"Passable",
               TRUE,"Insuffisant")</f>
        <v>Excellent</v>
      </c>
      <c r="M131" t="str">
        <f t="shared" si="10"/>
        <v>RAS</v>
      </c>
      <c r="N131" t="str">
        <f t="shared" si="11"/>
        <v>Autre filière</v>
      </c>
    </row>
    <row r="132" spans="1:14" x14ac:dyDescent="0.45">
      <c r="A132" t="s">
        <v>263</v>
      </c>
      <c r="B132" t="s">
        <v>264</v>
      </c>
      <c r="E132" t="s">
        <v>29</v>
      </c>
      <c r="F132">
        <v>16.84</v>
      </c>
      <c r="H132">
        <v>13.47</v>
      </c>
      <c r="J132">
        <v>0.56440000000000001</v>
      </c>
      <c r="K132" t="str">
        <f t="shared" si="9"/>
        <v>Admis sous condition</v>
      </c>
      <c r="L132" t="str" cm="1">
        <f t="array" ref="L132">_xlfn.IFS(H132&gt;=16,"Excellent",
               H132&gt;=14,"Très bien",
               H132&gt;=12,"Bien",
               H132&gt;=10,"Passable",
               TRUE,"Insuffisant")</f>
        <v>Bien</v>
      </c>
      <c r="M132" t="str">
        <f t="shared" si="10"/>
        <v>A surveiller</v>
      </c>
      <c r="N132" t="str">
        <f t="shared" si="11"/>
        <v>Autre filière</v>
      </c>
    </row>
    <row r="133" spans="1:14" x14ac:dyDescent="0.45">
      <c r="A133" t="s">
        <v>265</v>
      </c>
      <c r="B133" t="s">
        <v>266</v>
      </c>
      <c r="E133" t="s">
        <v>29</v>
      </c>
      <c r="F133">
        <v>16.010000000000002</v>
      </c>
      <c r="H133">
        <v>15.54</v>
      </c>
      <c r="J133">
        <v>0.71589999999999998</v>
      </c>
      <c r="K133" t="str">
        <f t="shared" si="9"/>
        <v>Admis sous condition</v>
      </c>
      <c r="L133" t="str" cm="1">
        <f t="array" ref="L133">_xlfn.IFS(H133&gt;=16,"Excellent",
               H133&gt;=14,"Très bien",
               H133&gt;=12,"Bien",
               H133&gt;=10,"Passable",
               TRUE,"Insuffisant")</f>
        <v>Très bien</v>
      </c>
      <c r="M133" t="str">
        <f t="shared" si="10"/>
        <v>RAS</v>
      </c>
      <c r="N133" t="str">
        <f t="shared" si="11"/>
        <v>Autre filière</v>
      </c>
    </row>
    <row r="134" spans="1:14" x14ac:dyDescent="0.45">
      <c r="A134" t="s">
        <v>267</v>
      </c>
      <c r="B134" t="s">
        <v>268</v>
      </c>
      <c r="E134" t="s">
        <v>42</v>
      </c>
      <c r="F134">
        <v>17.86</v>
      </c>
      <c r="H134">
        <v>14.54</v>
      </c>
      <c r="J134">
        <v>0.58899999999999997</v>
      </c>
      <c r="K134" t="str">
        <f t="shared" si="9"/>
        <v>Admis sous condition</v>
      </c>
      <c r="L134" t="str" cm="1">
        <f t="array" ref="L134">_xlfn.IFS(H134&gt;=16,"Excellent",
               H134&gt;=14,"Très bien",
               H134&gt;=12,"Bien",
               H134&gt;=10,"Passable",
               TRUE,"Insuffisant")</f>
        <v>Très bien</v>
      </c>
      <c r="M134" t="str">
        <f t="shared" si="10"/>
        <v>A surveiller</v>
      </c>
      <c r="N134" t="str">
        <f t="shared" si="11"/>
        <v>Autre filière</v>
      </c>
    </row>
    <row r="135" spans="1:14" x14ac:dyDescent="0.45">
      <c r="A135" t="s">
        <v>269</v>
      </c>
      <c r="B135" t="s">
        <v>18</v>
      </c>
      <c r="E135" t="s">
        <v>42</v>
      </c>
      <c r="F135">
        <v>15.47</v>
      </c>
      <c r="H135">
        <v>20</v>
      </c>
      <c r="J135">
        <v>0.81699999999999995</v>
      </c>
      <c r="K135" t="str">
        <f t="shared" si="9"/>
        <v>Admis</v>
      </c>
      <c r="L135" t="str" cm="1">
        <f t="array" ref="L135">_xlfn.IFS(H135&gt;=16,"Excellent",
               H135&gt;=14,"Très bien",
               H135&gt;=12,"Bien",
               H135&gt;=10,"Passable",
               TRUE,"Insuffisant")</f>
        <v>Excellent</v>
      </c>
      <c r="M135" t="str">
        <f t="shared" si="10"/>
        <v>RAS</v>
      </c>
      <c r="N135" t="str">
        <f t="shared" si="11"/>
        <v>Autre filière</v>
      </c>
    </row>
    <row r="136" spans="1:14" x14ac:dyDescent="0.45">
      <c r="A136" t="s">
        <v>270</v>
      </c>
      <c r="B136" t="s">
        <v>119</v>
      </c>
      <c r="E136" t="s">
        <v>16</v>
      </c>
      <c r="F136">
        <v>16.48</v>
      </c>
      <c r="H136">
        <v>15.21</v>
      </c>
      <c r="J136">
        <v>0.95309999999999995</v>
      </c>
      <c r="K136" t="str">
        <f t="shared" si="9"/>
        <v>Admis</v>
      </c>
      <c r="L136" t="str" cm="1">
        <f t="array" ref="L136">_xlfn.IFS(H136&gt;=16,"Excellent",
               H136&gt;=14,"Très bien",
               H136&gt;=12,"Bien",
               H136&gt;=10,"Passable",
               TRUE,"Insuffisant")</f>
        <v>Très bien</v>
      </c>
      <c r="M136" t="str">
        <f t="shared" si="10"/>
        <v>RAS</v>
      </c>
      <c r="N136" t="str">
        <f t="shared" si="11"/>
        <v>Data</v>
      </c>
    </row>
    <row r="137" spans="1:14" x14ac:dyDescent="0.45">
      <c r="A137" t="s">
        <v>271</v>
      </c>
      <c r="B137" t="s">
        <v>272</v>
      </c>
      <c r="E137" t="s">
        <v>16</v>
      </c>
      <c r="F137">
        <v>16</v>
      </c>
      <c r="H137">
        <v>16.79</v>
      </c>
      <c r="J137">
        <v>0.94479999999999997</v>
      </c>
      <c r="K137" t="str">
        <f t="shared" si="9"/>
        <v>Admis</v>
      </c>
      <c r="L137" t="str" cm="1">
        <f t="array" ref="L137">_xlfn.IFS(H137&gt;=16,"Excellent",
               H137&gt;=14,"Très bien",
               H137&gt;=12,"Bien",
               H137&gt;=10,"Passable",
               TRUE,"Insuffisant")</f>
        <v>Excellent</v>
      </c>
      <c r="M137" t="str">
        <f t="shared" si="10"/>
        <v>RAS</v>
      </c>
      <c r="N137" t="str">
        <f t="shared" si="11"/>
        <v>Data</v>
      </c>
    </row>
    <row r="138" spans="1:14" x14ac:dyDescent="0.45">
      <c r="A138" t="s">
        <v>273</v>
      </c>
      <c r="B138" t="s">
        <v>274</v>
      </c>
      <c r="E138" t="s">
        <v>16</v>
      </c>
      <c r="F138">
        <v>16.86</v>
      </c>
      <c r="H138">
        <v>13.97</v>
      </c>
      <c r="J138">
        <v>0.93310000000000004</v>
      </c>
      <c r="K138" t="str">
        <f t="shared" si="9"/>
        <v>Admis</v>
      </c>
      <c r="L138" t="str" cm="1">
        <f t="array" ref="L138">_xlfn.IFS(H138&gt;=16,"Excellent",
               H138&gt;=14,"Très bien",
               H138&gt;=12,"Bien",
               H138&gt;=10,"Passable",
               TRUE,"Insuffisant")</f>
        <v>Bien</v>
      </c>
      <c r="M138" t="str">
        <f t="shared" si="10"/>
        <v>RAS</v>
      </c>
      <c r="N138" t="str">
        <f t="shared" si="11"/>
        <v>Data</v>
      </c>
    </row>
    <row r="139" spans="1:14" x14ac:dyDescent="0.45">
      <c r="A139" t="s">
        <v>275</v>
      </c>
      <c r="B139" t="s">
        <v>109</v>
      </c>
      <c r="E139" t="s">
        <v>21</v>
      </c>
      <c r="F139">
        <v>12</v>
      </c>
      <c r="H139">
        <v>8.31</v>
      </c>
      <c r="J139">
        <v>0.79290000000000005</v>
      </c>
      <c r="K139" t="str">
        <f t="shared" si="9"/>
        <v>Refusé</v>
      </c>
      <c r="L139" t="str" cm="1">
        <f t="array" ref="L139">_xlfn.IFS(H139&gt;=16,"Excellent",
               H139&gt;=14,"Très bien",
               H139&gt;=12,"Bien",
               H139&gt;=10,"Passable",
               TRUE,"Insuffisant")</f>
        <v>Insuffisant</v>
      </c>
      <c r="M139" t="str">
        <f t="shared" si="10"/>
        <v>A surveiller</v>
      </c>
      <c r="N139" t="str">
        <f t="shared" si="11"/>
        <v>Autre filière</v>
      </c>
    </row>
    <row r="140" spans="1:14" x14ac:dyDescent="0.45">
      <c r="A140" t="s">
        <v>276</v>
      </c>
      <c r="B140" t="s">
        <v>277</v>
      </c>
      <c r="E140" t="s">
        <v>42</v>
      </c>
      <c r="F140">
        <v>16.760000000000002</v>
      </c>
      <c r="H140">
        <v>15.15</v>
      </c>
      <c r="J140">
        <v>0.83130000000000004</v>
      </c>
      <c r="K140" t="str">
        <f t="shared" si="9"/>
        <v>Admis</v>
      </c>
      <c r="L140" t="str" cm="1">
        <f t="array" ref="L140">_xlfn.IFS(H140&gt;=16,"Excellent",
               H140&gt;=14,"Très bien",
               H140&gt;=12,"Bien",
               H140&gt;=10,"Passable",
               TRUE,"Insuffisant")</f>
        <v>Très bien</v>
      </c>
      <c r="M140" t="str">
        <f t="shared" si="10"/>
        <v>RAS</v>
      </c>
      <c r="N140" t="str">
        <f t="shared" si="11"/>
        <v>Autre filière</v>
      </c>
    </row>
    <row r="141" spans="1:14" x14ac:dyDescent="0.45">
      <c r="A141" t="s">
        <v>278</v>
      </c>
      <c r="B141" t="s">
        <v>279</v>
      </c>
      <c r="E141" t="s">
        <v>21</v>
      </c>
      <c r="F141">
        <v>9.49</v>
      </c>
      <c r="H141">
        <v>12.33</v>
      </c>
      <c r="J141">
        <v>0.95430000000000004</v>
      </c>
      <c r="K141" t="str">
        <f t="shared" si="9"/>
        <v>Refusé</v>
      </c>
      <c r="L141" t="str" cm="1">
        <f t="array" ref="L141">_xlfn.IFS(H141&gt;=16,"Excellent",
               H141&gt;=14,"Très bien",
               H141&gt;=12,"Bien",
               H141&gt;=10,"Passable",
               TRUE,"Insuffisant")</f>
        <v>Bien</v>
      </c>
      <c r="M141" t="str">
        <f t="shared" si="10"/>
        <v>A surveiller</v>
      </c>
      <c r="N141" t="str">
        <f t="shared" si="11"/>
        <v>Autre filière</v>
      </c>
    </row>
    <row r="142" spans="1:14" x14ac:dyDescent="0.45">
      <c r="A142" t="s">
        <v>280</v>
      </c>
      <c r="B142" t="s">
        <v>254</v>
      </c>
      <c r="E142" t="s">
        <v>42</v>
      </c>
      <c r="F142">
        <v>11.81</v>
      </c>
      <c r="H142">
        <v>10.33</v>
      </c>
      <c r="J142">
        <v>0.80449999999999999</v>
      </c>
      <c r="K142" t="str">
        <f t="shared" si="9"/>
        <v>Admis sous condition</v>
      </c>
      <c r="L142" t="str" cm="1">
        <f t="array" ref="L142">_xlfn.IFS(H142&gt;=16,"Excellent",
               H142&gt;=14,"Très bien",
               H142&gt;=12,"Bien",
               H142&gt;=10,"Passable",
               TRUE,"Insuffisant")</f>
        <v>Passable</v>
      </c>
      <c r="M142" t="str">
        <f t="shared" si="10"/>
        <v>RAS</v>
      </c>
      <c r="N142" t="str">
        <f t="shared" si="11"/>
        <v>Autre filière</v>
      </c>
    </row>
    <row r="143" spans="1:14" x14ac:dyDescent="0.45">
      <c r="A143" t="s">
        <v>281</v>
      </c>
      <c r="B143" t="s">
        <v>282</v>
      </c>
      <c r="E143" t="s">
        <v>29</v>
      </c>
      <c r="F143">
        <v>19.489999999999998</v>
      </c>
      <c r="H143">
        <v>15.43</v>
      </c>
      <c r="J143">
        <v>0.85609999999999997</v>
      </c>
      <c r="K143" t="str">
        <f t="shared" si="9"/>
        <v>Admis</v>
      </c>
      <c r="L143" t="str" cm="1">
        <f t="array" ref="L143">_xlfn.IFS(H143&gt;=16,"Excellent",
               H143&gt;=14,"Très bien",
               H143&gt;=12,"Bien",
               H143&gt;=10,"Passable",
               TRUE,"Insuffisant")</f>
        <v>Très bien</v>
      </c>
      <c r="M143" t="str">
        <f t="shared" si="10"/>
        <v>RAS</v>
      </c>
      <c r="N143" t="str">
        <f t="shared" si="11"/>
        <v>Autre filière</v>
      </c>
    </row>
    <row r="144" spans="1:14" x14ac:dyDescent="0.45">
      <c r="A144" t="s">
        <v>283</v>
      </c>
      <c r="B144" t="s">
        <v>190</v>
      </c>
      <c r="E144" t="s">
        <v>42</v>
      </c>
      <c r="F144">
        <v>14.42</v>
      </c>
      <c r="H144">
        <v>16.39</v>
      </c>
      <c r="J144">
        <v>0.76539999999999997</v>
      </c>
      <c r="K144" t="str">
        <f t="shared" si="9"/>
        <v>Admis sous condition</v>
      </c>
      <c r="L144" t="str" cm="1">
        <f t="array" ref="L144">_xlfn.IFS(H144&gt;=16,"Excellent",
               H144&gt;=14,"Très bien",
               H144&gt;=12,"Bien",
               H144&gt;=10,"Passable",
               TRUE,"Insuffisant")</f>
        <v>Excellent</v>
      </c>
      <c r="M144" t="str">
        <f t="shared" si="10"/>
        <v>RAS</v>
      </c>
      <c r="N144" t="str">
        <f t="shared" si="11"/>
        <v>Autre filière</v>
      </c>
    </row>
    <row r="145" spans="1:14" x14ac:dyDescent="0.45">
      <c r="A145" t="s">
        <v>284</v>
      </c>
      <c r="B145" t="s">
        <v>285</v>
      </c>
      <c r="E145" t="s">
        <v>42</v>
      </c>
      <c r="F145">
        <v>16.28</v>
      </c>
      <c r="H145">
        <v>18.96</v>
      </c>
      <c r="J145">
        <v>0.8982</v>
      </c>
      <c r="K145" t="str">
        <f t="shared" si="9"/>
        <v>Admis</v>
      </c>
      <c r="L145" t="str" cm="1">
        <f t="array" ref="L145">_xlfn.IFS(H145&gt;=16,"Excellent",
               H145&gt;=14,"Très bien",
               H145&gt;=12,"Bien",
               H145&gt;=10,"Passable",
               TRUE,"Insuffisant")</f>
        <v>Excellent</v>
      </c>
      <c r="M145" t="str">
        <f t="shared" si="10"/>
        <v>RAS</v>
      </c>
      <c r="N145" t="str">
        <f t="shared" si="11"/>
        <v>Autre filière</v>
      </c>
    </row>
    <row r="146" spans="1:14" x14ac:dyDescent="0.45">
      <c r="A146" t="s">
        <v>286</v>
      </c>
      <c r="B146" t="s">
        <v>57</v>
      </c>
      <c r="E146" t="s">
        <v>29</v>
      </c>
      <c r="F146">
        <v>13.14</v>
      </c>
      <c r="H146">
        <v>16.55</v>
      </c>
      <c r="J146">
        <v>0.72319999999999995</v>
      </c>
      <c r="K146" t="str">
        <f t="shared" si="9"/>
        <v>Admis sous condition</v>
      </c>
      <c r="L146" t="str" cm="1">
        <f t="array" ref="L146">_xlfn.IFS(H146&gt;=16,"Excellent",
               H146&gt;=14,"Très bien",
               H146&gt;=12,"Bien",
               H146&gt;=10,"Passable",
               TRUE,"Insuffisant")</f>
        <v>Excellent</v>
      </c>
      <c r="M146" t="str">
        <f t="shared" si="10"/>
        <v>RAS</v>
      </c>
      <c r="N146" t="str">
        <f t="shared" si="11"/>
        <v>Autre filière</v>
      </c>
    </row>
    <row r="147" spans="1:14" x14ac:dyDescent="0.45">
      <c r="A147" t="s">
        <v>287</v>
      </c>
      <c r="B147" t="s">
        <v>138</v>
      </c>
      <c r="E147" t="s">
        <v>21</v>
      </c>
      <c r="F147">
        <v>11.19</v>
      </c>
      <c r="H147">
        <v>11.25</v>
      </c>
      <c r="J147">
        <v>0.91400000000000003</v>
      </c>
      <c r="K147" t="str">
        <f t="shared" si="9"/>
        <v>Admis sous condition</v>
      </c>
      <c r="L147" t="str" cm="1">
        <f t="array" ref="L147">_xlfn.IFS(H147&gt;=16,"Excellent",
               H147&gt;=14,"Très bien",
               H147&gt;=12,"Bien",
               H147&gt;=10,"Passable",
               TRUE,"Insuffisant")</f>
        <v>Passable</v>
      </c>
      <c r="M147" t="str">
        <f t="shared" si="10"/>
        <v>RAS</v>
      </c>
      <c r="N147" t="str">
        <f t="shared" si="11"/>
        <v>Autre filière</v>
      </c>
    </row>
    <row r="148" spans="1:14" x14ac:dyDescent="0.45">
      <c r="A148" t="s">
        <v>288</v>
      </c>
      <c r="B148" t="s">
        <v>289</v>
      </c>
      <c r="E148" t="s">
        <v>21</v>
      </c>
      <c r="F148">
        <v>11.01</v>
      </c>
      <c r="H148">
        <v>14.44</v>
      </c>
      <c r="J148">
        <v>0.81269999999999998</v>
      </c>
      <c r="K148" t="str">
        <f t="shared" si="9"/>
        <v>Admis sous condition</v>
      </c>
      <c r="L148" t="str" cm="1">
        <f t="array" ref="L148">_xlfn.IFS(H148&gt;=16,"Excellent",
               H148&gt;=14,"Très bien",
               H148&gt;=12,"Bien",
               H148&gt;=10,"Passable",
               TRUE,"Insuffisant")</f>
        <v>Très bien</v>
      </c>
      <c r="M148" t="str">
        <f t="shared" si="10"/>
        <v>RAS</v>
      </c>
      <c r="N148" t="str">
        <f t="shared" si="11"/>
        <v>Autre filière</v>
      </c>
    </row>
    <row r="149" spans="1:14" x14ac:dyDescent="0.45">
      <c r="A149" t="s">
        <v>290</v>
      </c>
      <c r="B149" t="s">
        <v>291</v>
      </c>
      <c r="E149" t="s">
        <v>21</v>
      </c>
      <c r="F149">
        <v>13.62</v>
      </c>
      <c r="H149">
        <v>15.57</v>
      </c>
      <c r="J149">
        <v>0.94320000000000004</v>
      </c>
      <c r="K149" t="str">
        <f t="shared" si="9"/>
        <v>Admis</v>
      </c>
      <c r="L149" t="str" cm="1">
        <f t="array" ref="L149">_xlfn.IFS(H149&gt;=16,"Excellent",
               H149&gt;=14,"Très bien",
               H149&gt;=12,"Bien",
               H149&gt;=10,"Passable",
               TRUE,"Insuffisant")</f>
        <v>Très bien</v>
      </c>
      <c r="M149" t="str">
        <f t="shared" si="10"/>
        <v>RAS</v>
      </c>
      <c r="N149" t="str">
        <f t="shared" si="11"/>
        <v>Autre filière</v>
      </c>
    </row>
    <row r="150" spans="1:14" x14ac:dyDescent="0.45">
      <c r="A150" t="s">
        <v>292</v>
      </c>
      <c r="B150" t="s">
        <v>266</v>
      </c>
      <c r="E150" t="s">
        <v>21</v>
      </c>
      <c r="F150">
        <v>13.51</v>
      </c>
      <c r="H150">
        <v>11.38</v>
      </c>
      <c r="J150">
        <v>0.70140000000000002</v>
      </c>
      <c r="K150" t="str">
        <f t="shared" si="9"/>
        <v>Admis sous condition</v>
      </c>
      <c r="L150" t="str" cm="1">
        <f t="array" ref="L150">_xlfn.IFS(H150&gt;=16,"Excellent",
               H150&gt;=14,"Très bien",
               H150&gt;=12,"Bien",
               H150&gt;=10,"Passable",
               TRUE,"Insuffisant")</f>
        <v>Passable</v>
      </c>
      <c r="M150" t="str">
        <f t="shared" si="10"/>
        <v>RAS</v>
      </c>
      <c r="N150" t="str">
        <f t="shared" si="11"/>
        <v>Autre filière</v>
      </c>
    </row>
    <row r="151" spans="1:14" x14ac:dyDescent="0.45">
      <c r="A151" t="s">
        <v>293</v>
      </c>
      <c r="B151" t="s">
        <v>34</v>
      </c>
      <c r="E151" t="s">
        <v>29</v>
      </c>
      <c r="F151">
        <v>11.8</v>
      </c>
      <c r="H151">
        <v>14.75</v>
      </c>
      <c r="J151">
        <v>0.68049999999999999</v>
      </c>
      <c r="K151" t="str">
        <f t="shared" ref="K151:K214" si="12">IF(AND(F151&gt;=12,H151&gt;=12,J151&gt;=0.8),"Admis",
   IF(AND(F151&gt;=10,H151&gt;=10),"Admis sous condition","Refusé"))</f>
        <v>Admis sous condition</v>
      </c>
      <c r="L151" t="str" cm="1">
        <f t="array" ref="L151">_xlfn.IFS(H151&gt;=16,"Excellent",
               H151&gt;=14,"Très bien",
               H151&gt;=12,"Bien",
               H151&gt;=10,"Passable",
               TRUE,"Insuffisant")</f>
        <v>Très bien</v>
      </c>
      <c r="M151" t="str">
        <f t="shared" ref="M151:M214" si="13">IF(OR(F151&lt;10,H151&lt;10,J151&lt;0.7),"A surveiller","RAS")</f>
        <v>A surveiller</v>
      </c>
      <c r="N151" t="str">
        <f t="shared" ref="N151:N214" si="14">IF(NOT(E151="Data"),"Autre filière","Data")</f>
        <v>Autre filière</v>
      </c>
    </row>
    <row r="152" spans="1:14" x14ac:dyDescent="0.45">
      <c r="A152" t="s">
        <v>294</v>
      </c>
      <c r="B152" t="s">
        <v>295</v>
      </c>
      <c r="E152" t="s">
        <v>16</v>
      </c>
      <c r="F152">
        <v>12.01</v>
      </c>
      <c r="H152">
        <v>10.3</v>
      </c>
      <c r="J152">
        <v>0.81130000000000002</v>
      </c>
      <c r="K152" t="str">
        <f t="shared" si="12"/>
        <v>Admis sous condition</v>
      </c>
      <c r="L152" t="str" cm="1">
        <f t="array" ref="L152">_xlfn.IFS(H152&gt;=16,"Excellent",
               H152&gt;=14,"Très bien",
               H152&gt;=12,"Bien",
               H152&gt;=10,"Passable",
               TRUE,"Insuffisant")</f>
        <v>Passable</v>
      </c>
      <c r="M152" t="str">
        <f t="shared" si="13"/>
        <v>RAS</v>
      </c>
      <c r="N152" t="str">
        <f t="shared" si="14"/>
        <v>Data</v>
      </c>
    </row>
    <row r="153" spans="1:14" x14ac:dyDescent="0.45">
      <c r="A153" t="s">
        <v>296</v>
      </c>
      <c r="B153" t="s">
        <v>41</v>
      </c>
      <c r="E153" t="s">
        <v>29</v>
      </c>
      <c r="F153">
        <v>14.14</v>
      </c>
      <c r="H153">
        <v>11.75</v>
      </c>
      <c r="J153">
        <v>0.90129999999999999</v>
      </c>
      <c r="K153" t="str">
        <f t="shared" si="12"/>
        <v>Admis sous condition</v>
      </c>
      <c r="L153" t="str" cm="1">
        <f t="array" ref="L153">_xlfn.IFS(H153&gt;=16,"Excellent",
               H153&gt;=14,"Très bien",
               H153&gt;=12,"Bien",
               H153&gt;=10,"Passable",
               TRUE,"Insuffisant")</f>
        <v>Passable</v>
      </c>
      <c r="M153" t="str">
        <f t="shared" si="13"/>
        <v>RAS</v>
      </c>
      <c r="N153" t="str">
        <f t="shared" si="14"/>
        <v>Autre filière</v>
      </c>
    </row>
    <row r="154" spans="1:14" x14ac:dyDescent="0.45">
      <c r="A154" t="s">
        <v>297</v>
      </c>
      <c r="B154" t="s">
        <v>174</v>
      </c>
      <c r="E154" t="s">
        <v>42</v>
      </c>
      <c r="F154">
        <v>10.38</v>
      </c>
      <c r="H154">
        <v>12.68</v>
      </c>
      <c r="J154">
        <v>0.74870000000000003</v>
      </c>
      <c r="K154" t="str">
        <f t="shared" si="12"/>
        <v>Admis sous condition</v>
      </c>
      <c r="L154" t="str" cm="1">
        <f t="array" ref="L154">_xlfn.IFS(H154&gt;=16,"Excellent",
               H154&gt;=14,"Très bien",
               H154&gt;=12,"Bien",
               H154&gt;=10,"Passable",
               TRUE,"Insuffisant")</f>
        <v>Bien</v>
      </c>
      <c r="M154" t="str">
        <f t="shared" si="13"/>
        <v>RAS</v>
      </c>
      <c r="N154" t="str">
        <f t="shared" si="14"/>
        <v>Autre filière</v>
      </c>
    </row>
    <row r="155" spans="1:14" x14ac:dyDescent="0.45">
      <c r="A155" t="s">
        <v>298</v>
      </c>
      <c r="B155" t="s">
        <v>225</v>
      </c>
      <c r="E155" t="s">
        <v>21</v>
      </c>
      <c r="F155">
        <v>17.88</v>
      </c>
      <c r="H155">
        <v>15.6</v>
      </c>
      <c r="J155">
        <v>0.84219999999999995</v>
      </c>
      <c r="K155" t="str">
        <f t="shared" si="12"/>
        <v>Admis</v>
      </c>
      <c r="L155" t="str" cm="1">
        <f t="array" ref="L155">_xlfn.IFS(H155&gt;=16,"Excellent",
               H155&gt;=14,"Très bien",
               H155&gt;=12,"Bien",
               H155&gt;=10,"Passable",
               TRUE,"Insuffisant")</f>
        <v>Très bien</v>
      </c>
      <c r="M155" t="str">
        <f t="shared" si="13"/>
        <v>RAS</v>
      </c>
      <c r="N155" t="str">
        <f t="shared" si="14"/>
        <v>Autre filière</v>
      </c>
    </row>
    <row r="156" spans="1:14" x14ac:dyDescent="0.45">
      <c r="A156" t="s">
        <v>299</v>
      </c>
      <c r="B156" t="s">
        <v>282</v>
      </c>
      <c r="E156" t="s">
        <v>29</v>
      </c>
      <c r="F156">
        <v>10.83</v>
      </c>
      <c r="H156">
        <v>13.88</v>
      </c>
      <c r="J156">
        <v>0.71230000000000004</v>
      </c>
      <c r="K156" t="str">
        <f t="shared" si="12"/>
        <v>Admis sous condition</v>
      </c>
      <c r="L156" t="str" cm="1">
        <f t="array" ref="L156">_xlfn.IFS(H156&gt;=16,"Excellent",
               H156&gt;=14,"Très bien",
               H156&gt;=12,"Bien",
               H156&gt;=10,"Passable",
               TRUE,"Insuffisant")</f>
        <v>Bien</v>
      </c>
      <c r="M156" t="str">
        <f t="shared" si="13"/>
        <v>RAS</v>
      </c>
      <c r="N156" t="str">
        <f t="shared" si="14"/>
        <v>Autre filière</v>
      </c>
    </row>
    <row r="157" spans="1:14" x14ac:dyDescent="0.45">
      <c r="A157" t="s">
        <v>300</v>
      </c>
      <c r="B157" t="s">
        <v>301</v>
      </c>
      <c r="E157" t="s">
        <v>29</v>
      </c>
      <c r="F157">
        <v>9.59</v>
      </c>
      <c r="H157">
        <v>5.9</v>
      </c>
      <c r="J157">
        <v>0.89759999999999995</v>
      </c>
      <c r="K157" t="str">
        <f t="shared" si="12"/>
        <v>Refusé</v>
      </c>
      <c r="L157" t="str" cm="1">
        <f t="array" ref="L157">_xlfn.IFS(H157&gt;=16,"Excellent",
               H157&gt;=14,"Très bien",
               H157&gt;=12,"Bien",
               H157&gt;=10,"Passable",
               TRUE,"Insuffisant")</f>
        <v>Insuffisant</v>
      </c>
      <c r="M157" t="str">
        <f t="shared" si="13"/>
        <v>A surveiller</v>
      </c>
      <c r="N157" t="str">
        <f t="shared" si="14"/>
        <v>Autre filière</v>
      </c>
    </row>
    <row r="158" spans="1:14" x14ac:dyDescent="0.45">
      <c r="A158" t="s">
        <v>302</v>
      </c>
      <c r="B158" t="s">
        <v>146</v>
      </c>
      <c r="E158" t="s">
        <v>29</v>
      </c>
      <c r="F158">
        <v>7.09</v>
      </c>
      <c r="H158">
        <v>17.559999999999999</v>
      </c>
      <c r="J158">
        <v>0.92930000000000001</v>
      </c>
      <c r="K158" t="str">
        <f t="shared" si="12"/>
        <v>Refusé</v>
      </c>
      <c r="L158" t="str" cm="1">
        <f t="array" ref="L158">_xlfn.IFS(H158&gt;=16,"Excellent",
               H158&gt;=14,"Très bien",
               H158&gt;=12,"Bien",
               H158&gt;=10,"Passable",
               TRUE,"Insuffisant")</f>
        <v>Excellent</v>
      </c>
      <c r="M158" t="str">
        <f t="shared" si="13"/>
        <v>A surveiller</v>
      </c>
      <c r="N158" t="str">
        <f t="shared" si="14"/>
        <v>Autre filière</v>
      </c>
    </row>
    <row r="159" spans="1:14" x14ac:dyDescent="0.45">
      <c r="A159" t="s">
        <v>303</v>
      </c>
      <c r="B159" t="s">
        <v>304</v>
      </c>
      <c r="E159" t="s">
        <v>21</v>
      </c>
      <c r="F159">
        <v>11.93</v>
      </c>
      <c r="H159">
        <v>11.22</v>
      </c>
      <c r="J159">
        <v>0.82089999999999996</v>
      </c>
      <c r="K159" t="str">
        <f t="shared" si="12"/>
        <v>Admis sous condition</v>
      </c>
      <c r="L159" t="str" cm="1">
        <f t="array" ref="L159">_xlfn.IFS(H159&gt;=16,"Excellent",
               H159&gt;=14,"Très bien",
               H159&gt;=12,"Bien",
               H159&gt;=10,"Passable",
               TRUE,"Insuffisant")</f>
        <v>Passable</v>
      </c>
      <c r="M159" t="str">
        <f t="shared" si="13"/>
        <v>RAS</v>
      </c>
      <c r="N159" t="str">
        <f t="shared" si="14"/>
        <v>Autre filière</v>
      </c>
    </row>
    <row r="160" spans="1:14" x14ac:dyDescent="0.45">
      <c r="A160" t="s">
        <v>305</v>
      </c>
      <c r="B160" t="s">
        <v>218</v>
      </c>
      <c r="E160" t="s">
        <v>16</v>
      </c>
      <c r="F160">
        <v>11.87</v>
      </c>
      <c r="H160">
        <v>17.46</v>
      </c>
      <c r="J160">
        <v>0.6431</v>
      </c>
      <c r="K160" t="str">
        <f t="shared" si="12"/>
        <v>Admis sous condition</v>
      </c>
      <c r="L160" t="str" cm="1">
        <f t="array" ref="L160">_xlfn.IFS(H160&gt;=16,"Excellent",
               H160&gt;=14,"Très bien",
               H160&gt;=12,"Bien",
               H160&gt;=10,"Passable",
               TRUE,"Insuffisant")</f>
        <v>Excellent</v>
      </c>
      <c r="M160" t="str">
        <f t="shared" si="13"/>
        <v>A surveiller</v>
      </c>
      <c r="N160" t="str">
        <f t="shared" si="14"/>
        <v>Data</v>
      </c>
    </row>
    <row r="161" spans="1:14" x14ac:dyDescent="0.45">
      <c r="A161" t="s">
        <v>306</v>
      </c>
      <c r="B161" t="s">
        <v>307</v>
      </c>
      <c r="E161" t="s">
        <v>29</v>
      </c>
      <c r="F161">
        <v>17.34</v>
      </c>
      <c r="H161">
        <v>15.47</v>
      </c>
      <c r="J161">
        <v>0.83650000000000002</v>
      </c>
      <c r="K161" t="str">
        <f t="shared" si="12"/>
        <v>Admis</v>
      </c>
      <c r="L161" t="str" cm="1">
        <f t="array" ref="L161">_xlfn.IFS(H161&gt;=16,"Excellent",
               H161&gt;=14,"Très bien",
               H161&gt;=12,"Bien",
               H161&gt;=10,"Passable",
               TRUE,"Insuffisant")</f>
        <v>Très bien</v>
      </c>
      <c r="M161" t="str">
        <f t="shared" si="13"/>
        <v>RAS</v>
      </c>
      <c r="N161" t="str">
        <f t="shared" si="14"/>
        <v>Autre filière</v>
      </c>
    </row>
    <row r="162" spans="1:14" x14ac:dyDescent="0.45">
      <c r="A162" t="s">
        <v>308</v>
      </c>
      <c r="B162" t="s">
        <v>309</v>
      </c>
      <c r="E162" t="s">
        <v>16</v>
      </c>
      <c r="F162">
        <v>15.66</v>
      </c>
      <c r="H162">
        <v>11.64</v>
      </c>
      <c r="J162">
        <v>0.91639999999999999</v>
      </c>
      <c r="K162" t="str">
        <f t="shared" si="12"/>
        <v>Admis sous condition</v>
      </c>
      <c r="L162" t="str" cm="1">
        <f t="array" ref="L162">_xlfn.IFS(H162&gt;=16,"Excellent",
               H162&gt;=14,"Très bien",
               H162&gt;=12,"Bien",
               H162&gt;=10,"Passable",
               TRUE,"Insuffisant")</f>
        <v>Passable</v>
      </c>
      <c r="M162" t="str">
        <f t="shared" si="13"/>
        <v>RAS</v>
      </c>
      <c r="N162" t="str">
        <f t="shared" si="14"/>
        <v>Data</v>
      </c>
    </row>
    <row r="163" spans="1:14" x14ac:dyDescent="0.45">
      <c r="A163" t="s">
        <v>310</v>
      </c>
      <c r="B163" t="s">
        <v>311</v>
      </c>
      <c r="E163" t="s">
        <v>21</v>
      </c>
      <c r="F163">
        <v>14.71</v>
      </c>
      <c r="H163">
        <v>8.17</v>
      </c>
      <c r="J163">
        <v>0.74680000000000002</v>
      </c>
      <c r="K163" t="str">
        <f t="shared" si="12"/>
        <v>Refusé</v>
      </c>
      <c r="L163" t="str" cm="1">
        <f t="array" ref="L163">_xlfn.IFS(H163&gt;=16,"Excellent",
               H163&gt;=14,"Très bien",
               H163&gt;=12,"Bien",
               H163&gt;=10,"Passable",
               TRUE,"Insuffisant")</f>
        <v>Insuffisant</v>
      </c>
      <c r="M163" t="str">
        <f t="shared" si="13"/>
        <v>A surveiller</v>
      </c>
      <c r="N163" t="str">
        <f t="shared" si="14"/>
        <v>Autre filière</v>
      </c>
    </row>
    <row r="164" spans="1:14" x14ac:dyDescent="0.45">
      <c r="A164" t="s">
        <v>312</v>
      </c>
      <c r="B164" t="s">
        <v>13</v>
      </c>
      <c r="E164" t="s">
        <v>29</v>
      </c>
      <c r="F164">
        <v>7.8</v>
      </c>
      <c r="H164">
        <v>8.6199999999999992</v>
      </c>
      <c r="J164">
        <v>0.91080000000000005</v>
      </c>
      <c r="K164" t="str">
        <f t="shared" si="12"/>
        <v>Refusé</v>
      </c>
      <c r="L164" t="str" cm="1">
        <f t="array" ref="L164">_xlfn.IFS(H164&gt;=16,"Excellent",
               H164&gt;=14,"Très bien",
               H164&gt;=12,"Bien",
               H164&gt;=10,"Passable",
               TRUE,"Insuffisant")</f>
        <v>Insuffisant</v>
      </c>
      <c r="M164" t="str">
        <f t="shared" si="13"/>
        <v>A surveiller</v>
      </c>
      <c r="N164" t="str">
        <f t="shared" si="14"/>
        <v>Autre filière</v>
      </c>
    </row>
    <row r="165" spans="1:14" x14ac:dyDescent="0.45">
      <c r="A165" t="s">
        <v>313</v>
      </c>
      <c r="B165" t="s">
        <v>314</v>
      </c>
      <c r="E165" t="s">
        <v>16</v>
      </c>
      <c r="F165">
        <v>10.18</v>
      </c>
      <c r="H165">
        <v>8.77</v>
      </c>
      <c r="J165">
        <v>0.9526</v>
      </c>
      <c r="K165" t="str">
        <f t="shared" si="12"/>
        <v>Refusé</v>
      </c>
      <c r="L165" t="str" cm="1">
        <f t="array" ref="L165">_xlfn.IFS(H165&gt;=16,"Excellent",
               H165&gt;=14,"Très bien",
               H165&gt;=12,"Bien",
               H165&gt;=10,"Passable",
               TRUE,"Insuffisant")</f>
        <v>Insuffisant</v>
      </c>
      <c r="M165" t="str">
        <f t="shared" si="13"/>
        <v>A surveiller</v>
      </c>
      <c r="N165" t="str">
        <f t="shared" si="14"/>
        <v>Data</v>
      </c>
    </row>
    <row r="166" spans="1:14" x14ac:dyDescent="0.45">
      <c r="A166" t="s">
        <v>315</v>
      </c>
      <c r="B166" t="s">
        <v>279</v>
      </c>
      <c r="E166" t="s">
        <v>29</v>
      </c>
      <c r="F166">
        <v>15.02</v>
      </c>
      <c r="H166">
        <v>10.6</v>
      </c>
      <c r="J166">
        <v>0.55000000000000004</v>
      </c>
      <c r="K166" t="str">
        <f t="shared" si="12"/>
        <v>Admis sous condition</v>
      </c>
      <c r="L166" t="str" cm="1">
        <f t="array" ref="L166">_xlfn.IFS(H166&gt;=16,"Excellent",
               H166&gt;=14,"Très bien",
               H166&gt;=12,"Bien",
               H166&gt;=10,"Passable",
               TRUE,"Insuffisant")</f>
        <v>Passable</v>
      </c>
      <c r="M166" t="str">
        <f t="shared" si="13"/>
        <v>A surveiller</v>
      </c>
      <c r="N166" t="str">
        <f t="shared" si="14"/>
        <v>Autre filière</v>
      </c>
    </row>
    <row r="167" spans="1:14" x14ac:dyDescent="0.45">
      <c r="A167" t="s">
        <v>316</v>
      </c>
      <c r="B167" t="s">
        <v>317</v>
      </c>
      <c r="E167" t="s">
        <v>16</v>
      </c>
      <c r="F167">
        <v>11.54</v>
      </c>
      <c r="H167">
        <v>8.76</v>
      </c>
      <c r="J167">
        <v>0.86670000000000003</v>
      </c>
      <c r="K167" t="str">
        <f t="shared" si="12"/>
        <v>Refusé</v>
      </c>
      <c r="L167" t="str" cm="1">
        <f t="array" ref="L167">_xlfn.IFS(H167&gt;=16,"Excellent",
               H167&gt;=14,"Très bien",
               H167&gt;=12,"Bien",
               H167&gt;=10,"Passable",
               TRUE,"Insuffisant")</f>
        <v>Insuffisant</v>
      </c>
      <c r="M167" t="str">
        <f t="shared" si="13"/>
        <v>A surveiller</v>
      </c>
      <c r="N167" t="str">
        <f t="shared" si="14"/>
        <v>Data</v>
      </c>
    </row>
    <row r="168" spans="1:14" x14ac:dyDescent="0.45">
      <c r="A168" t="s">
        <v>318</v>
      </c>
      <c r="B168" t="s">
        <v>319</v>
      </c>
      <c r="E168" t="s">
        <v>29</v>
      </c>
      <c r="F168">
        <v>15.57</v>
      </c>
      <c r="H168">
        <v>19.28</v>
      </c>
      <c r="J168">
        <v>0.76029999999999998</v>
      </c>
      <c r="K168" t="str">
        <f t="shared" si="12"/>
        <v>Admis sous condition</v>
      </c>
      <c r="L168" t="str" cm="1">
        <f t="array" ref="L168">_xlfn.IFS(H168&gt;=16,"Excellent",
               H168&gt;=14,"Très bien",
               H168&gt;=12,"Bien",
               H168&gt;=10,"Passable",
               TRUE,"Insuffisant")</f>
        <v>Excellent</v>
      </c>
      <c r="M168" t="str">
        <f t="shared" si="13"/>
        <v>RAS</v>
      </c>
      <c r="N168" t="str">
        <f t="shared" si="14"/>
        <v>Autre filière</v>
      </c>
    </row>
    <row r="169" spans="1:14" x14ac:dyDescent="0.45">
      <c r="A169" t="s">
        <v>320</v>
      </c>
      <c r="B169" t="s">
        <v>82</v>
      </c>
      <c r="E169" t="s">
        <v>21</v>
      </c>
      <c r="F169">
        <v>9.26</v>
      </c>
      <c r="H169">
        <v>14.8</v>
      </c>
      <c r="J169">
        <v>0.93049999999999999</v>
      </c>
      <c r="K169" t="str">
        <f t="shared" si="12"/>
        <v>Refusé</v>
      </c>
      <c r="L169" t="str" cm="1">
        <f t="array" ref="L169">_xlfn.IFS(H169&gt;=16,"Excellent",
               H169&gt;=14,"Très bien",
               H169&gt;=12,"Bien",
               H169&gt;=10,"Passable",
               TRUE,"Insuffisant")</f>
        <v>Très bien</v>
      </c>
      <c r="M169" t="str">
        <f t="shared" si="13"/>
        <v>A surveiller</v>
      </c>
      <c r="N169" t="str">
        <f t="shared" si="14"/>
        <v>Autre filière</v>
      </c>
    </row>
    <row r="170" spans="1:14" x14ac:dyDescent="0.45">
      <c r="A170" t="s">
        <v>321</v>
      </c>
      <c r="B170" t="s">
        <v>225</v>
      </c>
      <c r="E170" t="s">
        <v>42</v>
      </c>
      <c r="F170">
        <v>16.14</v>
      </c>
      <c r="H170">
        <v>20</v>
      </c>
      <c r="J170">
        <v>0.85829999999999995</v>
      </c>
      <c r="K170" t="str">
        <f t="shared" si="12"/>
        <v>Admis</v>
      </c>
      <c r="L170" t="str" cm="1">
        <f t="array" ref="L170">_xlfn.IFS(H170&gt;=16,"Excellent",
               H170&gt;=14,"Très bien",
               H170&gt;=12,"Bien",
               H170&gt;=10,"Passable",
               TRUE,"Insuffisant")</f>
        <v>Excellent</v>
      </c>
      <c r="M170" t="str">
        <f t="shared" si="13"/>
        <v>RAS</v>
      </c>
      <c r="N170" t="str">
        <f t="shared" si="14"/>
        <v>Autre filière</v>
      </c>
    </row>
    <row r="171" spans="1:14" x14ac:dyDescent="0.45">
      <c r="A171" t="s">
        <v>322</v>
      </c>
      <c r="B171" t="s">
        <v>323</v>
      </c>
      <c r="E171" t="s">
        <v>21</v>
      </c>
      <c r="F171">
        <v>15.33</v>
      </c>
      <c r="H171">
        <v>12.36</v>
      </c>
      <c r="J171">
        <v>0.8236</v>
      </c>
      <c r="K171" t="str">
        <f t="shared" si="12"/>
        <v>Admis</v>
      </c>
      <c r="L171" t="str" cm="1">
        <f t="array" ref="L171">_xlfn.IFS(H171&gt;=16,"Excellent",
               H171&gt;=14,"Très bien",
               H171&gt;=12,"Bien",
               H171&gt;=10,"Passable",
               TRUE,"Insuffisant")</f>
        <v>Bien</v>
      </c>
      <c r="M171" t="str">
        <f t="shared" si="13"/>
        <v>RAS</v>
      </c>
      <c r="N171" t="str">
        <f t="shared" si="14"/>
        <v>Autre filière</v>
      </c>
    </row>
    <row r="172" spans="1:14" x14ac:dyDescent="0.45">
      <c r="A172" t="s">
        <v>324</v>
      </c>
      <c r="B172" t="s">
        <v>325</v>
      </c>
      <c r="E172" t="s">
        <v>42</v>
      </c>
      <c r="F172">
        <v>18.61</v>
      </c>
      <c r="H172">
        <v>14.29</v>
      </c>
      <c r="J172">
        <v>0.90839999999999999</v>
      </c>
      <c r="K172" t="str">
        <f t="shared" si="12"/>
        <v>Admis</v>
      </c>
      <c r="L172" t="str" cm="1">
        <f t="array" ref="L172">_xlfn.IFS(H172&gt;=16,"Excellent",
               H172&gt;=14,"Très bien",
               H172&gt;=12,"Bien",
               H172&gt;=10,"Passable",
               TRUE,"Insuffisant")</f>
        <v>Très bien</v>
      </c>
      <c r="M172" t="str">
        <f t="shared" si="13"/>
        <v>RAS</v>
      </c>
      <c r="N172" t="str">
        <f t="shared" si="14"/>
        <v>Autre filière</v>
      </c>
    </row>
    <row r="173" spans="1:14" x14ac:dyDescent="0.45">
      <c r="A173" t="s">
        <v>326</v>
      </c>
      <c r="B173" t="s">
        <v>155</v>
      </c>
      <c r="E173" t="s">
        <v>21</v>
      </c>
      <c r="F173">
        <v>13.39</v>
      </c>
      <c r="H173">
        <v>10.61</v>
      </c>
      <c r="J173">
        <v>0.91259999999999997</v>
      </c>
      <c r="K173" t="str">
        <f t="shared" si="12"/>
        <v>Admis sous condition</v>
      </c>
      <c r="L173" t="str" cm="1">
        <f t="array" ref="L173">_xlfn.IFS(H173&gt;=16,"Excellent",
               H173&gt;=14,"Très bien",
               H173&gt;=12,"Bien",
               H173&gt;=10,"Passable",
               TRUE,"Insuffisant")</f>
        <v>Passable</v>
      </c>
      <c r="M173" t="str">
        <f t="shared" si="13"/>
        <v>RAS</v>
      </c>
      <c r="N173" t="str">
        <f t="shared" si="14"/>
        <v>Autre filière</v>
      </c>
    </row>
    <row r="174" spans="1:14" x14ac:dyDescent="0.45">
      <c r="A174" t="s">
        <v>327</v>
      </c>
      <c r="B174" t="s">
        <v>307</v>
      </c>
      <c r="E174" t="s">
        <v>29</v>
      </c>
      <c r="F174">
        <v>11.83</v>
      </c>
      <c r="H174">
        <v>12.97</v>
      </c>
      <c r="J174">
        <v>0.94269999999999998</v>
      </c>
      <c r="K174" t="str">
        <f t="shared" si="12"/>
        <v>Admis sous condition</v>
      </c>
      <c r="L174" t="str" cm="1">
        <f t="array" ref="L174">_xlfn.IFS(H174&gt;=16,"Excellent",
               H174&gt;=14,"Très bien",
               H174&gt;=12,"Bien",
               H174&gt;=10,"Passable",
               TRUE,"Insuffisant")</f>
        <v>Bien</v>
      </c>
      <c r="M174" t="str">
        <f t="shared" si="13"/>
        <v>RAS</v>
      </c>
      <c r="N174" t="str">
        <f t="shared" si="14"/>
        <v>Autre filière</v>
      </c>
    </row>
    <row r="175" spans="1:14" x14ac:dyDescent="0.45">
      <c r="A175" t="s">
        <v>328</v>
      </c>
      <c r="B175" t="s">
        <v>113</v>
      </c>
      <c r="E175" t="s">
        <v>21</v>
      </c>
      <c r="F175">
        <v>15.71</v>
      </c>
      <c r="H175">
        <v>17.37</v>
      </c>
      <c r="J175">
        <v>0.85809999999999997</v>
      </c>
      <c r="K175" t="str">
        <f t="shared" si="12"/>
        <v>Admis</v>
      </c>
      <c r="L175" t="str" cm="1">
        <f t="array" ref="L175">_xlfn.IFS(H175&gt;=16,"Excellent",
               H175&gt;=14,"Très bien",
               H175&gt;=12,"Bien",
               H175&gt;=10,"Passable",
               TRUE,"Insuffisant")</f>
        <v>Excellent</v>
      </c>
      <c r="M175" t="str">
        <f t="shared" si="13"/>
        <v>RAS</v>
      </c>
      <c r="N175" t="str">
        <f t="shared" si="14"/>
        <v>Autre filière</v>
      </c>
    </row>
    <row r="176" spans="1:14" x14ac:dyDescent="0.45">
      <c r="A176" t="s">
        <v>329</v>
      </c>
      <c r="B176" t="s">
        <v>98</v>
      </c>
      <c r="E176" t="s">
        <v>16</v>
      </c>
      <c r="F176">
        <v>8.2200000000000006</v>
      </c>
      <c r="H176">
        <v>8.23</v>
      </c>
      <c r="J176">
        <v>0.71509999999999996</v>
      </c>
      <c r="K176" t="str">
        <f t="shared" si="12"/>
        <v>Refusé</v>
      </c>
      <c r="L176" t="str" cm="1">
        <f t="array" ref="L176">_xlfn.IFS(H176&gt;=16,"Excellent",
               H176&gt;=14,"Très bien",
               H176&gt;=12,"Bien",
               H176&gt;=10,"Passable",
               TRUE,"Insuffisant")</f>
        <v>Insuffisant</v>
      </c>
      <c r="M176" t="str">
        <f t="shared" si="13"/>
        <v>A surveiller</v>
      </c>
      <c r="N176" t="str">
        <f t="shared" si="14"/>
        <v>Data</v>
      </c>
    </row>
    <row r="177" spans="1:14" x14ac:dyDescent="0.45">
      <c r="A177" t="s">
        <v>330</v>
      </c>
      <c r="B177" t="s">
        <v>331</v>
      </c>
      <c r="E177" t="s">
        <v>29</v>
      </c>
      <c r="F177">
        <v>4.01</v>
      </c>
      <c r="H177">
        <v>10.33</v>
      </c>
      <c r="J177">
        <v>0.93520000000000003</v>
      </c>
      <c r="K177" t="str">
        <f t="shared" si="12"/>
        <v>Refusé</v>
      </c>
      <c r="L177" t="str" cm="1">
        <f t="array" ref="L177">_xlfn.IFS(H177&gt;=16,"Excellent",
               H177&gt;=14,"Très bien",
               H177&gt;=12,"Bien",
               H177&gt;=10,"Passable",
               TRUE,"Insuffisant")</f>
        <v>Passable</v>
      </c>
      <c r="M177" t="str">
        <f t="shared" si="13"/>
        <v>A surveiller</v>
      </c>
      <c r="N177" t="str">
        <f t="shared" si="14"/>
        <v>Autre filière</v>
      </c>
    </row>
    <row r="178" spans="1:14" x14ac:dyDescent="0.45">
      <c r="A178" t="s">
        <v>332</v>
      </c>
      <c r="B178" t="s">
        <v>140</v>
      </c>
      <c r="E178" t="s">
        <v>42</v>
      </c>
      <c r="F178">
        <v>13.19</v>
      </c>
      <c r="H178">
        <v>14.36</v>
      </c>
      <c r="J178">
        <v>0.83160000000000001</v>
      </c>
      <c r="K178" t="str">
        <f t="shared" si="12"/>
        <v>Admis</v>
      </c>
      <c r="L178" t="str" cm="1">
        <f t="array" ref="L178">_xlfn.IFS(H178&gt;=16,"Excellent",
               H178&gt;=14,"Très bien",
               H178&gt;=12,"Bien",
               H178&gt;=10,"Passable",
               TRUE,"Insuffisant")</f>
        <v>Très bien</v>
      </c>
      <c r="M178" t="str">
        <f t="shared" si="13"/>
        <v>RAS</v>
      </c>
      <c r="N178" t="str">
        <f t="shared" si="14"/>
        <v>Autre filière</v>
      </c>
    </row>
    <row r="179" spans="1:14" x14ac:dyDescent="0.45">
      <c r="A179" t="s">
        <v>333</v>
      </c>
      <c r="B179" t="s">
        <v>334</v>
      </c>
      <c r="E179" t="s">
        <v>29</v>
      </c>
      <c r="F179">
        <v>15.34</v>
      </c>
      <c r="H179">
        <v>11.89</v>
      </c>
      <c r="J179">
        <v>0.91769999999999996</v>
      </c>
      <c r="K179" t="str">
        <f t="shared" si="12"/>
        <v>Admis sous condition</v>
      </c>
      <c r="L179" t="str" cm="1">
        <f t="array" ref="L179">_xlfn.IFS(H179&gt;=16,"Excellent",
               H179&gt;=14,"Très bien",
               H179&gt;=12,"Bien",
               H179&gt;=10,"Passable",
               TRUE,"Insuffisant")</f>
        <v>Passable</v>
      </c>
      <c r="M179" t="str">
        <f t="shared" si="13"/>
        <v>RAS</v>
      </c>
      <c r="N179" t="str">
        <f t="shared" si="14"/>
        <v>Autre filière</v>
      </c>
    </row>
    <row r="180" spans="1:14" x14ac:dyDescent="0.45">
      <c r="A180" t="s">
        <v>335</v>
      </c>
      <c r="B180" t="s">
        <v>336</v>
      </c>
      <c r="E180" t="s">
        <v>29</v>
      </c>
      <c r="F180">
        <v>16.39</v>
      </c>
      <c r="H180">
        <v>17.829999999999998</v>
      </c>
      <c r="J180">
        <v>0.77470000000000006</v>
      </c>
      <c r="K180" t="str">
        <f t="shared" si="12"/>
        <v>Admis sous condition</v>
      </c>
      <c r="L180" t="str" cm="1">
        <f t="array" ref="L180">_xlfn.IFS(H180&gt;=16,"Excellent",
               H180&gt;=14,"Très bien",
               H180&gt;=12,"Bien",
               H180&gt;=10,"Passable",
               TRUE,"Insuffisant")</f>
        <v>Excellent</v>
      </c>
      <c r="M180" t="str">
        <f t="shared" si="13"/>
        <v>RAS</v>
      </c>
      <c r="N180" t="str">
        <f t="shared" si="14"/>
        <v>Autre filière</v>
      </c>
    </row>
    <row r="181" spans="1:14" x14ac:dyDescent="0.45">
      <c r="A181" t="s">
        <v>337</v>
      </c>
      <c r="B181" t="s">
        <v>338</v>
      </c>
      <c r="E181" t="s">
        <v>16</v>
      </c>
      <c r="F181">
        <v>14.34</v>
      </c>
      <c r="H181">
        <v>14.93</v>
      </c>
      <c r="J181">
        <v>0.74880000000000002</v>
      </c>
      <c r="K181" t="str">
        <f t="shared" si="12"/>
        <v>Admis sous condition</v>
      </c>
      <c r="L181" t="str" cm="1">
        <f t="array" ref="L181">_xlfn.IFS(H181&gt;=16,"Excellent",
               H181&gt;=14,"Très bien",
               H181&gt;=12,"Bien",
               H181&gt;=10,"Passable",
               TRUE,"Insuffisant")</f>
        <v>Très bien</v>
      </c>
      <c r="M181" t="str">
        <f t="shared" si="13"/>
        <v>RAS</v>
      </c>
      <c r="N181" t="str">
        <f t="shared" si="14"/>
        <v>Data</v>
      </c>
    </row>
    <row r="182" spans="1:14" x14ac:dyDescent="0.45">
      <c r="A182" t="s">
        <v>339</v>
      </c>
      <c r="B182" t="s">
        <v>340</v>
      </c>
      <c r="E182" t="s">
        <v>16</v>
      </c>
      <c r="F182">
        <v>13.67</v>
      </c>
      <c r="H182">
        <v>11.91</v>
      </c>
      <c r="J182">
        <v>0.74060000000000004</v>
      </c>
      <c r="K182" t="str">
        <f t="shared" si="12"/>
        <v>Admis sous condition</v>
      </c>
      <c r="L182" t="str" cm="1">
        <f t="array" ref="L182">_xlfn.IFS(H182&gt;=16,"Excellent",
               H182&gt;=14,"Très bien",
               H182&gt;=12,"Bien",
               H182&gt;=10,"Passable",
               TRUE,"Insuffisant")</f>
        <v>Passable</v>
      </c>
      <c r="M182" t="str">
        <f t="shared" si="13"/>
        <v>RAS</v>
      </c>
      <c r="N182" t="str">
        <f t="shared" si="14"/>
        <v>Data</v>
      </c>
    </row>
    <row r="183" spans="1:14" x14ac:dyDescent="0.45">
      <c r="A183" t="s">
        <v>341</v>
      </c>
      <c r="B183" t="s">
        <v>225</v>
      </c>
      <c r="E183" t="s">
        <v>42</v>
      </c>
      <c r="F183">
        <v>16.73</v>
      </c>
      <c r="H183">
        <v>14.99</v>
      </c>
      <c r="J183">
        <v>0.88170000000000004</v>
      </c>
      <c r="K183" t="str">
        <f t="shared" si="12"/>
        <v>Admis</v>
      </c>
      <c r="L183" t="str" cm="1">
        <f t="array" ref="L183">_xlfn.IFS(H183&gt;=16,"Excellent",
               H183&gt;=14,"Très bien",
               H183&gt;=12,"Bien",
               H183&gt;=10,"Passable",
               TRUE,"Insuffisant")</f>
        <v>Très bien</v>
      </c>
      <c r="M183" t="str">
        <f t="shared" si="13"/>
        <v>RAS</v>
      </c>
      <c r="N183" t="str">
        <f t="shared" si="14"/>
        <v>Autre filière</v>
      </c>
    </row>
    <row r="184" spans="1:14" x14ac:dyDescent="0.45">
      <c r="A184" t="s">
        <v>342</v>
      </c>
      <c r="B184" t="s">
        <v>229</v>
      </c>
      <c r="E184" t="s">
        <v>21</v>
      </c>
      <c r="F184">
        <v>14.67</v>
      </c>
      <c r="H184">
        <v>15.35</v>
      </c>
      <c r="J184">
        <v>0.83099999999999996</v>
      </c>
      <c r="K184" t="str">
        <f t="shared" si="12"/>
        <v>Admis</v>
      </c>
      <c r="L184" t="str" cm="1">
        <f t="array" ref="L184">_xlfn.IFS(H184&gt;=16,"Excellent",
               H184&gt;=14,"Très bien",
               H184&gt;=12,"Bien",
               H184&gt;=10,"Passable",
               TRUE,"Insuffisant")</f>
        <v>Très bien</v>
      </c>
      <c r="M184" t="str">
        <f t="shared" si="13"/>
        <v>RAS</v>
      </c>
      <c r="N184" t="str">
        <f t="shared" si="14"/>
        <v>Autre filière</v>
      </c>
    </row>
    <row r="185" spans="1:14" x14ac:dyDescent="0.45">
      <c r="A185" t="s">
        <v>343</v>
      </c>
      <c r="B185" t="s">
        <v>264</v>
      </c>
      <c r="E185" t="s">
        <v>16</v>
      </c>
      <c r="F185">
        <v>18.09</v>
      </c>
      <c r="H185">
        <v>18.05</v>
      </c>
      <c r="J185">
        <v>0.90920000000000001</v>
      </c>
      <c r="K185" t="str">
        <f t="shared" si="12"/>
        <v>Admis</v>
      </c>
      <c r="L185" t="str" cm="1">
        <f t="array" ref="L185">_xlfn.IFS(H185&gt;=16,"Excellent",
               H185&gt;=14,"Très bien",
               H185&gt;=12,"Bien",
               H185&gt;=10,"Passable",
               TRUE,"Insuffisant")</f>
        <v>Excellent</v>
      </c>
      <c r="M185" t="str">
        <f t="shared" si="13"/>
        <v>RAS</v>
      </c>
      <c r="N185" t="str">
        <f t="shared" si="14"/>
        <v>Data</v>
      </c>
    </row>
    <row r="186" spans="1:14" x14ac:dyDescent="0.45">
      <c r="A186" t="s">
        <v>344</v>
      </c>
      <c r="B186" t="s">
        <v>345</v>
      </c>
      <c r="E186" t="s">
        <v>29</v>
      </c>
      <c r="F186">
        <v>15.42</v>
      </c>
      <c r="H186">
        <v>17.07</v>
      </c>
      <c r="J186">
        <v>0.89990000000000003</v>
      </c>
      <c r="K186" t="str">
        <f t="shared" si="12"/>
        <v>Admis</v>
      </c>
      <c r="L186" t="str" cm="1">
        <f t="array" ref="L186">_xlfn.IFS(H186&gt;=16,"Excellent",
               H186&gt;=14,"Très bien",
               H186&gt;=12,"Bien",
               H186&gt;=10,"Passable",
               TRUE,"Insuffisant")</f>
        <v>Excellent</v>
      </c>
      <c r="M186" t="str">
        <f t="shared" si="13"/>
        <v>RAS</v>
      </c>
      <c r="N186" t="str">
        <f t="shared" si="14"/>
        <v>Autre filière</v>
      </c>
    </row>
    <row r="187" spans="1:14" x14ac:dyDescent="0.45">
      <c r="A187" t="s">
        <v>346</v>
      </c>
      <c r="B187" t="s">
        <v>109</v>
      </c>
      <c r="E187" t="s">
        <v>21</v>
      </c>
      <c r="F187">
        <v>15.97</v>
      </c>
      <c r="H187">
        <v>14.85</v>
      </c>
      <c r="J187">
        <v>0.77890000000000004</v>
      </c>
      <c r="K187" t="str">
        <f t="shared" si="12"/>
        <v>Admis sous condition</v>
      </c>
      <c r="L187" t="str" cm="1">
        <f t="array" ref="L187">_xlfn.IFS(H187&gt;=16,"Excellent",
               H187&gt;=14,"Très bien",
               H187&gt;=12,"Bien",
               H187&gt;=10,"Passable",
               TRUE,"Insuffisant")</f>
        <v>Très bien</v>
      </c>
      <c r="M187" t="str">
        <f t="shared" si="13"/>
        <v>RAS</v>
      </c>
      <c r="N187" t="str">
        <f t="shared" si="14"/>
        <v>Autre filière</v>
      </c>
    </row>
    <row r="188" spans="1:14" x14ac:dyDescent="0.45">
      <c r="A188" t="s">
        <v>347</v>
      </c>
      <c r="B188" t="s">
        <v>348</v>
      </c>
      <c r="E188" t="s">
        <v>21</v>
      </c>
      <c r="F188">
        <v>6.61</v>
      </c>
      <c r="H188">
        <v>11.55</v>
      </c>
      <c r="J188">
        <v>0.77200000000000002</v>
      </c>
      <c r="K188" t="str">
        <f t="shared" si="12"/>
        <v>Refusé</v>
      </c>
      <c r="L188" t="str" cm="1">
        <f t="array" ref="L188">_xlfn.IFS(H188&gt;=16,"Excellent",
               H188&gt;=14,"Très bien",
               H188&gt;=12,"Bien",
               H188&gt;=10,"Passable",
               TRUE,"Insuffisant")</f>
        <v>Passable</v>
      </c>
      <c r="M188" t="str">
        <f t="shared" si="13"/>
        <v>A surveiller</v>
      </c>
      <c r="N188" t="str">
        <f t="shared" si="14"/>
        <v>Autre filière</v>
      </c>
    </row>
    <row r="189" spans="1:14" x14ac:dyDescent="0.45">
      <c r="A189" t="s">
        <v>349</v>
      </c>
      <c r="B189" t="s">
        <v>41</v>
      </c>
      <c r="E189" t="s">
        <v>16</v>
      </c>
      <c r="F189">
        <v>18.260000000000002</v>
      </c>
      <c r="H189">
        <v>20</v>
      </c>
      <c r="J189">
        <v>0.83209999999999995</v>
      </c>
      <c r="K189" t="str">
        <f t="shared" si="12"/>
        <v>Admis</v>
      </c>
      <c r="L189" t="str" cm="1">
        <f t="array" ref="L189">_xlfn.IFS(H189&gt;=16,"Excellent",
               H189&gt;=14,"Très bien",
               H189&gt;=12,"Bien",
               H189&gt;=10,"Passable",
               TRUE,"Insuffisant")</f>
        <v>Excellent</v>
      </c>
      <c r="M189" t="str">
        <f t="shared" si="13"/>
        <v>RAS</v>
      </c>
      <c r="N189" t="str">
        <f t="shared" si="14"/>
        <v>Data</v>
      </c>
    </row>
    <row r="190" spans="1:14" x14ac:dyDescent="0.45">
      <c r="A190" t="s">
        <v>350</v>
      </c>
      <c r="B190" t="s">
        <v>351</v>
      </c>
      <c r="E190" t="s">
        <v>42</v>
      </c>
      <c r="F190">
        <v>17.04</v>
      </c>
      <c r="H190">
        <v>16.88</v>
      </c>
      <c r="J190">
        <v>0.90059999999999996</v>
      </c>
      <c r="K190" t="str">
        <f t="shared" si="12"/>
        <v>Admis</v>
      </c>
      <c r="L190" t="str" cm="1">
        <f t="array" ref="L190">_xlfn.IFS(H190&gt;=16,"Excellent",
               H190&gt;=14,"Très bien",
               H190&gt;=12,"Bien",
               H190&gt;=10,"Passable",
               TRUE,"Insuffisant")</f>
        <v>Excellent</v>
      </c>
      <c r="M190" t="str">
        <f t="shared" si="13"/>
        <v>RAS</v>
      </c>
      <c r="N190" t="str">
        <f t="shared" si="14"/>
        <v>Autre filière</v>
      </c>
    </row>
    <row r="191" spans="1:14" x14ac:dyDescent="0.45">
      <c r="A191" t="s">
        <v>352</v>
      </c>
      <c r="B191" t="s">
        <v>353</v>
      </c>
      <c r="E191" t="s">
        <v>16</v>
      </c>
      <c r="F191">
        <v>13.57</v>
      </c>
      <c r="H191">
        <v>12.12</v>
      </c>
      <c r="J191">
        <v>0.96360000000000001</v>
      </c>
      <c r="K191" t="str">
        <f t="shared" si="12"/>
        <v>Admis</v>
      </c>
      <c r="L191" t="str" cm="1">
        <f t="array" ref="L191">_xlfn.IFS(H191&gt;=16,"Excellent",
               H191&gt;=14,"Très bien",
               H191&gt;=12,"Bien",
               H191&gt;=10,"Passable",
               TRUE,"Insuffisant")</f>
        <v>Bien</v>
      </c>
      <c r="M191" t="str">
        <f t="shared" si="13"/>
        <v>RAS</v>
      </c>
      <c r="N191" t="str">
        <f t="shared" si="14"/>
        <v>Data</v>
      </c>
    </row>
    <row r="192" spans="1:14" x14ac:dyDescent="0.45">
      <c r="A192" t="s">
        <v>354</v>
      </c>
      <c r="B192" t="s">
        <v>264</v>
      </c>
      <c r="E192" t="s">
        <v>16</v>
      </c>
      <c r="F192">
        <v>18.850000000000001</v>
      </c>
      <c r="H192">
        <v>17.22</v>
      </c>
      <c r="J192">
        <v>0.6754</v>
      </c>
      <c r="K192" t="str">
        <f t="shared" si="12"/>
        <v>Admis sous condition</v>
      </c>
      <c r="L192" t="str" cm="1">
        <f t="array" ref="L192">_xlfn.IFS(H192&gt;=16,"Excellent",
               H192&gt;=14,"Très bien",
               H192&gt;=12,"Bien",
               H192&gt;=10,"Passable",
               TRUE,"Insuffisant")</f>
        <v>Excellent</v>
      </c>
      <c r="M192" t="str">
        <f t="shared" si="13"/>
        <v>A surveiller</v>
      </c>
      <c r="N192" t="str">
        <f t="shared" si="14"/>
        <v>Data</v>
      </c>
    </row>
    <row r="193" spans="1:14" x14ac:dyDescent="0.45">
      <c r="A193" t="s">
        <v>355</v>
      </c>
      <c r="B193" t="s">
        <v>356</v>
      </c>
      <c r="E193" t="s">
        <v>16</v>
      </c>
      <c r="F193">
        <v>7.87</v>
      </c>
      <c r="H193">
        <v>6.37</v>
      </c>
      <c r="J193">
        <v>0.97640000000000005</v>
      </c>
      <c r="K193" t="str">
        <f t="shared" si="12"/>
        <v>Refusé</v>
      </c>
      <c r="L193" t="str" cm="1">
        <f t="array" ref="L193">_xlfn.IFS(H193&gt;=16,"Excellent",
               H193&gt;=14,"Très bien",
               H193&gt;=12,"Bien",
               H193&gt;=10,"Passable",
               TRUE,"Insuffisant")</f>
        <v>Insuffisant</v>
      </c>
      <c r="M193" t="str">
        <f t="shared" si="13"/>
        <v>A surveiller</v>
      </c>
      <c r="N193" t="str">
        <f t="shared" si="14"/>
        <v>Data</v>
      </c>
    </row>
    <row r="194" spans="1:14" x14ac:dyDescent="0.45">
      <c r="A194" t="s">
        <v>357</v>
      </c>
      <c r="B194" t="s">
        <v>121</v>
      </c>
      <c r="E194" t="s">
        <v>42</v>
      </c>
      <c r="F194">
        <v>8.1199999999999992</v>
      </c>
      <c r="H194">
        <v>10.050000000000001</v>
      </c>
      <c r="J194">
        <v>0.91849999999999998</v>
      </c>
      <c r="K194" t="str">
        <f t="shared" si="12"/>
        <v>Refusé</v>
      </c>
      <c r="L194" t="str" cm="1">
        <f t="array" ref="L194">_xlfn.IFS(H194&gt;=16,"Excellent",
               H194&gt;=14,"Très bien",
               H194&gt;=12,"Bien",
               H194&gt;=10,"Passable",
               TRUE,"Insuffisant")</f>
        <v>Passable</v>
      </c>
      <c r="M194" t="str">
        <f t="shared" si="13"/>
        <v>A surveiller</v>
      </c>
      <c r="N194" t="str">
        <f t="shared" si="14"/>
        <v>Autre filière</v>
      </c>
    </row>
    <row r="195" spans="1:14" x14ac:dyDescent="0.45">
      <c r="A195" t="s">
        <v>358</v>
      </c>
      <c r="B195" t="s">
        <v>94</v>
      </c>
      <c r="E195" t="s">
        <v>16</v>
      </c>
      <c r="F195">
        <v>11.38</v>
      </c>
      <c r="H195">
        <v>8.83</v>
      </c>
      <c r="J195">
        <v>0.72919999999999996</v>
      </c>
      <c r="K195" t="str">
        <f t="shared" si="12"/>
        <v>Refusé</v>
      </c>
      <c r="L195" t="str" cm="1">
        <f t="array" ref="L195">_xlfn.IFS(H195&gt;=16,"Excellent",
               H195&gt;=14,"Très bien",
               H195&gt;=12,"Bien",
               H195&gt;=10,"Passable",
               TRUE,"Insuffisant")</f>
        <v>Insuffisant</v>
      </c>
      <c r="M195" t="str">
        <f t="shared" si="13"/>
        <v>A surveiller</v>
      </c>
      <c r="N195" t="str">
        <f t="shared" si="14"/>
        <v>Data</v>
      </c>
    </row>
    <row r="196" spans="1:14" x14ac:dyDescent="0.45">
      <c r="A196" t="s">
        <v>359</v>
      </c>
      <c r="B196" t="s">
        <v>360</v>
      </c>
      <c r="E196" t="s">
        <v>29</v>
      </c>
      <c r="F196">
        <v>10.7</v>
      </c>
      <c r="H196">
        <v>13.65</v>
      </c>
      <c r="J196">
        <v>0.76680000000000004</v>
      </c>
      <c r="K196" t="str">
        <f t="shared" si="12"/>
        <v>Admis sous condition</v>
      </c>
      <c r="L196" t="str" cm="1">
        <f t="array" ref="L196">_xlfn.IFS(H196&gt;=16,"Excellent",
               H196&gt;=14,"Très bien",
               H196&gt;=12,"Bien",
               H196&gt;=10,"Passable",
               TRUE,"Insuffisant")</f>
        <v>Bien</v>
      </c>
      <c r="M196" t="str">
        <f t="shared" si="13"/>
        <v>RAS</v>
      </c>
      <c r="N196" t="str">
        <f t="shared" si="14"/>
        <v>Autre filière</v>
      </c>
    </row>
    <row r="197" spans="1:14" x14ac:dyDescent="0.45">
      <c r="A197" t="s">
        <v>361</v>
      </c>
      <c r="B197" t="s">
        <v>325</v>
      </c>
      <c r="E197" t="s">
        <v>16</v>
      </c>
      <c r="F197">
        <v>11.45</v>
      </c>
      <c r="H197">
        <v>16.18</v>
      </c>
      <c r="J197">
        <v>0.74980000000000002</v>
      </c>
      <c r="K197" t="str">
        <f t="shared" si="12"/>
        <v>Admis sous condition</v>
      </c>
      <c r="L197" t="str" cm="1">
        <f t="array" ref="L197">_xlfn.IFS(H197&gt;=16,"Excellent",
               H197&gt;=14,"Très bien",
               H197&gt;=12,"Bien",
               H197&gt;=10,"Passable",
               TRUE,"Insuffisant")</f>
        <v>Excellent</v>
      </c>
      <c r="M197" t="str">
        <f t="shared" si="13"/>
        <v>RAS</v>
      </c>
      <c r="N197" t="str">
        <f t="shared" si="14"/>
        <v>Data</v>
      </c>
    </row>
    <row r="198" spans="1:14" x14ac:dyDescent="0.45">
      <c r="A198" t="s">
        <v>362</v>
      </c>
      <c r="B198" t="s">
        <v>277</v>
      </c>
      <c r="E198" t="s">
        <v>29</v>
      </c>
      <c r="F198">
        <v>11.76</v>
      </c>
      <c r="H198">
        <v>6.59</v>
      </c>
      <c r="J198">
        <v>0.8337</v>
      </c>
      <c r="K198" t="str">
        <f t="shared" si="12"/>
        <v>Refusé</v>
      </c>
      <c r="L198" t="str" cm="1">
        <f t="array" ref="L198">_xlfn.IFS(H198&gt;=16,"Excellent",
               H198&gt;=14,"Très bien",
               H198&gt;=12,"Bien",
               H198&gt;=10,"Passable",
               TRUE,"Insuffisant")</f>
        <v>Insuffisant</v>
      </c>
      <c r="M198" t="str">
        <f t="shared" si="13"/>
        <v>A surveiller</v>
      </c>
      <c r="N198" t="str">
        <f t="shared" si="14"/>
        <v>Autre filière</v>
      </c>
    </row>
    <row r="199" spans="1:14" x14ac:dyDescent="0.45">
      <c r="A199" t="s">
        <v>363</v>
      </c>
      <c r="B199" t="s">
        <v>364</v>
      </c>
      <c r="E199" t="s">
        <v>42</v>
      </c>
      <c r="F199">
        <v>12.89</v>
      </c>
      <c r="H199">
        <v>8.4600000000000009</v>
      </c>
      <c r="J199">
        <v>0.94599999999999995</v>
      </c>
      <c r="K199" t="str">
        <f t="shared" si="12"/>
        <v>Refusé</v>
      </c>
      <c r="L199" t="str" cm="1">
        <f t="array" ref="L199">_xlfn.IFS(H199&gt;=16,"Excellent",
               H199&gt;=14,"Très bien",
               H199&gt;=12,"Bien",
               H199&gt;=10,"Passable",
               TRUE,"Insuffisant")</f>
        <v>Insuffisant</v>
      </c>
      <c r="M199" t="str">
        <f t="shared" si="13"/>
        <v>A surveiller</v>
      </c>
      <c r="N199" t="str">
        <f t="shared" si="14"/>
        <v>Autre filière</v>
      </c>
    </row>
    <row r="200" spans="1:14" x14ac:dyDescent="0.45">
      <c r="A200" t="s">
        <v>365</v>
      </c>
      <c r="B200" t="s">
        <v>366</v>
      </c>
      <c r="E200" t="s">
        <v>29</v>
      </c>
      <c r="F200">
        <v>9.5399999999999991</v>
      </c>
      <c r="H200">
        <v>10.23</v>
      </c>
      <c r="J200">
        <v>0.93899999999999995</v>
      </c>
      <c r="K200" t="str">
        <f t="shared" si="12"/>
        <v>Refusé</v>
      </c>
      <c r="L200" t="str" cm="1">
        <f t="array" ref="L200">_xlfn.IFS(H200&gt;=16,"Excellent",
               H200&gt;=14,"Très bien",
               H200&gt;=12,"Bien",
               H200&gt;=10,"Passable",
               TRUE,"Insuffisant")</f>
        <v>Passable</v>
      </c>
      <c r="M200" t="str">
        <f t="shared" si="13"/>
        <v>A surveiller</v>
      </c>
      <c r="N200" t="str">
        <f t="shared" si="14"/>
        <v>Autre filière</v>
      </c>
    </row>
    <row r="201" spans="1:14" x14ac:dyDescent="0.45">
      <c r="A201" t="s">
        <v>367</v>
      </c>
      <c r="B201" t="s">
        <v>266</v>
      </c>
      <c r="E201" t="s">
        <v>29</v>
      </c>
      <c r="F201">
        <v>18.77</v>
      </c>
      <c r="H201">
        <v>19.62</v>
      </c>
      <c r="J201">
        <v>0.61180000000000001</v>
      </c>
      <c r="K201" t="str">
        <f t="shared" si="12"/>
        <v>Admis sous condition</v>
      </c>
      <c r="L201" t="str" cm="1">
        <f t="array" ref="L201">_xlfn.IFS(H201&gt;=16,"Excellent",
               H201&gt;=14,"Très bien",
               H201&gt;=12,"Bien",
               H201&gt;=10,"Passable",
               TRUE,"Insuffisant")</f>
        <v>Excellent</v>
      </c>
      <c r="M201" t="str">
        <f t="shared" si="13"/>
        <v>A surveiller</v>
      </c>
      <c r="N201" t="str">
        <f t="shared" si="14"/>
        <v>Autre filière</v>
      </c>
    </row>
    <row r="202" spans="1:14" x14ac:dyDescent="0.45">
      <c r="A202" t="s">
        <v>368</v>
      </c>
      <c r="B202" t="s">
        <v>188</v>
      </c>
      <c r="E202" t="s">
        <v>42</v>
      </c>
      <c r="F202">
        <v>17.12</v>
      </c>
      <c r="H202">
        <v>20</v>
      </c>
      <c r="J202">
        <v>0.67989999999999995</v>
      </c>
      <c r="K202" t="str">
        <f t="shared" si="12"/>
        <v>Admis sous condition</v>
      </c>
      <c r="L202" t="str" cm="1">
        <f t="array" ref="L202">_xlfn.IFS(H202&gt;=16,"Excellent",
               H202&gt;=14,"Très bien",
               H202&gt;=12,"Bien",
               H202&gt;=10,"Passable",
               TRUE,"Insuffisant")</f>
        <v>Excellent</v>
      </c>
      <c r="M202" t="str">
        <f t="shared" si="13"/>
        <v>A surveiller</v>
      </c>
      <c r="N202" t="str">
        <f t="shared" si="14"/>
        <v>Autre filière</v>
      </c>
    </row>
    <row r="203" spans="1:14" x14ac:dyDescent="0.45">
      <c r="A203" t="s">
        <v>369</v>
      </c>
      <c r="B203" t="s">
        <v>370</v>
      </c>
      <c r="E203" t="s">
        <v>42</v>
      </c>
      <c r="F203">
        <v>13.96</v>
      </c>
      <c r="H203">
        <v>14.75</v>
      </c>
      <c r="J203">
        <v>0.74199999999999999</v>
      </c>
      <c r="K203" t="str">
        <f t="shared" si="12"/>
        <v>Admis sous condition</v>
      </c>
      <c r="L203" t="str" cm="1">
        <f t="array" ref="L203">_xlfn.IFS(H203&gt;=16,"Excellent",
               H203&gt;=14,"Très bien",
               H203&gt;=12,"Bien",
               H203&gt;=10,"Passable",
               TRUE,"Insuffisant")</f>
        <v>Très bien</v>
      </c>
      <c r="M203" t="str">
        <f t="shared" si="13"/>
        <v>RAS</v>
      </c>
      <c r="N203" t="str">
        <f t="shared" si="14"/>
        <v>Autre filière</v>
      </c>
    </row>
    <row r="204" spans="1:14" x14ac:dyDescent="0.45">
      <c r="A204" t="s">
        <v>371</v>
      </c>
      <c r="B204" t="s">
        <v>372</v>
      </c>
      <c r="E204" t="s">
        <v>16</v>
      </c>
      <c r="F204">
        <v>10.28</v>
      </c>
      <c r="H204">
        <v>14.76</v>
      </c>
      <c r="J204">
        <v>0.77929999999999999</v>
      </c>
      <c r="K204" t="str">
        <f t="shared" si="12"/>
        <v>Admis sous condition</v>
      </c>
      <c r="L204" t="str" cm="1">
        <f t="array" ref="L204">_xlfn.IFS(H204&gt;=16,"Excellent",
               H204&gt;=14,"Très bien",
               H204&gt;=12,"Bien",
               H204&gt;=10,"Passable",
               TRUE,"Insuffisant")</f>
        <v>Très bien</v>
      </c>
      <c r="M204" t="str">
        <f t="shared" si="13"/>
        <v>RAS</v>
      </c>
      <c r="N204" t="str">
        <f t="shared" si="14"/>
        <v>Data</v>
      </c>
    </row>
    <row r="205" spans="1:14" x14ac:dyDescent="0.45">
      <c r="A205" t="s">
        <v>373</v>
      </c>
      <c r="B205" t="s">
        <v>374</v>
      </c>
      <c r="E205" t="s">
        <v>21</v>
      </c>
      <c r="F205">
        <v>11.07</v>
      </c>
      <c r="H205">
        <v>9.9</v>
      </c>
      <c r="J205">
        <v>0.89129999999999998</v>
      </c>
      <c r="K205" t="str">
        <f t="shared" si="12"/>
        <v>Refusé</v>
      </c>
      <c r="L205" t="str" cm="1">
        <f t="array" ref="L205">_xlfn.IFS(H205&gt;=16,"Excellent",
               H205&gt;=14,"Très bien",
               H205&gt;=12,"Bien",
               H205&gt;=10,"Passable",
               TRUE,"Insuffisant")</f>
        <v>Insuffisant</v>
      </c>
      <c r="M205" t="str">
        <f t="shared" si="13"/>
        <v>A surveiller</v>
      </c>
      <c r="N205" t="str">
        <f t="shared" si="14"/>
        <v>Autre filière</v>
      </c>
    </row>
    <row r="206" spans="1:14" x14ac:dyDescent="0.45">
      <c r="A206" t="s">
        <v>375</v>
      </c>
      <c r="B206" t="s">
        <v>376</v>
      </c>
      <c r="E206" t="s">
        <v>21</v>
      </c>
      <c r="F206">
        <v>9.8000000000000007</v>
      </c>
      <c r="H206">
        <v>7.73</v>
      </c>
      <c r="J206">
        <v>0.57250000000000001</v>
      </c>
      <c r="K206" t="str">
        <f t="shared" si="12"/>
        <v>Refusé</v>
      </c>
      <c r="L206" t="str" cm="1">
        <f t="array" ref="L206">_xlfn.IFS(H206&gt;=16,"Excellent",
               H206&gt;=14,"Très bien",
               H206&gt;=12,"Bien",
               H206&gt;=10,"Passable",
               TRUE,"Insuffisant")</f>
        <v>Insuffisant</v>
      </c>
      <c r="M206" t="str">
        <f t="shared" si="13"/>
        <v>A surveiller</v>
      </c>
      <c r="N206" t="str">
        <f t="shared" si="14"/>
        <v>Autre filière</v>
      </c>
    </row>
    <row r="207" spans="1:14" x14ac:dyDescent="0.45">
      <c r="A207" t="s">
        <v>377</v>
      </c>
      <c r="B207" t="s">
        <v>372</v>
      </c>
      <c r="E207" t="s">
        <v>42</v>
      </c>
      <c r="F207">
        <v>12.98</v>
      </c>
      <c r="H207">
        <v>10.18</v>
      </c>
      <c r="J207">
        <v>0.86299999999999999</v>
      </c>
      <c r="K207" t="str">
        <f t="shared" si="12"/>
        <v>Admis sous condition</v>
      </c>
      <c r="L207" t="str" cm="1">
        <f t="array" ref="L207">_xlfn.IFS(H207&gt;=16,"Excellent",
               H207&gt;=14,"Très bien",
               H207&gt;=12,"Bien",
               H207&gt;=10,"Passable",
               TRUE,"Insuffisant")</f>
        <v>Passable</v>
      </c>
      <c r="M207" t="str">
        <f t="shared" si="13"/>
        <v>RAS</v>
      </c>
      <c r="N207" t="str">
        <f t="shared" si="14"/>
        <v>Autre filière</v>
      </c>
    </row>
    <row r="208" spans="1:14" x14ac:dyDescent="0.45">
      <c r="A208" t="s">
        <v>378</v>
      </c>
      <c r="B208" t="s">
        <v>123</v>
      </c>
      <c r="E208" t="s">
        <v>42</v>
      </c>
      <c r="F208">
        <v>12.93</v>
      </c>
      <c r="H208">
        <v>12.63</v>
      </c>
      <c r="J208">
        <v>0.97829999999999995</v>
      </c>
      <c r="K208" t="str">
        <f t="shared" si="12"/>
        <v>Admis</v>
      </c>
      <c r="L208" t="str" cm="1">
        <f t="array" ref="L208">_xlfn.IFS(H208&gt;=16,"Excellent",
               H208&gt;=14,"Très bien",
               H208&gt;=12,"Bien",
               H208&gt;=10,"Passable",
               TRUE,"Insuffisant")</f>
        <v>Bien</v>
      </c>
      <c r="M208" t="str">
        <f t="shared" si="13"/>
        <v>RAS</v>
      </c>
      <c r="N208" t="str">
        <f t="shared" si="14"/>
        <v>Autre filière</v>
      </c>
    </row>
    <row r="209" spans="1:14" x14ac:dyDescent="0.45">
      <c r="A209" t="s">
        <v>379</v>
      </c>
      <c r="B209" t="s">
        <v>380</v>
      </c>
      <c r="E209" t="s">
        <v>42</v>
      </c>
      <c r="F209">
        <v>12.59</v>
      </c>
      <c r="H209">
        <v>14.54</v>
      </c>
      <c r="J209">
        <v>0.98960000000000004</v>
      </c>
      <c r="K209" t="str">
        <f t="shared" si="12"/>
        <v>Admis</v>
      </c>
      <c r="L209" t="str" cm="1">
        <f t="array" ref="L209">_xlfn.IFS(H209&gt;=16,"Excellent",
               H209&gt;=14,"Très bien",
               H209&gt;=12,"Bien",
               H209&gt;=10,"Passable",
               TRUE,"Insuffisant")</f>
        <v>Très bien</v>
      </c>
      <c r="M209" t="str">
        <f t="shared" si="13"/>
        <v>RAS</v>
      </c>
      <c r="N209" t="str">
        <f t="shared" si="14"/>
        <v>Autre filière</v>
      </c>
    </row>
    <row r="210" spans="1:14" x14ac:dyDescent="0.45">
      <c r="A210" t="s">
        <v>381</v>
      </c>
      <c r="B210" t="s">
        <v>382</v>
      </c>
      <c r="E210" t="s">
        <v>29</v>
      </c>
      <c r="F210">
        <v>8.5500000000000007</v>
      </c>
      <c r="H210">
        <v>12.05</v>
      </c>
      <c r="J210">
        <v>0.90839999999999999</v>
      </c>
      <c r="K210" t="str">
        <f t="shared" si="12"/>
        <v>Refusé</v>
      </c>
      <c r="L210" t="str" cm="1">
        <f t="array" ref="L210">_xlfn.IFS(H210&gt;=16,"Excellent",
               H210&gt;=14,"Très bien",
               H210&gt;=12,"Bien",
               H210&gt;=10,"Passable",
               TRUE,"Insuffisant")</f>
        <v>Bien</v>
      </c>
      <c r="M210" t="str">
        <f t="shared" si="13"/>
        <v>A surveiller</v>
      </c>
      <c r="N210" t="str">
        <f t="shared" si="14"/>
        <v>Autre filière</v>
      </c>
    </row>
    <row r="211" spans="1:14" x14ac:dyDescent="0.45">
      <c r="A211" t="s">
        <v>383</v>
      </c>
      <c r="B211" t="s">
        <v>31</v>
      </c>
      <c r="E211" t="s">
        <v>29</v>
      </c>
      <c r="F211">
        <v>9.2200000000000006</v>
      </c>
      <c r="H211">
        <v>11.1</v>
      </c>
      <c r="J211">
        <v>0.64800000000000002</v>
      </c>
      <c r="K211" t="str">
        <f t="shared" si="12"/>
        <v>Refusé</v>
      </c>
      <c r="L211" t="str" cm="1">
        <f t="array" ref="L211">_xlfn.IFS(H211&gt;=16,"Excellent",
               H211&gt;=14,"Très bien",
               H211&gt;=12,"Bien",
               H211&gt;=10,"Passable",
               TRUE,"Insuffisant")</f>
        <v>Passable</v>
      </c>
      <c r="M211" t="str">
        <f t="shared" si="13"/>
        <v>A surveiller</v>
      </c>
      <c r="N211" t="str">
        <f t="shared" si="14"/>
        <v>Autre filière</v>
      </c>
    </row>
    <row r="212" spans="1:14" x14ac:dyDescent="0.45">
      <c r="A212" t="s">
        <v>384</v>
      </c>
      <c r="B212" t="s">
        <v>155</v>
      </c>
      <c r="E212" t="s">
        <v>29</v>
      </c>
      <c r="F212">
        <v>16.149999999999999</v>
      </c>
      <c r="H212">
        <v>13.8</v>
      </c>
      <c r="J212">
        <v>0.79520000000000002</v>
      </c>
      <c r="K212" t="str">
        <f t="shared" si="12"/>
        <v>Admis sous condition</v>
      </c>
      <c r="L212" t="str" cm="1">
        <f t="array" ref="L212">_xlfn.IFS(H212&gt;=16,"Excellent",
               H212&gt;=14,"Très bien",
               H212&gt;=12,"Bien",
               H212&gt;=10,"Passable",
               TRUE,"Insuffisant")</f>
        <v>Bien</v>
      </c>
      <c r="M212" t="str">
        <f t="shared" si="13"/>
        <v>RAS</v>
      </c>
      <c r="N212" t="str">
        <f t="shared" si="14"/>
        <v>Autre filière</v>
      </c>
    </row>
    <row r="213" spans="1:14" x14ac:dyDescent="0.45">
      <c r="A213" t="s">
        <v>385</v>
      </c>
      <c r="B213" t="s">
        <v>386</v>
      </c>
      <c r="E213" t="s">
        <v>16</v>
      </c>
      <c r="F213">
        <v>12.84</v>
      </c>
      <c r="H213">
        <v>15.1</v>
      </c>
      <c r="J213">
        <v>0.76449999999999996</v>
      </c>
      <c r="K213" t="str">
        <f t="shared" si="12"/>
        <v>Admis sous condition</v>
      </c>
      <c r="L213" t="str" cm="1">
        <f t="array" ref="L213">_xlfn.IFS(H213&gt;=16,"Excellent",
               H213&gt;=14,"Très bien",
               H213&gt;=12,"Bien",
               H213&gt;=10,"Passable",
               TRUE,"Insuffisant")</f>
        <v>Très bien</v>
      </c>
      <c r="M213" t="str">
        <f t="shared" si="13"/>
        <v>RAS</v>
      </c>
      <c r="N213" t="str">
        <f t="shared" si="14"/>
        <v>Data</v>
      </c>
    </row>
    <row r="214" spans="1:14" x14ac:dyDescent="0.45">
      <c r="A214" t="s">
        <v>387</v>
      </c>
      <c r="B214" t="s">
        <v>107</v>
      </c>
      <c r="E214" t="s">
        <v>21</v>
      </c>
      <c r="F214">
        <v>15.44</v>
      </c>
      <c r="H214">
        <v>16.829999999999998</v>
      </c>
      <c r="J214">
        <v>0.84589999999999999</v>
      </c>
      <c r="K214" t="str">
        <f t="shared" si="12"/>
        <v>Admis</v>
      </c>
      <c r="L214" t="str" cm="1">
        <f t="array" ref="L214">_xlfn.IFS(H214&gt;=16,"Excellent",
               H214&gt;=14,"Très bien",
               H214&gt;=12,"Bien",
               H214&gt;=10,"Passable",
               TRUE,"Insuffisant")</f>
        <v>Excellent</v>
      </c>
      <c r="M214" t="str">
        <f t="shared" si="13"/>
        <v>RAS</v>
      </c>
      <c r="N214" t="str">
        <f t="shared" si="14"/>
        <v>Autre filière</v>
      </c>
    </row>
    <row r="215" spans="1:14" x14ac:dyDescent="0.45">
      <c r="A215" t="s">
        <v>388</v>
      </c>
      <c r="B215" t="s">
        <v>13</v>
      </c>
      <c r="E215" t="s">
        <v>29</v>
      </c>
      <c r="F215">
        <v>9.65</v>
      </c>
      <c r="H215">
        <v>6.77</v>
      </c>
      <c r="J215">
        <v>0.97270000000000001</v>
      </c>
      <c r="K215" t="str">
        <f t="shared" ref="K215:K278" si="15">IF(AND(F215&gt;=12,H215&gt;=12,J215&gt;=0.8),"Admis",
   IF(AND(F215&gt;=10,H215&gt;=10),"Admis sous condition","Refusé"))</f>
        <v>Refusé</v>
      </c>
      <c r="L215" t="str" cm="1">
        <f t="array" ref="L215">_xlfn.IFS(H215&gt;=16,"Excellent",
               H215&gt;=14,"Très bien",
               H215&gt;=12,"Bien",
               H215&gt;=10,"Passable",
               TRUE,"Insuffisant")</f>
        <v>Insuffisant</v>
      </c>
      <c r="M215" t="str">
        <f t="shared" ref="M215:M278" si="16">IF(OR(F215&lt;10,H215&lt;10,J215&lt;0.7),"A surveiller","RAS")</f>
        <v>A surveiller</v>
      </c>
      <c r="N215" t="str">
        <f t="shared" ref="N215:N278" si="17">IF(NOT(E215="Data"),"Autre filière","Data")</f>
        <v>Autre filière</v>
      </c>
    </row>
    <row r="216" spans="1:14" x14ac:dyDescent="0.45">
      <c r="A216" t="s">
        <v>389</v>
      </c>
      <c r="B216" t="s">
        <v>75</v>
      </c>
      <c r="E216" t="s">
        <v>29</v>
      </c>
      <c r="F216">
        <v>13.58</v>
      </c>
      <c r="H216">
        <v>17.71</v>
      </c>
      <c r="J216">
        <v>0.89070000000000005</v>
      </c>
      <c r="K216" t="str">
        <f t="shared" si="15"/>
        <v>Admis</v>
      </c>
      <c r="L216" t="str" cm="1">
        <f t="array" ref="L216">_xlfn.IFS(H216&gt;=16,"Excellent",
               H216&gt;=14,"Très bien",
               H216&gt;=12,"Bien",
               H216&gt;=10,"Passable",
               TRUE,"Insuffisant")</f>
        <v>Excellent</v>
      </c>
      <c r="M216" t="str">
        <f t="shared" si="16"/>
        <v>RAS</v>
      </c>
      <c r="N216" t="str">
        <f t="shared" si="17"/>
        <v>Autre filière</v>
      </c>
    </row>
    <row r="217" spans="1:14" x14ac:dyDescent="0.45">
      <c r="A217" t="s">
        <v>390</v>
      </c>
      <c r="B217" t="s">
        <v>86</v>
      </c>
      <c r="E217" t="s">
        <v>21</v>
      </c>
      <c r="F217">
        <v>9.92</v>
      </c>
      <c r="H217">
        <v>11.41</v>
      </c>
      <c r="J217">
        <v>0.79590000000000005</v>
      </c>
      <c r="K217" t="str">
        <f t="shared" si="15"/>
        <v>Refusé</v>
      </c>
      <c r="L217" t="str" cm="1">
        <f t="array" ref="L217">_xlfn.IFS(H217&gt;=16,"Excellent",
               H217&gt;=14,"Très bien",
               H217&gt;=12,"Bien",
               H217&gt;=10,"Passable",
               TRUE,"Insuffisant")</f>
        <v>Passable</v>
      </c>
      <c r="M217" t="str">
        <f t="shared" si="16"/>
        <v>A surveiller</v>
      </c>
      <c r="N217" t="str">
        <f t="shared" si="17"/>
        <v>Autre filière</v>
      </c>
    </row>
    <row r="218" spans="1:14" x14ac:dyDescent="0.45">
      <c r="A218" t="s">
        <v>391</v>
      </c>
      <c r="B218" t="s">
        <v>127</v>
      </c>
      <c r="E218" t="s">
        <v>42</v>
      </c>
      <c r="F218">
        <v>18.309999999999999</v>
      </c>
      <c r="H218">
        <v>13.14</v>
      </c>
      <c r="J218">
        <v>0.55000000000000004</v>
      </c>
      <c r="K218" t="str">
        <f t="shared" si="15"/>
        <v>Admis sous condition</v>
      </c>
      <c r="L218" t="str" cm="1">
        <f t="array" ref="L218">_xlfn.IFS(H218&gt;=16,"Excellent",
               H218&gt;=14,"Très bien",
               H218&gt;=12,"Bien",
               H218&gt;=10,"Passable",
               TRUE,"Insuffisant")</f>
        <v>Bien</v>
      </c>
      <c r="M218" t="str">
        <f t="shared" si="16"/>
        <v>A surveiller</v>
      </c>
      <c r="N218" t="str">
        <f t="shared" si="17"/>
        <v>Autre filière</v>
      </c>
    </row>
    <row r="219" spans="1:14" x14ac:dyDescent="0.45">
      <c r="A219" t="s">
        <v>392</v>
      </c>
      <c r="B219" t="s">
        <v>268</v>
      </c>
      <c r="E219" t="s">
        <v>42</v>
      </c>
      <c r="F219">
        <v>13.91</v>
      </c>
      <c r="H219">
        <v>9.08</v>
      </c>
      <c r="J219">
        <v>0.92500000000000004</v>
      </c>
      <c r="K219" t="str">
        <f t="shared" si="15"/>
        <v>Refusé</v>
      </c>
      <c r="L219" t="str" cm="1">
        <f t="array" ref="L219">_xlfn.IFS(H219&gt;=16,"Excellent",
               H219&gt;=14,"Très bien",
               H219&gt;=12,"Bien",
               H219&gt;=10,"Passable",
               TRUE,"Insuffisant")</f>
        <v>Insuffisant</v>
      </c>
      <c r="M219" t="str">
        <f t="shared" si="16"/>
        <v>A surveiller</v>
      </c>
      <c r="N219" t="str">
        <f t="shared" si="17"/>
        <v>Autre filière</v>
      </c>
    </row>
    <row r="220" spans="1:14" x14ac:dyDescent="0.45">
      <c r="A220" t="s">
        <v>393</v>
      </c>
      <c r="B220" t="s">
        <v>366</v>
      </c>
      <c r="E220" t="s">
        <v>16</v>
      </c>
      <c r="F220">
        <v>7.43</v>
      </c>
      <c r="H220">
        <v>9.5500000000000007</v>
      </c>
      <c r="J220">
        <v>0.86780000000000002</v>
      </c>
      <c r="K220" t="str">
        <f t="shared" si="15"/>
        <v>Refusé</v>
      </c>
      <c r="L220" t="str" cm="1">
        <f t="array" ref="L220">_xlfn.IFS(H220&gt;=16,"Excellent",
               H220&gt;=14,"Très bien",
               H220&gt;=12,"Bien",
               H220&gt;=10,"Passable",
               TRUE,"Insuffisant")</f>
        <v>Insuffisant</v>
      </c>
      <c r="M220" t="str">
        <f t="shared" si="16"/>
        <v>A surveiller</v>
      </c>
      <c r="N220" t="str">
        <f t="shared" si="17"/>
        <v>Data</v>
      </c>
    </row>
    <row r="221" spans="1:14" x14ac:dyDescent="0.45">
      <c r="A221" t="s">
        <v>394</v>
      </c>
      <c r="B221" t="s">
        <v>167</v>
      </c>
      <c r="E221" t="s">
        <v>29</v>
      </c>
      <c r="F221">
        <v>13.29</v>
      </c>
      <c r="H221">
        <v>16</v>
      </c>
      <c r="J221">
        <v>0.7833</v>
      </c>
      <c r="K221" t="str">
        <f t="shared" si="15"/>
        <v>Admis sous condition</v>
      </c>
      <c r="L221" t="str" cm="1">
        <f t="array" ref="L221">_xlfn.IFS(H221&gt;=16,"Excellent",
               H221&gt;=14,"Très bien",
               H221&gt;=12,"Bien",
               H221&gt;=10,"Passable",
               TRUE,"Insuffisant")</f>
        <v>Excellent</v>
      </c>
      <c r="M221" t="str">
        <f t="shared" si="16"/>
        <v>RAS</v>
      </c>
      <c r="N221" t="str">
        <f t="shared" si="17"/>
        <v>Autre filière</v>
      </c>
    </row>
    <row r="222" spans="1:14" x14ac:dyDescent="0.45">
      <c r="A222" t="s">
        <v>395</v>
      </c>
      <c r="B222" t="s">
        <v>325</v>
      </c>
      <c r="E222" t="s">
        <v>42</v>
      </c>
      <c r="F222">
        <v>14.2</v>
      </c>
      <c r="H222">
        <v>18.41</v>
      </c>
      <c r="J222">
        <v>0.71450000000000002</v>
      </c>
      <c r="K222" t="str">
        <f t="shared" si="15"/>
        <v>Admis sous condition</v>
      </c>
      <c r="L222" t="str" cm="1">
        <f t="array" ref="L222">_xlfn.IFS(H222&gt;=16,"Excellent",
               H222&gt;=14,"Très bien",
               H222&gt;=12,"Bien",
               H222&gt;=10,"Passable",
               TRUE,"Insuffisant")</f>
        <v>Excellent</v>
      </c>
      <c r="M222" t="str">
        <f t="shared" si="16"/>
        <v>RAS</v>
      </c>
      <c r="N222" t="str">
        <f t="shared" si="17"/>
        <v>Autre filière</v>
      </c>
    </row>
    <row r="223" spans="1:14" x14ac:dyDescent="0.45">
      <c r="A223" t="s">
        <v>396</v>
      </c>
      <c r="B223" t="s">
        <v>196</v>
      </c>
      <c r="E223" t="s">
        <v>29</v>
      </c>
      <c r="F223">
        <v>20</v>
      </c>
      <c r="H223">
        <v>16.2</v>
      </c>
      <c r="J223">
        <v>0.59699999999999998</v>
      </c>
      <c r="K223" t="str">
        <f t="shared" si="15"/>
        <v>Admis sous condition</v>
      </c>
      <c r="L223" t="str" cm="1">
        <f t="array" ref="L223">_xlfn.IFS(H223&gt;=16,"Excellent",
               H223&gt;=14,"Très bien",
               H223&gt;=12,"Bien",
               H223&gt;=10,"Passable",
               TRUE,"Insuffisant")</f>
        <v>Excellent</v>
      </c>
      <c r="M223" t="str">
        <f t="shared" si="16"/>
        <v>A surveiller</v>
      </c>
      <c r="N223" t="str">
        <f t="shared" si="17"/>
        <v>Autre filière</v>
      </c>
    </row>
    <row r="224" spans="1:14" x14ac:dyDescent="0.45">
      <c r="A224" t="s">
        <v>397</v>
      </c>
      <c r="B224" t="s">
        <v>398</v>
      </c>
      <c r="E224" t="s">
        <v>16</v>
      </c>
      <c r="F224">
        <v>13.73</v>
      </c>
      <c r="H224">
        <v>17.62</v>
      </c>
      <c r="J224">
        <v>0.76500000000000001</v>
      </c>
      <c r="K224" t="str">
        <f t="shared" si="15"/>
        <v>Admis sous condition</v>
      </c>
      <c r="L224" t="str" cm="1">
        <f t="array" ref="L224">_xlfn.IFS(H224&gt;=16,"Excellent",
               H224&gt;=14,"Très bien",
               H224&gt;=12,"Bien",
               H224&gt;=10,"Passable",
               TRUE,"Insuffisant")</f>
        <v>Excellent</v>
      </c>
      <c r="M224" t="str">
        <f t="shared" si="16"/>
        <v>RAS</v>
      </c>
      <c r="N224" t="str">
        <f t="shared" si="17"/>
        <v>Data</v>
      </c>
    </row>
    <row r="225" spans="1:14" x14ac:dyDescent="0.45">
      <c r="A225" t="s">
        <v>399</v>
      </c>
      <c r="B225" t="s">
        <v>400</v>
      </c>
      <c r="E225" t="s">
        <v>21</v>
      </c>
      <c r="F225">
        <v>16.95</v>
      </c>
      <c r="H225">
        <v>17.89</v>
      </c>
      <c r="J225">
        <v>0.86499999999999999</v>
      </c>
      <c r="K225" t="str">
        <f t="shared" si="15"/>
        <v>Admis</v>
      </c>
      <c r="L225" t="str" cm="1">
        <f t="array" ref="L225">_xlfn.IFS(H225&gt;=16,"Excellent",
               H225&gt;=14,"Très bien",
               H225&gt;=12,"Bien",
               H225&gt;=10,"Passable",
               TRUE,"Insuffisant")</f>
        <v>Excellent</v>
      </c>
      <c r="M225" t="str">
        <f t="shared" si="16"/>
        <v>RAS</v>
      </c>
      <c r="N225" t="str">
        <f t="shared" si="17"/>
        <v>Autre filière</v>
      </c>
    </row>
    <row r="226" spans="1:14" x14ac:dyDescent="0.45">
      <c r="A226" t="s">
        <v>401</v>
      </c>
      <c r="B226" t="s">
        <v>402</v>
      </c>
      <c r="E226" t="s">
        <v>29</v>
      </c>
      <c r="F226">
        <v>19.45</v>
      </c>
      <c r="H226">
        <v>18.62</v>
      </c>
      <c r="J226">
        <v>0.94030000000000002</v>
      </c>
      <c r="K226" t="str">
        <f t="shared" si="15"/>
        <v>Admis</v>
      </c>
      <c r="L226" t="str" cm="1">
        <f t="array" ref="L226">_xlfn.IFS(H226&gt;=16,"Excellent",
               H226&gt;=14,"Très bien",
               H226&gt;=12,"Bien",
               H226&gt;=10,"Passable",
               TRUE,"Insuffisant")</f>
        <v>Excellent</v>
      </c>
      <c r="M226" t="str">
        <f t="shared" si="16"/>
        <v>RAS</v>
      </c>
      <c r="N226" t="str">
        <f t="shared" si="17"/>
        <v>Autre filière</v>
      </c>
    </row>
    <row r="227" spans="1:14" x14ac:dyDescent="0.45">
      <c r="A227" t="s">
        <v>403</v>
      </c>
      <c r="B227" t="s">
        <v>404</v>
      </c>
      <c r="E227" t="s">
        <v>42</v>
      </c>
      <c r="F227">
        <v>8.73</v>
      </c>
      <c r="H227">
        <v>11.99</v>
      </c>
      <c r="J227">
        <v>0.67549999999999999</v>
      </c>
      <c r="K227" t="str">
        <f t="shared" si="15"/>
        <v>Refusé</v>
      </c>
      <c r="L227" t="str" cm="1">
        <f t="array" ref="L227">_xlfn.IFS(H227&gt;=16,"Excellent",
               H227&gt;=14,"Très bien",
               H227&gt;=12,"Bien",
               H227&gt;=10,"Passable",
               TRUE,"Insuffisant")</f>
        <v>Passable</v>
      </c>
      <c r="M227" t="str">
        <f t="shared" si="16"/>
        <v>A surveiller</v>
      </c>
      <c r="N227" t="str">
        <f t="shared" si="17"/>
        <v>Autre filière</v>
      </c>
    </row>
    <row r="228" spans="1:14" x14ac:dyDescent="0.45">
      <c r="A228" t="s">
        <v>405</v>
      </c>
      <c r="B228" t="s">
        <v>406</v>
      </c>
      <c r="E228" t="s">
        <v>29</v>
      </c>
      <c r="F228">
        <v>15.81</v>
      </c>
      <c r="H228">
        <v>14.67</v>
      </c>
      <c r="J228">
        <v>0.9395</v>
      </c>
      <c r="K228" t="str">
        <f t="shared" si="15"/>
        <v>Admis</v>
      </c>
      <c r="L228" t="str" cm="1">
        <f t="array" ref="L228">_xlfn.IFS(H228&gt;=16,"Excellent",
               H228&gt;=14,"Très bien",
               H228&gt;=12,"Bien",
               H228&gt;=10,"Passable",
               TRUE,"Insuffisant")</f>
        <v>Très bien</v>
      </c>
      <c r="M228" t="str">
        <f t="shared" si="16"/>
        <v>RAS</v>
      </c>
      <c r="N228" t="str">
        <f t="shared" si="17"/>
        <v>Autre filière</v>
      </c>
    </row>
    <row r="229" spans="1:14" x14ac:dyDescent="0.45">
      <c r="A229" t="s">
        <v>407</v>
      </c>
      <c r="B229" t="s">
        <v>223</v>
      </c>
      <c r="E229" t="s">
        <v>42</v>
      </c>
      <c r="F229">
        <v>20</v>
      </c>
      <c r="H229">
        <v>17.62</v>
      </c>
      <c r="J229">
        <v>0.79869999999999997</v>
      </c>
      <c r="K229" t="str">
        <f t="shared" si="15"/>
        <v>Admis sous condition</v>
      </c>
      <c r="L229" t="str" cm="1">
        <f t="array" ref="L229">_xlfn.IFS(H229&gt;=16,"Excellent",
               H229&gt;=14,"Très bien",
               H229&gt;=12,"Bien",
               H229&gt;=10,"Passable",
               TRUE,"Insuffisant")</f>
        <v>Excellent</v>
      </c>
      <c r="M229" t="str">
        <f t="shared" si="16"/>
        <v>RAS</v>
      </c>
      <c r="N229" t="str">
        <f t="shared" si="17"/>
        <v>Autre filière</v>
      </c>
    </row>
    <row r="230" spans="1:14" x14ac:dyDescent="0.45">
      <c r="A230" t="s">
        <v>408</v>
      </c>
      <c r="B230" t="s">
        <v>409</v>
      </c>
      <c r="E230" t="s">
        <v>21</v>
      </c>
      <c r="F230">
        <v>18.73</v>
      </c>
      <c r="H230">
        <v>14.66</v>
      </c>
      <c r="J230">
        <v>0.64900000000000002</v>
      </c>
      <c r="K230" t="str">
        <f t="shared" si="15"/>
        <v>Admis sous condition</v>
      </c>
      <c r="L230" t="str" cm="1">
        <f t="array" ref="L230">_xlfn.IFS(H230&gt;=16,"Excellent",
               H230&gt;=14,"Très bien",
               H230&gt;=12,"Bien",
               H230&gt;=10,"Passable",
               TRUE,"Insuffisant")</f>
        <v>Très bien</v>
      </c>
      <c r="M230" t="str">
        <f t="shared" si="16"/>
        <v>A surveiller</v>
      </c>
      <c r="N230" t="str">
        <f t="shared" si="17"/>
        <v>Autre filière</v>
      </c>
    </row>
    <row r="231" spans="1:14" x14ac:dyDescent="0.45">
      <c r="A231" t="s">
        <v>410</v>
      </c>
      <c r="B231" t="s">
        <v>411</v>
      </c>
      <c r="E231" t="s">
        <v>21</v>
      </c>
      <c r="F231">
        <v>6.25</v>
      </c>
      <c r="H231">
        <v>13.09</v>
      </c>
      <c r="J231">
        <v>0.79449999999999998</v>
      </c>
      <c r="K231" t="str">
        <f t="shared" si="15"/>
        <v>Refusé</v>
      </c>
      <c r="L231" t="str" cm="1">
        <f t="array" ref="L231">_xlfn.IFS(H231&gt;=16,"Excellent",
               H231&gt;=14,"Très bien",
               H231&gt;=12,"Bien",
               H231&gt;=10,"Passable",
               TRUE,"Insuffisant")</f>
        <v>Bien</v>
      </c>
      <c r="M231" t="str">
        <f t="shared" si="16"/>
        <v>A surveiller</v>
      </c>
      <c r="N231" t="str">
        <f t="shared" si="17"/>
        <v>Autre filière</v>
      </c>
    </row>
    <row r="232" spans="1:14" x14ac:dyDescent="0.45">
      <c r="A232" t="s">
        <v>412</v>
      </c>
      <c r="B232" t="s">
        <v>34</v>
      </c>
      <c r="E232" t="s">
        <v>16</v>
      </c>
      <c r="F232">
        <v>10.029999999999999</v>
      </c>
      <c r="H232">
        <v>9.69</v>
      </c>
      <c r="J232">
        <v>0.94510000000000005</v>
      </c>
      <c r="K232" t="str">
        <f t="shared" si="15"/>
        <v>Refusé</v>
      </c>
      <c r="L232" t="str" cm="1">
        <f t="array" ref="L232">_xlfn.IFS(H232&gt;=16,"Excellent",
               H232&gt;=14,"Très bien",
               H232&gt;=12,"Bien",
               H232&gt;=10,"Passable",
               TRUE,"Insuffisant")</f>
        <v>Insuffisant</v>
      </c>
      <c r="M232" t="str">
        <f t="shared" si="16"/>
        <v>A surveiller</v>
      </c>
      <c r="N232" t="str">
        <f t="shared" si="17"/>
        <v>Data</v>
      </c>
    </row>
    <row r="233" spans="1:14" x14ac:dyDescent="0.45">
      <c r="A233" t="s">
        <v>413</v>
      </c>
      <c r="B233" t="s">
        <v>414</v>
      </c>
      <c r="E233" t="s">
        <v>42</v>
      </c>
      <c r="F233">
        <v>20</v>
      </c>
      <c r="H233">
        <v>16.09</v>
      </c>
      <c r="J233">
        <v>0.75680000000000003</v>
      </c>
      <c r="K233" t="str">
        <f t="shared" si="15"/>
        <v>Admis sous condition</v>
      </c>
      <c r="L233" t="str" cm="1">
        <f t="array" ref="L233">_xlfn.IFS(H233&gt;=16,"Excellent",
               H233&gt;=14,"Très bien",
               H233&gt;=12,"Bien",
               H233&gt;=10,"Passable",
               TRUE,"Insuffisant")</f>
        <v>Excellent</v>
      </c>
      <c r="M233" t="str">
        <f t="shared" si="16"/>
        <v>RAS</v>
      </c>
      <c r="N233" t="str">
        <f t="shared" si="17"/>
        <v>Autre filière</v>
      </c>
    </row>
    <row r="234" spans="1:14" x14ac:dyDescent="0.45">
      <c r="A234" t="s">
        <v>415</v>
      </c>
      <c r="B234" t="s">
        <v>129</v>
      </c>
      <c r="E234" t="s">
        <v>21</v>
      </c>
      <c r="F234">
        <v>11.36</v>
      </c>
      <c r="H234">
        <v>8.14</v>
      </c>
      <c r="J234">
        <v>0.55000000000000004</v>
      </c>
      <c r="K234" t="str">
        <f t="shared" si="15"/>
        <v>Refusé</v>
      </c>
      <c r="L234" t="str" cm="1">
        <f t="array" ref="L234">_xlfn.IFS(H234&gt;=16,"Excellent",
               H234&gt;=14,"Très bien",
               H234&gt;=12,"Bien",
               H234&gt;=10,"Passable",
               TRUE,"Insuffisant")</f>
        <v>Insuffisant</v>
      </c>
      <c r="M234" t="str">
        <f t="shared" si="16"/>
        <v>A surveiller</v>
      </c>
      <c r="N234" t="str">
        <f t="shared" si="17"/>
        <v>Autre filière</v>
      </c>
    </row>
    <row r="235" spans="1:14" x14ac:dyDescent="0.45">
      <c r="A235" t="s">
        <v>416</v>
      </c>
      <c r="B235" t="s">
        <v>417</v>
      </c>
      <c r="E235" t="s">
        <v>42</v>
      </c>
      <c r="F235">
        <v>7.95</v>
      </c>
      <c r="H235">
        <v>9.5500000000000007</v>
      </c>
      <c r="J235">
        <v>0.90759999999999996</v>
      </c>
      <c r="K235" t="str">
        <f t="shared" si="15"/>
        <v>Refusé</v>
      </c>
      <c r="L235" t="str" cm="1">
        <f t="array" ref="L235">_xlfn.IFS(H235&gt;=16,"Excellent",
               H235&gt;=14,"Très bien",
               H235&gt;=12,"Bien",
               H235&gt;=10,"Passable",
               TRUE,"Insuffisant")</f>
        <v>Insuffisant</v>
      </c>
      <c r="M235" t="str">
        <f t="shared" si="16"/>
        <v>A surveiller</v>
      </c>
      <c r="N235" t="str">
        <f t="shared" si="17"/>
        <v>Autre filière</v>
      </c>
    </row>
    <row r="236" spans="1:14" x14ac:dyDescent="0.45">
      <c r="A236" t="s">
        <v>418</v>
      </c>
      <c r="B236" t="s">
        <v>419</v>
      </c>
      <c r="E236" t="s">
        <v>16</v>
      </c>
      <c r="F236">
        <v>10.63</v>
      </c>
      <c r="H236">
        <v>16.22</v>
      </c>
      <c r="J236">
        <v>0.59889999999999999</v>
      </c>
      <c r="K236" t="str">
        <f t="shared" si="15"/>
        <v>Admis sous condition</v>
      </c>
      <c r="L236" t="str" cm="1">
        <f t="array" ref="L236">_xlfn.IFS(H236&gt;=16,"Excellent",
               H236&gt;=14,"Très bien",
               H236&gt;=12,"Bien",
               H236&gt;=10,"Passable",
               TRUE,"Insuffisant")</f>
        <v>Excellent</v>
      </c>
      <c r="M236" t="str">
        <f t="shared" si="16"/>
        <v>A surveiller</v>
      </c>
      <c r="N236" t="str">
        <f t="shared" si="17"/>
        <v>Data</v>
      </c>
    </row>
    <row r="237" spans="1:14" x14ac:dyDescent="0.45">
      <c r="A237" t="s">
        <v>420</v>
      </c>
      <c r="B237" t="s">
        <v>295</v>
      </c>
      <c r="E237" t="s">
        <v>16</v>
      </c>
      <c r="F237">
        <v>13.45</v>
      </c>
      <c r="H237">
        <v>19.48</v>
      </c>
      <c r="J237">
        <v>0.69740000000000002</v>
      </c>
      <c r="K237" t="str">
        <f t="shared" si="15"/>
        <v>Admis sous condition</v>
      </c>
      <c r="L237" t="str" cm="1">
        <f t="array" ref="L237">_xlfn.IFS(H237&gt;=16,"Excellent",
               H237&gt;=14,"Très bien",
               H237&gt;=12,"Bien",
               H237&gt;=10,"Passable",
               TRUE,"Insuffisant")</f>
        <v>Excellent</v>
      </c>
      <c r="M237" t="str">
        <f t="shared" si="16"/>
        <v>A surveiller</v>
      </c>
      <c r="N237" t="str">
        <f t="shared" si="17"/>
        <v>Data</v>
      </c>
    </row>
    <row r="238" spans="1:14" x14ac:dyDescent="0.45">
      <c r="A238" t="s">
        <v>421</v>
      </c>
      <c r="B238" t="s">
        <v>422</v>
      </c>
      <c r="E238" t="s">
        <v>16</v>
      </c>
      <c r="F238">
        <v>14.01</v>
      </c>
      <c r="H238">
        <v>9.76</v>
      </c>
      <c r="J238">
        <v>0.77359999999999995</v>
      </c>
      <c r="K238" t="str">
        <f t="shared" si="15"/>
        <v>Refusé</v>
      </c>
      <c r="L238" t="str" cm="1">
        <f t="array" ref="L238">_xlfn.IFS(H238&gt;=16,"Excellent",
               H238&gt;=14,"Très bien",
               H238&gt;=12,"Bien",
               H238&gt;=10,"Passable",
               TRUE,"Insuffisant")</f>
        <v>Insuffisant</v>
      </c>
      <c r="M238" t="str">
        <f t="shared" si="16"/>
        <v>A surveiller</v>
      </c>
      <c r="N238" t="str">
        <f t="shared" si="17"/>
        <v>Data</v>
      </c>
    </row>
    <row r="239" spans="1:14" x14ac:dyDescent="0.45">
      <c r="A239" t="s">
        <v>423</v>
      </c>
      <c r="B239" t="s">
        <v>348</v>
      </c>
      <c r="E239" t="s">
        <v>16</v>
      </c>
      <c r="F239">
        <v>14.62</v>
      </c>
      <c r="H239">
        <v>11.1</v>
      </c>
      <c r="J239">
        <v>0.91810000000000003</v>
      </c>
      <c r="K239" t="str">
        <f t="shared" si="15"/>
        <v>Admis sous condition</v>
      </c>
      <c r="L239" t="str" cm="1">
        <f t="array" ref="L239">_xlfn.IFS(H239&gt;=16,"Excellent",
               H239&gt;=14,"Très bien",
               H239&gt;=12,"Bien",
               H239&gt;=10,"Passable",
               TRUE,"Insuffisant")</f>
        <v>Passable</v>
      </c>
      <c r="M239" t="str">
        <f t="shared" si="16"/>
        <v>RAS</v>
      </c>
      <c r="N239" t="str">
        <f t="shared" si="17"/>
        <v>Data</v>
      </c>
    </row>
    <row r="240" spans="1:14" x14ac:dyDescent="0.45">
      <c r="A240" t="s">
        <v>424</v>
      </c>
      <c r="B240" t="s">
        <v>425</v>
      </c>
      <c r="E240" t="s">
        <v>21</v>
      </c>
      <c r="F240">
        <v>13.93</v>
      </c>
      <c r="H240">
        <v>9.5399999999999991</v>
      </c>
      <c r="J240">
        <v>0.8478</v>
      </c>
      <c r="K240" t="str">
        <f t="shared" si="15"/>
        <v>Refusé</v>
      </c>
      <c r="L240" t="str" cm="1">
        <f t="array" ref="L240">_xlfn.IFS(H240&gt;=16,"Excellent",
               H240&gt;=14,"Très bien",
               H240&gt;=12,"Bien",
               H240&gt;=10,"Passable",
               TRUE,"Insuffisant")</f>
        <v>Insuffisant</v>
      </c>
      <c r="M240" t="str">
        <f t="shared" si="16"/>
        <v>A surveiller</v>
      </c>
      <c r="N240" t="str">
        <f t="shared" si="17"/>
        <v>Autre filière</v>
      </c>
    </row>
    <row r="241" spans="1:14" x14ac:dyDescent="0.45">
      <c r="A241" t="s">
        <v>426</v>
      </c>
      <c r="B241" t="s">
        <v>427</v>
      </c>
      <c r="E241" t="s">
        <v>21</v>
      </c>
      <c r="F241">
        <v>12.51</v>
      </c>
      <c r="H241">
        <v>13.88</v>
      </c>
      <c r="J241">
        <v>0.93389999999999995</v>
      </c>
      <c r="K241" t="str">
        <f t="shared" si="15"/>
        <v>Admis</v>
      </c>
      <c r="L241" t="str" cm="1">
        <f t="array" ref="L241">_xlfn.IFS(H241&gt;=16,"Excellent",
               H241&gt;=14,"Très bien",
               H241&gt;=12,"Bien",
               H241&gt;=10,"Passable",
               TRUE,"Insuffisant")</f>
        <v>Bien</v>
      </c>
      <c r="M241" t="str">
        <f t="shared" si="16"/>
        <v>RAS</v>
      </c>
      <c r="N241" t="str">
        <f t="shared" si="17"/>
        <v>Autre filière</v>
      </c>
    </row>
    <row r="242" spans="1:14" x14ac:dyDescent="0.45">
      <c r="A242" t="s">
        <v>428</v>
      </c>
      <c r="B242" t="s">
        <v>279</v>
      </c>
      <c r="E242" t="s">
        <v>42</v>
      </c>
      <c r="F242">
        <v>8.11</v>
      </c>
      <c r="H242">
        <v>11.87</v>
      </c>
      <c r="J242">
        <v>0.80379999999999996</v>
      </c>
      <c r="K242" t="str">
        <f t="shared" si="15"/>
        <v>Refusé</v>
      </c>
      <c r="L242" t="str" cm="1">
        <f t="array" ref="L242">_xlfn.IFS(H242&gt;=16,"Excellent",
               H242&gt;=14,"Très bien",
               H242&gt;=12,"Bien",
               H242&gt;=10,"Passable",
               TRUE,"Insuffisant")</f>
        <v>Passable</v>
      </c>
      <c r="M242" t="str">
        <f t="shared" si="16"/>
        <v>A surveiller</v>
      </c>
      <c r="N242" t="str">
        <f t="shared" si="17"/>
        <v>Autre filière</v>
      </c>
    </row>
    <row r="243" spans="1:14" x14ac:dyDescent="0.45">
      <c r="A243" t="s">
        <v>429</v>
      </c>
      <c r="B243" t="s">
        <v>430</v>
      </c>
      <c r="E243" t="s">
        <v>42</v>
      </c>
      <c r="F243">
        <v>16.97</v>
      </c>
      <c r="H243">
        <v>18.690000000000001</v>
      </c>
      <c r="J243">
        <v>0.72509999999999997</v>
      </c>
      <c r="K243" t="str">
        <f t="shared" si="15"/>
        <v>Admis sous condition</v>
      </c>
      <c r="L243" t="str" cm="1">
        <f t="array" ref="L243">_xlfn.IFS(H243&gt;=16,"Excellent",
               H243&gt;=14,"Très bien",
               H243&gt;=12,"Bien",
               H243&gt;=10,"Passable",
               TRUE,"Insuffisant")</f>
        <v>Excellent</v>
      </c>
      <c r="M243" t="str">
        <f t="shared" si="16"/>
        <v>RAS</v>
      </c>
      <c r="N243" t="str">
        <f t="shared" si="17"/>
        <v>Autre filière</v>
      </c>
    </row>
    <row r="244" spans="1:14" x14ac:dyDescent="0.45">
      <c r="A244" t="s">
        <v>431</v>
      </c>
      <c r="B244" t="s">
        <v>133</v>
      </c>
      <c r="E244" t="s">
        <v>21</v>
      </c>
      <c r="F244">
        <v>15.51</v>
      </c>
      <c r="H244">
        <v>14.69</v>
      </c>
      <c r="J244">
        <v>0.87749999999999995</v>
      </c>
      <c r="K244" t="str">
        <f t="shared" si="15"/>
        <v>Admis</v>
      </c>
      <c r="L244" t="str" cm="1">
        <f t="array" ref="L244">_xlfn.IFS(H244&gt;=16,"Excellent",
               H244&gt;=14,"Très bien",
               H244&gt;=12,"Bien",
               H244&gt;=10,"Passable",
               TRUE,"Insuffisant")</f>
        <v>Très bien</v>
      </c>
      <c r="M244" t="str">
        <f t="shared" si="16"/>
        <v>RAS</v>
      </c>
      <c r="N244" t="str">
        <f t="shared" si="17"/>
        <v>Autre filière</v>
      </c>
    </row>
    <row r="245" spans="1:14" x14ac:dyDescent="0.45">
      <c r="A245" t="s">
        <v>432</v>
      </c>
      <c r="B245" t="s">
        <v>311</v>
      </c>
      <c r="E245" t="s">
        <v>29</v>
      </c>
      <c r="F245">
        <v>13.02</v>
      </c>
      <c r="H245">
        <v>15.13</v>
      </c>
      <c r="J245">
        <v>0.79690000000000005</v>
      </c>
      <c r="K245" t="str">
        <f t="shared" si="15"/>
        <v>Admis sous condition</v>
      </c>
      <c r="L245" t="str" cm="1">
        <f t="array" ref="L245">_xlfn.IFS(H245&gt;=16,"Excellent",
               H245&gt;=14,"Très bien",
               H245&gt;=12,"Bien",
               H245&gt;=10,"Passable",
               TRUE,"Insuffisant")</f>
        <v>Très bien</v>
      </c>
      <c r="M245" t="str">
        <f t="shared" si="16"/>
        <v>RAS</v>
      </c>
      <c r="N245" t="str">
        <f t="shared" si="17"/>
        <v>Autre filière</v>
      </c>
    </row>
    <row r="246" spans="1:14" x14ac:dyDescent="0.45">
      <c r="A246" t="s">
        <v>433</v>
      </c>
      <c r="B246" t="s">
        <v>105</v>
      </c>
      <c r="E246" t="s">
        <v>29</v>
      </c>
      <c r="F246">
        <v>11.63</v>
      </c>
      <c r="H246">
        <v>15.88</v>
      </c>
      <c r="J246">
        <v>0.76190000000000002</v>
      </c>
      <c r="K246" t="str">
        <f t="shared" si="15"/>
        <v>Admis sous condition</v>
      </c>
      <c r="L246" t="str" cm="1">
        <f t="array" ref="L246">_xlfn.IFS(H246&gt;=16,"Excellent",
               H246&gt;=14,"Très bien",
               H246&gt;=12,"Bien",
               H246&gt;=10,"Passable",
               TRUE,"Insuffisant")</f>
        <v>Très bien</v>
      </c>
      <c r="M246" t="str">
        <f t="shared" si="16"/>
        <v>RAS</v>
      </c>
      <c r="N246" t="str">
        <f t="shared" si="17"/>
        <v>Autre filière</v>
      </c>
    </row>
    <row r="247" spans="1:14" x14ac:dyDescent="0.45">
      <c r="A247" t="s">
        <v>434</v>
      </c>
      <c r="B247" t="s">
        <v>133</v>
      </c>
      <c r="E247" t="s">
        <v>42</v>
      </c>
      <c r="F247">
        <v>13.65</v>
      </c>
      <c r="H247">
        <v>14.38</v>
      </c>
      <c r="J247">
        <v>0.95069999999999999</v>
      </c>
      <c r="K247" t="str">
        <f t="shared" si="15"/>
        <v>Admis</v>
      </c>
      <c r="L247" t="str" cm="1">
        <f t="array" ref="L247">_xlfn.IFS(H247&gt;=16,"Excellent",
               H247&gt;=14,"Très bien",
               H247&gt;=12,"Bien",
               H247&gt;=10,"Passable",
               TRUE,"Insuffisant")</f>
        <v>Très bien</v>
      </c>
      <c r="M247" t="str">
        <f t="shared" si="16"/>
        <v>RAS</v>
      </c>
      <c r="N247" t="str">
        <f t="shared" si="17"/>
        <v>Autre filière</v>
      </c>
    </row>
    <row r="248" spans="1:14" x14ac:dyDescent="0.45">
      <c r="A248" t="s">
        <v>435</v>
      </c>
      <c r="B248" t="s">
        <v>436</v>
      </c>
      <c r="E248" t="s">
        <v>29</v>
      </c>
      <c r="F248">
        <v>9</v>
      </c>
      <c r="H248">
        <v>13.18</v>
      </c>
      <c r="J248">
        <v>0.84540000000000004</v>
      </c>
      <c r="K248" t="str">
        <f t="shared" si="15"/>
        <v>Refusé</v>
      </c>
      <c r="L248" t="str" cm="1">
        <f t="array" ref="L248">_xlfn.IFS(H248&gt;=16,"Excellent",
               H248&gt;=14,"Très bien",
               H248&gt;=12,"Bien",
               H248&gt;=10,"Passable",
               TRUE,"Insuffisant")</f>
        <v>Bien</v>
      </c>
      <c r="M248" t="str">
        <f t="shared" si="16"/>
        <v>A surveiller</v>
      </c>
      <c r="N248" t="str">
        <f t="shared" si="17"/>
        <v>Autre filière</v>
      </c>
    </row>
    <row r="249" spans="1:14" x14ac:dyDescent="0.45">
      <c r="A249" t="s">
        <v>437</v>
      </c>
      <c r="B249" t="s">
        <v>438</v>
      </c>
      <c r="E249" t="s">
        <v>16</v>
      </c>
      <c r="F249">
        <v>3.82</v>
      </c>
      <c r="H249">
        <v>0.41</v>
      </c>
      <c r="J249">
        <v>0.92369999999999997</v>
      </c>
      <c r="K249" t="str">
        <f t="shared" si="15"/>
        <v>Refusé</v>
      </c>
      <c r="L249" t="str" cm="1">
        <f t="array" ref="L249">_xlfn.IFS(H249&gt;=16,"Excellent",
               H249&gt;=14,"Très bien",
               H249&gt;=12,"Bien",
               H249&gt;=10,"Passable",
               TRUE,"Insuffisant")</f>
        <v>Insuffisant</v>
      </c>
      <c r="M249" t="str">
        <f t="shared" si="16"/>
        <v>A surveiller</v>
      </c>
      <c r="N249" t="str">
        <f t="shared" si="17"/>
        <v>Data</v>
      </c>
    </row>
    <row r="250" spans="1:14" x14ac:dyDescent="0.45">
      <c r="A250" t="s">
        <v>439</v>
      </c>
      <c r="B250" t="s">
        <v>295</v>
      </c>
      <c r="E250" t="s">
        <v>42</v>
      </c>
      <c r="F250">
        <v>9.43</v>
      </c>
      <c r="H250">
        <v>9.69</v>
      </c>
      <c r="J250">
        <v>0.87739999999999996</v>
      </c>
      <c r="K250" t="str">
        <f t="shared" si="15"/>
        <v>Refusé</v>
      </c>
      <c r="L250" t="str" cm="1">
        <f t="array" ref="L250">_xlfn.IFS(H250&gt;=16,"Excellent",
               H250&gt;=14,"Très bien",
               H250&gt;=12,"Bien",
               H250&gt;=10,"Passable",
               TRUE,"Insuffisant")</f>
        <v>Insuffisant</v>
      </c>
      <c r="M250" t="str">
        <f t="shared" si="16"/>
        <v>A surveiller</v>
      </c>
      <c r="N250" t="str">
        <f t="shared" si="17"/>
        <v>Autre filière</v>
      </c>
    </row>
    <row r="251" spans="1:14" x14ac:dyDescent="0.45">
      <c r="A251" t="s">
        <v>440</v>
      </c>
      <c r="B251" t="s">
        <v>225</v>
      </c>
      <c r="E251" t="s">
        <v>21</v>
      </c>
      <c r="F251">
        <v>9.5399999999999991</v>
      </c>
      <c r="H251">
        <v>13.21</v>
      </c>
      <c r="J251">
        <v>0.94869999999999999</v>
      </c>
      <c r="K251" t="str">
        <f t="shared" si="15"/>
        <v>Refusé</v>
      </c>
      <c r="L251" t="str" cm="1">
        <f t="array" ref="L251">_xlfn.IFS(H251&gt;=16,"Excellent",
               H251&gt;=14,"Très bien",
               H251&gt;=12,"Bien",
               H251&gt;=10,"Passable",
               TRUE,"Insuffisant")</f>
        <v>Bien</v>
      </c>
      <c r="M251" t="str">
        <f t="shared" si="16"/>
        <v>A surveiller</v>
      </c>
      <c r="N251" t="str">
        <f t="shared" si="17"/>
        <v>Autre filière</v>
      </c>
    </row>
    <row r="252" spans="1:14" x14ac:dyDescent="0.45">
      <c r="A252" t="s">
        <v>441</v>
      </c>
      <c r="B252" t="s">
        <v>425</v>
      </c>
      <c r="E252" t="s">
        <v>16</v>
      </c>
      <c r="F252">
        <v>9.5399999999999991</v>
      </c>
      <c r="H252">
        <v>10.32</v>
      </c>
      <c r="J252">
        <v>0.83479999999999999</v>
      </c>
      <c r="K252" t="str">
        <f t="shared" si="15"/>
        <v>Refusé</v>
      </c>
      <c r="L252" t="str" cm="1">
        <f t="array" ref="L252">_xlfn.IFS(H252&gt;=16,"Excellent",
               H252&gt;=14,"Très bien",
               H252&gt;=12,"Bien",
               H252&gt;=10,"Passable",
               TRUE,"Insuffisant")</f>
        <v>Passable</v>
      </c>
      <c r="M252" t="str">
        <f t="shared" si="16"/>
        <v>A surveiller</v>
      </c>
      <c r="N252" t="str">
        <f t="shared" si="17"/>
        <v>Data</v>
      </c>
    </row>
    <row r="253" spans="1:14" x14ac:dyDescent="0.45">
      <c r="A253" t="s">
        <v>442</v>
      </c>
      <c r="B253" t="s">
        <v>443</v>
      </c>
      <c r="E253" t="s">
        <v>16</v>
      </c>
      <c r="F253">
        <v>11.49</v>
      </c>
      <c r="H253">
        <v>6.29</v>
      </c>
      <c r="J253">
        <v>0.91059999999999997</v>
      </c>
      <c r="K253" t="str">
        <f t="shared" si="15"/>
        <v>Refusé</v>
      </c>
      <c r="L253" t="str" cm="1">
        <f t="array" ref="L253">_xlfn.IFS(H253&gt;=16,"Excellent",
               H253&gt;=14,"Très bien",
               H253&gt;=12,"Bien",
               H253&gt;=10,"Passable",
               TRUE,"Insuffisant")</f>
        <v>Insuffisant</v>
      </c>
      <c r="M253" t="str">
        <f t="shared" si="16"/>
        <v>A surveiller</v>
      </c>
      <c r="N253" t="str">
        <f t="shared" si="17"/>
        <v>Data</v>
      </c>
    </row>
    <row r="254" spans="1:14" x14ac:dyDescent="0.45">
      <c r="A254" t="s">
        <v>444</v>
      </c>
      <c r="B254" t="s">
        <v>445</v>
      </c>
      <c r="E254" t="s">
        <v>29</v>
      </c>
      <c r="F254">
        <v>17.37</v>
      </c>
      <c r="H254">
        <v>16.72</v>
      </c>
      <c r="J254">
        <v>0.94679999999999997</v>
      </c>
      <c r="K254" t="str">
        <f t="shared" si="15"/>
        <v>Admis</v>
      </c>
      <c r="L254" t="str" cm="1">
        <f t="array" ref="L254">_xlfn.IFS(H254&gt;=16,"Excellent",
               H254&gt;=14,"Très bien",
               H254&gt;=12,"Bien",
               H254&gt;=10,"Passable",
               TRUE,"Insuffisant")</f>
        <v>Excellent</v>
      </c>
      <c r="M254" t="str">
        <f t="shared" si="16"/>
        <v>RAS</v>
      </c>
      <c r="N254" t="str">
        <f t="shared" si="17"/>
        <v>Autre filière</v>
      </c>
    </row>
    <row r="255" spans="1:14" x14ac:dyDescent="0.45">
      <c r="A255" t="s">
        <v>446</v>
      </c>
      <c r="B255" t="s">
        <v>447</v>
      </c>
      <c r="E255" t="s">
        <v>21</v>
      </c>
      <c r="F255">
        <v>11.73</v>
      </c>
      <c r="H255">
        <v>10.93</v>
      </c>
      <c r="J255">
        <v>0.68320000000000003</v>
      </c>
      <c r="K255" t="str">
        <f t="shared" si="15"/>
        <v>Admis sous condition</v>
      </c>
      <c r="L255" t="str" cm="1">
        <f t="array" ref="L255">_xlfn.IFS(H255&gt;=16,"Excellent",
               H255&gt;=14,"Très bien",
               H255&gt;=12,"Bien",
               H255&gt;=10,"Passable",
               TRUE,"Insuffisant")</f>
        <v>Passable</v>
      </c>
      <c r="M255" t="str">
        <f t="shared" si="16"/>
        <v>A surveiller</v>
      </c>
      <c r="N255" t="str">
        <f t="shared" si="17"/>
        <v>Autre filière</v>
      </c>
    </row>
    <row r="256" spans="1:14" x14ac:dyDescent="0.45">
      <c r="A256" t="s">
        <v>448</v>
      </c>
      <c r="B256" t="s">
        <v>449</v>
      </c>
      <c r="E256" t="s">
        <v>42</v>
      </c>
      <c r="F256">
        <v>14.76</v>
      </c>
      <c r="H256">
        <v>20</v>
      </c>
      <c r="J256">
        <v>0.96360000000000001</v>
      </c>
      <c r="K256" t="str">
        <f t="shared" si="15"/>
        <v>Admis</v>
      </c>
      <c r="L256" t="str" cm="1">
        <f t="array" ref="L256">_xlfn.IFS(H256&gt;=16,"Excellent",
               H256&gt;=14,"Très bien",
               H256&gt;=12,"Bien",
               H256&gt;=10,"Passable",
               TRUE,"Insuffisant")</f>
        <v>Excellent</v>
      </c>
      <c r="M256" t="str">
        <f t="shared" si="16"/>
        <v>RAS</v>
      </c>
      <c r="N256" t="str">
        <f t="shared" si="17"/>
        <v>Autre filière</v>
      </c>
    </row>
    <row r="257" spans="1:14" x14ac:dyDescent="0.45">
      <c r="A257" t="s">
        <v>450</v>
      </c>
      <c r="B257" t="s">
        <v>445</v>
      </c>
      <c r="E257" t="s">
        <v>42</v>
      </c>
      <c r="F257">
        <v>13.53</v>
      </c>
      <c r="H257">
        <v>15.39</v>
      </c>
      <c r="J257">
        <v>0.63129999999999997</v>
      </c>
      <c r="K257" t="str">
        <f t="shared" si="15"/>
        <v>Admis sous condition</v>
      </c>
      <c r="L257" t="str" cm="1">
        <f t="array" ref="L257">_xlfn.IFS(H257&gt;=16,"Excellent",
               H257&gt;=14,"Très bien",
               H257&gt;=12,"Bien",
               H257&gt;=10,"Passable",
               TRUE,"Insuffisant")</f>
        <v>Très bien</v>
      </c>
      <c r="M257" t="str">
        <f t="shared" si="16"/>
        <v>A surveiller</v>
      </c>
      <c r="N257" t="str">
        <f t="shared" si="17"/>
        <v>Autre filière</v>
      </c>
    </row>
    <row r="258" spans="1:14" x14ac:dyDescent="0.45">
      <c r="A258" t="s">
        <v>451</v>
      </c>
      <c r="B258" t="s">
        <v>452</v>
      </c>
      <c r="E258" t="s">
        <v>42</v>
      </c>
      <c r="F258">
        <v>16.59</v>
      </c>
      <c r="H258">
        <v>14.2</v>
      </c>
      <c r="J258">
        <v>0.92749999999999999</v>
      </c>
      <c r="K258" t="str">
        <f t="shared" si="15"/>
        <v>Admis</v>
      </c>
      <c r="L258" t="str" cm="1">
        <f t="array" ref="L258">_xlfn.IFS(H258&gt;=16,"Excellent",
               H258&gt;=14,"Très bien",
               H258&gt;=12,"Bien",
               H258&gt;=10,"Passable",
               TRUE,"Insuffisant")</f>
        <v>Très bien</v>
      </c>
      <c r="M258" t="str">
        <f t="shared" si="16"/>
        <v>RAS</v>
      </c>
      <c r="N258" t="str">
        <f t="shared" si="17"/>
        <v>Autre filière</v>
      </c>
    </row>
    <row r="259" spans="1:14" x14ac:dyDescent="0.45">
      <c r="A259" t="s">
        <v>453</v>
      </c>
      <c r="B259" t="s">
        <v>454</v>
      </c>
      <c r="E259" t="s">
        <v>29</v>
      </c>
      <c r="F259">
        <v>11.72</v>
      </c>
      <c r="H259">
        <v>11.25</v>
      </c>
      <c r="J259">
        <v>0.79310000000000003</v>
      </c>
      <c r="K259" t="str">
        <f t="shared" si="15"/>
        <v>Admis sous condition</v>
      </c>
      <c r="L259" t="str" cm="1">
        <f t="array" ref="L259">_xlfn.IFS(H259&gt;=16,"Excellent",
               H259&gt;=14,"Très bien",
               H259&gt;=12,"Bien",
               H259&gt;=10,"Passable",
               TRUE,"Insuffisant")</f>
        <v>Passable</v>
      </c>
      <c r="M259" t="str">
        <f t="shared" si="16"/>
        <v>RAS</v>
      </c>
      <c r="N259" t="str">
        <f t="shared" si="17"/>
        <v>Autre filière</v>
      </c>
    </row>
    <row r="260" spans="1:14" x14ac:dyDescent="0.45">
      <c r="A260" t="s">
        <v>455</v>
      </c>
      <c r="B260" t="s">
        <v>279</v>
      </c>
      <c r="E260" t="s">
        <v>42</v>
      </c>
      <c r="F260">
        <v>10.35</v>
      </c>
      <c r="H260">
        <v>9.43</v>
      </c>
      <c r="J260">
        <v>0.97809999999999997</v>
      </c>
      <c r="K260" t="str">
        <f t="shared" si="15"/>
        <v>Refusé</v>
      </c>
      <c r="L260" t="str" cm="1">
        <f t="array" ref="L260">_xlfn.IFS(H260&gt;=16,"Excellent",
               H260&gt;=14,"Très bien",
               H260&gt;=12,"Bien",
               H260&gt;=10,"Passable",
               TRUE,"Insuffisant")</f>
        <v>Insuffisant</v>
      </c>
      <c r="M260" t="str">
        <f t="shared" si="16"/>
        <v>A surveiller</v>
      </c>
      <c r="N260" t="str">
        <f t="shared" si="17"/>
        <v>Autre filière</v>
      </c>
    </row>
    <row r="261" spans="1:14" x14ac:dyDescent="0.45">
      <c r="A261" t="s">
        <v>456</v>
      </c>
      <c r="B261" t="s">
        <v>304</v>
      </c>
      <c r="E261" t="s">
        <v>16</v>
      </c>
      <c r="F261">
        <v>13.81</v>
      </c>
      <c r="H261">
        <v>13.35</v>
      </c>
      <c r="J261">
        <v>0.82909999999999995</v>
      </c>
      <c r="K261" t="str">
        <f t="shared" si="15"/>
        <v>Admis</v>
      </c>
      <c r="L261" t="str" cm="1">
        <f t="array" ref="L261">_xlfn.IFS(H261&gt;=16,"Excellent",
               H261&gt;=14,"Très bien",
               H261&gt;=12,"Bien",
               H261&gt;=10,"Passable",
               TRUE,"Insuffisant")</f>
        <v>Bien</v>
      </c>
      <c r="M261" t="str">
        <f t="shared" si="16"/>
        <v>RAS</v>
      </c>
      <c r="N261" t="str">
        <f t="shared" si="17"/>
        <v>Data</v>
      </c>
    </row>
    <row r="262" spans="1:14" x14ac:dyDescent="0.45">
      <c r="A262" t="s">
        <v>457</v>
      </c>
      <c r="B262" t="s">
        <v>458</v>
      </c>
      <c r="E262" t="s">
        <v>16</v>
      </c>
      <c r="F262">
        <v>14.54</v>
      </c>
      <c r="H262">
        <v>12.17</v>
      </c>
      <c r="J262">
        <v>0.83850000000000002</v>
      </c>
      <c r="K262" t="str">
        <f t="shared" si="15"/>
        <v>Admis</v>
      </c>
      <c r="L262" t="str" cm="1">
        <f t="array" ref="L262">_xlfn.IFS(H262&gt;=16,"Excellent",
               H262&gt;=14,"Très bien",
               H262&gt;=12,"Bien",
               H262&gt;=10,"Passable",
               TRUE,"Insuffisant")</f>
        <v>Bien</v>
      </c>
      <c r="M262" t="str">
        <f t="shared" si="16"/>
        <v>RAS</v>
      </c>
      <c r="N262" t="str">
        <f t="shared" si="17"/>
        <v>Data</v>
      </c>
    </row>
    <row r="263" spans="1:14" x14ac:dyDescent="0.45">
      <c r="A263" t="s">
        <v>459</v>
      </c>
      <c r="B263" t="s">
        <v>404</v>
      </c>
      <c r="E263" t="s">
        <v>21</v>
      </c>
      <c r="F263">
        <v>15.24</v>
      </c>
      <c r="H263">
        <v>17.13</v>
      </c>
      <c r="J263">
        <v>0.92810000000000004</v>
      </c>
      <c r="K263" t="str">
        <f t="shared" si="15"/>
        <v>Admis</v>
      </c>
      <c r="L263" t="str" cm="1">
        <f t="array" ref="L263">_xlfn.IFS(H263&gt;=16,"Excellent",
               H263&gt;=14,"Très bien",
               H263&gt;=12,"Bien",
               H263&gt;=10,"Passable",
               TRUE,"Insuffisant")</f>
        <v>Excellent</v>
      </c>
      <c r="M263" t="str">
        <f t="shared" si="16"/>
        <v>RAS</v>
      </c>
      <c r="N263" t="str">
        <f t="shared" si="17"/>
        <v>Autre filière</v>
      </c>
    </row>
    <row r="264" spans="1:14" x14ac:dyDescent="0.45">
      <c r="A264" t="s">
        <v>460</v>
      </c>
      <c r="B264" t="s">
        <v>461</v>
      </c>
      <c r="E264" t="s">
        <v>42</v>
      </c>
      <c r="F264">
        <v>11.97</v>
      </c>
      <c r="H264">
        <v>11.01</v>
      </c>
      <c r="J264">
        <v>0.82140000000000002</v>
      </c>
      <c r="K264" t="str">
        <f t="shared" si="15"/>
        <v>Admis sous condition</v>
      </c>
      <c r="L264" t="str" cm="1">
        <f t="array" ref="L264">_xlfn.IFS(H264&gt;=16,"Excellent",
               H264&gt;=14,"Très bien",
               H264&gt;=12,"Bien",
               H264&gt;=10,"Passable",
               TRUE,"Insuffisant")</f>
        <v>Passable</v>
      </c>
      <c r="M264" t="str">
        <f t="shared" si="16"/>
        <v>RAS</v>
      </c>
      <c r="N264" t="str">
        <f t="shared" si="17"/>
        <v>Autre filière</v>
      </c>
    </row>
    <row r="265" spans="1:14" x14ac:dyDescent="0.45">
      <c r="A265" t="s">
        <v>462</v>
      </c>
      <c r="B265" t="s">
        <v>463</v>
      </c>
      <c r="E265" t="s">
        <v>16</v>
      </c>
      <c r="F265">
        <v>17.14</v>
      </c>
      <c r="H265">
        <v>11.32</v>
      </c>
      <c r="J265">
        <v>0.93889999999999996</v>
      </c>
      <c r="K265" t="str">
        <f t="shared" si="15"/>
        <v>Admis sous condition</v>
      </c>
      <c r="L265" t="str" cm="1">
        <f t="array" ref="L265">_xlfn.IFS(H265&gt;=16,"Excellent",
               H265&gt;=14,"Très bien",
               H265&gt;=12,"Bien",
               H265&gt;=10,"Passable",
               TRUE,"Insuffisant")</f>
        <v>Passable</v>
      </c>
      <c r="M265" t="str">
        <f t="shared" si="16"/>
        <v>RAS</v>
      </c>
      <c r="N265" t="str">
        <f t="shared" si="17"/>
        <v>Data</v>
      </c>
    </row>
    <row r="266" spans="1:14" x14ac:dyDescent="0.45">
      <c r="A266" t="s">
        <v>464</v>
      </c>
      <c r="B266" t="s">
        <v>465</v>
      </c>
      <c r="E266" t="s">
        <v>29</v>
      </c>
      <c r="F266">
        <v>10.29</v>
      </c>
      <c r="H266">
        <v>12.78</v>
      </c>
      <c r="J266">
        <v>0.98360000000000003</v>
      </c>
      <c r="K266" t="str">
        <f t="shared" si="15"/>
        <v>Admis sous condition</v>
      </c>
      <c r="L266" t="str" cm="1">
        <f t="array" ref="L266">_xlfn.IFS(H266&gt;=16,"Excellent",
               H266&gt;=14,"Très bien",
               H266&gt;=12,"Bien",
               H266&gt;=10,"Passable",
               TRUE,"Insuffisant")</f>
        <v>Bien</v>
      </c>
      <c r="M266" t="str">
        <f t="shared" si="16"/>
        <v>RAS</v>
      </c>
      <c r="N266" t="str">
        <f t="shared" si="17"/>
        <v>Autre filière</v>
      </c>
    </row>
    <row r="267" spans="1:14" x14ac:dyDescent="0.45">
      <c r="A267" t="s">
        <v>466</v>
      </c>
      <c r="B267" t="s">
        <v>92</v>
      </c>
      <c r="E267" t="s">
        <v>16</v>
      </c>
      <c r="F267">
        <v>11.03</v>
      </c>
      <c r="H267">
        <v>7.19</v>
      </c>
      <c r="J267">
        <v>0.98909999999999998</v>
      </c>
      <c r="K267" t="str">
        <f t="shared" si="15"/>
        <v>Refusé</v>
      </c>
      <c r="L267" t="str" cm="1">
        <f t="array" ref="L267">_xlfn.IFS(H267&gt;=16,"Excellent",
               H267&gt;=14,"Très bien",
               H267&gt;=12,"Bien",
               H267&gt;=10,"Passable",
               TRUE,"Insuffisant")</f>
        <v>Insuffisant</v>
      </c>
      <c r="M267" t="str">
        <f t="shared" si="16"/>
        <v>A surveiller</v>
      </c>
      <c r="N267" t="str">
        <f t="shared" si="17"/>
        <v>Data</v>
      </c>
    </row>
    <row r="268" spans="1:14" x14ac:dyDescent="0.45">
      <c r="A268" t="s">
        <v>467</v>
      </c>
      <c r="B268" t="s">
        <v>468</v>
      </c>
      <c r="E268" t="s">
        <v>42</v>
      </c>
      <c r="F268">
        <v>14.62</v>
      </c>
      <c r="H268">
        <v>14.45</v>
      </c>
      <c r="J268">
        <v>0.9153</v>
      </c>
      <c r="K268" t="str">
        <f t="shared" si="15"/>
        <v>Admis</v>
      </c>
      <c r="L268" t="str" cm="1">
        <f t="array" ref="L268">_xlfn.IFS(H268&gt;=16,"Excellent",
               H268&gt;=14,"Très bien",
               H268&gt;=12,"Bien",
               H268&gt;=10,"Passable",
               TRUE,"Insuffisant")</f>
        <v>Très bien</v>
      </c>
      <c r="M268" t="str">
        <f t="shared" si="16"/>
        <v>RAS</v>
      </c>
      <c r="N268" t="str">
        <f t="shared" si="17"/>
        <v>Autre filière</v>
      </c>
    </row>
    <row r="269" spans="1:14" x14ac:dyDescent="0.45">
      <c r="A269" t="s">
        <v>469</v>
      </c>
      <c r="B269" t="s">
        <v>82</v>
      </c>
      <c r="E269" t="s">
        <v>21</v>
      </c>
      <c r="F269">
        <v>13.61</v>
      </c>
      <c r="H269">
        <v>14.76</v>
      </c>
      <c r="J269">
        <v>0.67179999999999995</v>
      </c>
      <c r="K269" t="str">
        <f t="shared" si="15"/>
        <v>Admis sous condition</v>
      </c>
      <c r="L269" t="str" cm="1">
        <f t="array" ref="L269">_xlfn.IFS(H269&gt;=16,"Excellent",
               H269&gt;=14,"Très bien",
               H269&gt;=12,"Bien",
               H269&gt;=10,"Passable",
               TRUE,"Insuffisant")</f>
        <v>Très bien</v>
      </c>
      <c r="M269" t="str">
        <f t="shared" si="16"/>
        <v>A surveiller</v>
      </c>
      <c r="N269" t="str">
        <f t="shared" si="17"/>
        <v>Autre filière</v>
      </c>
    </row>
    <row r="270" spans="1:14" x14ac:dyDescent="0.45">
      <c r="A270" t="s">
        <v>470</v>
      </c>
      <c r="B270" t="s">
        <v>471</v>
      </c>
      <c r="E270" t="s">
        <v>29</v>
      </c>
      <c r="F270">
        <v>9.68</v>
      </c>
      <c r="H270">
        <v>15.25</v>
      </c>
      <c r="J270">
        <v>0.81479999999999997</v>
      </c>
      <c r="K270" t="str">
        <f t="shared" si="15"/>
        <v>Refusé</v>
      </c>
      <c r="L270" t="str" cm="1">
        <f t="array" ref="L270">_xlfn.IFS(H270&gt;=16,"Excellent",
               H270&gt;=14,"Très bien",
               H270&gt;=12,"Bien",
               H270&gt;=10,"Passable",
               TRUE,"Insuffisant")</f>
        <v>Très bien</v>
      </c>
      <c r="M270" t="str">
        <f t="shared" si="16"/>
        <v>A surveiller</v>
      </c>
      <c r="N270" t="str">
        <f t="shared" si="17"/>
        <v>Autre filière</v>
      </c>
    </row>
    <row r="271" spans="1:14" x14ac:dyDescent="0.45">
      <c r="A271" t="s">
        <v>472</v>
      </c>
      <c r="B271" t="s">
        <v>473</v>
      </c>
      <c r="E271" t="s">
        <v>29</v>
      </c>
      <c r="F271">
        <v>18.239999999999998</v>
      </c>
      <c r="H271">
        <v>13.27</v>
      </c>
      <c r="J271">
        <v>0.55000000000000004</v>
      </c>
      <c r="K271" t="str">
        <f t="shared" si="15"/>
        <v>Admis sous condition</v>
      </c>
      <c r="L271" t="str" cm="1">
        <f t="array" ref="L271">_xlfn.IFS(H271&gt;=16,"Excellent",
               H271&gt;=14,"Très bien",
               H271&gt;=12,"Bien",
               H271&gt;=10,"Passable",
               TRUE,"Insuffisant")</f>
        <v>Bien</v>
      </c>
      <c r="M271" t="str">
        <f t="shared" si="16"/>
        <v>A surveiller</v>
      </c>
      <c r="N271" t="str">
        <f t="shared" si="17"/>
        <v>Autre filière</v>
      </c>
    </row>
    <row r="272" spans="1:14" x14ac:dyDescent="0.45">
      <c r="A272" t="s">
        <v>474</v>
      </c>
      <c r="B272" t="s">
        <v>82</v>
      </c>
      <c r="E272" t="s">
        <v>16</v>
      </c>
      <c r="F272">
        <v>17.3</v>
      </c>
      <c r="H272">
        <v>14.92</v>
      </c>
      <c r="J272">
        <v>0.83330000000000004</v>
      </c>
      <c r="K272" t="str">
        <f t="shared" si="15"/>
        <v>Admis</v>
      </c>
      <c r="L272" t="str" cm="1">
        <f t="array" ref="L272">_xlfn.IFS(H272&gt;=16,"Excellent",
               H272&gt;=14,"Très bien",
               H272&gt;=12,"Bien",
               H272&gt;=10,"Passable",
               TRUE,"Insuffisant")</f>
        <v>Très bien</v>
      </c>
      <c r="M272" t="str">
        <f t="shared" si="16"/>
        <v>RAS</v>
      </c>
      <c r="N272" t="str">
        <f t="shared" si="17"/>
        <v>Data</v>
      </c>
    </row>
    <row r="273" spans="1:14" x14ac:dyDescent="0.45">
      <c r="A273" t="s">
        <v>475</v>
      </c>
      <c r="B273" t="s">
        <v>476</v>
      </c>
      <c r="E273" t="s">
        <v>29</v>
      </c>
      <c r="F273">
        <v>17.04</v>
      </c>
      <c r="H273">
        <v>17.309999999999999</v>
      </c>
      <c r="J273">
        <v>0.84279999999999999</v>
      </c>
      <c r="K273" t="str">
        <f t="shared" si="15"/>
        <v>Admis</v>
      </c>
      <c r="L273" t="str" cm="1">
        <f t="array" ref="L273">_xlfn.IFS(H273&gt;=16,"Excellent",
               H273&gt;=14,"Très bien",
               H273&gt;=12,"Bien",
               H273&gt;=10,"Passable",
               TRUE,"Insuffisant")</f>
        <v>Excellent</v>
      </c>
      <c r="M273" t="str">
        <f t="shared" si="16"/>
        <v>RAS</v>
      </c>
      <c r="N273" t="str">
        <f t="shared" si="17"/>
        <v>Autre filière</v>
      </c>
    </row>
    <row r="274" spans="1:14" x14ac:dyDescent="0.45">
      <c r="A274" t="s">
        <v>477</v>
      </c>
      <c r="B274" t="s">
        <v>129</v>
      </c>
      <c r="E274" t="s">
        <v>29</v>
      </c>
      <c r="F274">
        <v>19.11</v>
      </c>
      <c r="H274">
        <v>15.13</v>
      </c>
      <c r="J274">
        <v>0.55000000000000004</v>
      </c>
      <c r="K274" t="str">
        <f t="shared" si="15"/>
        <v>Admis sous condition</v>
      </c>
      <c r="L274" t="str" cm="1">
        <f t="array" ref="L274">_xlfn.IFS(H274&gt;=16,"Excellent",
               H274&gt;=14,"Très bien",
               H274&gt;=12,"Bien",
               H274&gt;=10,"Passable",
               TRUE,"Insuffisant")</f>
        <v>Très bien</v>
      </c>
      <c r="M274" t="str">
        <f t="shared" si="16"/>
        <v>A surveiller</v>
      </c>
      <c r="N274" t="str">
        <f t="shared" si="17"/>
        <v>Autre filière</v>
      </c>
    </row>
    <row r="275" spans="1:14" x14ac:dyDescent="0.45">
      <c r="A275" t="s">
        <v>478</v>
      </c>
      <c r="B275" t="s">
        <v>479</v>
      </c>
      <c r="E275" t="s">
        <v>16</v>
      </c>
      <c r="F275">
        <v>14.87</v>
      </c>
      <c r="H275">
        <v>16.79</v>
      </c>
      <c r="J275">
        <v>0.62019999999999997</v>
      </c>
      <c r="K275" t="str">
        <f t="shared" si="15"/>
        <v>Admis sous condition</v>
      </c>
      <c r="L275" t="str" cm="1">
        <f t="array" ref="L275">_xlfn.IFS(H275&gt;=16,"Excellent",
               H275&gt;=14,"Très bien",
               H275&gt;=12,"Bien",
               H275&gt;=10,"Passable",
               TRUE,"Insuffisant")</f>
        <v>Excellent</v>
      </c>
      <c r="M275" t="str">
        <f t="shared" si="16"/>
        <v>A surveiller</v>
      </c>
      <c r="N275" t="str">
        <f t="shared" si="17"/>
        <v>Data</v>
      </c>
    </row>
    <row r="276" spans="1:14" x14ac:dyDescent="0.45">
      <c r="A276" t="s">
        <v>480</v>
      </c>
      <c r="B276" t="s">
        <v>149</v>
      </c>
      <c r="E276" t="s">
        <v>29</v>
      </c>
      <c r="F276">
        <v>13.51</v>
      </c>
      <c r="H276">
        <v>9.89</v>
      </c>
      <c r="J276">
        <v>0.88829999999999998</v>
      </c>
      <c r="K276" t="str">
        <f t="shared" si="15"/>
        <v>Refusé</v>
      </c>
      <c r="L276" t="str" cm="1">
        <f t="array" ref="L276">_xlfn.IFS(H276&gt;=16,"Excellent",
               H276&gt;=14,"Très bien",
               H276&gt;=12,"Bien",
               H276&gt;=10,"Passable",
               TRUE,"Insuffisant")</f>
        <v>Insuffisant</v>
      </c>
      <c r="M276" t="str">
        <f t="shared" si="16"/>
        <v>A surveiller</v>
      </c>
      <c r="N276" t="str">
        <f t="shared" si="17"/>
        <v>Autre filière</v>
      </c>
    </row>
    <row r="277" spans="1:14" x14ac:dyDescent="0.45">
      <c r="A277" t="s">
        <v>481</v>
      </c>
      <c r="B277" t="s">
        <v>447</v>
      </c>
      <c r="E277" t="s">
        <v>21</v>
      </c>
      <c r="F277">
        <v>16.36</v>
      </c>
      <c r="H277">
        <v>18.11</v>
      </c>
      <c r="J277">
        <v>0.60209999999999997</v>
      </c>
      <c r="K277" t="str">
        <f t="shared" si="15"/>
        <v>Admis sous condition</v>
      </c>
      <c r="L277" t="str" cm="1">
        <f t="array" ref="L277">_xlfn.IFS(H277&gt;=16,"Excellent",
               H277&gt;=14,"Très bien",
               H277&gt;=12,"Bien",
               H277&gt;=10,"Passable",
               TRUE,"Insuffisant")</f>
        <v>Excellent</v>
      </c>
      <c r="M277" t="str">
        <f t="shared" si="16"/>
        <v>A surveiller</v>
      </c>
      <c r="N277" t="str">
        <f t="shared" si="17"/>
        <v>Autre filière</v>
      </c>
    </row>
    <row r="278" spans="1:14" x14ac:dyDescent="0.45">
      <c r="A278" t="s">
        <v>482</v>
      </c>
      <c r="B278" t="s">
        <v>376</v>
      </c>
      <c r="E278" t="s">
        <v>21</v>
      </c>
      <c r="F278">
        <v>12.64</v>
      </c>
      <c r="H278">
        <v>14.08</v>
      </c>
      <c r="J278">
        <v>0.83730000000000004</v>
      </c>
      <c r="K278" t="str">
        <f t="shared" si="15"/>
        <v>Admis</v>
      </c>
      <c r="L278" t="str" cm="1">
        <f t="array" ref="L278">_xlfn.IFS(H278&gt;=16,"Excellent",
               H278&gt;=14,"Très bien",
               H278&gt;=12,"Bien",
               H278&gt;=10,"Passable",
               TRUE,"Insuffisant")</f>
        <v>Très bien</v>
      </c>
      <c r="M278" t="str">
        <f t="shared" si="16"/>
        <v>RAS</v>
      </c>
      <c r="N278" t="str">
        <f t="shared" si="17"/>
        <v>Autre filière</v>
      </c>
    </row>
    <row r="279" spans="1:14" x14ac:dyDescent="0.45">
      <c r="A279" t="s">
        <v>483</v>
      </c>
      <c r="B279" t="s">
        <v>484</v>
      </c>
      <c r="E279" t="s">
        <v>29</v>
      </c>
      <c r="F279">
        <v>12.82</v>
      </c>
      <c r="H279">
        <v>17.84</v>
      </c>
      <c r="J279">
        <v>0.85229999999999995</v>
      </c>
      <c r="K279" t="str">
        <f t="shared" ref="K279:K342" si="18">IF(AND(F279&gt;=12,H279&gt;=12,J279&gt;=0.8),"Admis",
   IF(AND(F279&gt;=10,H279&gt;=10),"Admis sous condition","Refusé"))</f>
        <v>Admis</v>
      </c>
      <c r="L279" t="str" cm="1">
        <f t="array" ref="L279">_xlfn.IFS(H279&gt;=16,"Excellent",
               H279&gt;=14,"Très bien",
               H279&gt;=12,"Bien",
               H279&gt;=10,"Passable",
               TRUE,"Insuffisant")</f>
        <v>Excellent</v>
      </c>
      <c r="M279" t="str">
        <f t="shared" ref="M279:M342" si="19">IF(OR(F279&lt;10,H279&lt;10,J279&lt;0.7),"A surveiller","RAS")</f>
        <v>RAS</v>
      </c>
      <c r="N279" t="str">
        <f t="shared" ref="N279:N342" si="20">IF(NOT(E279="Data"),"Autre filière","Data")</f>
        <v>Autre filière</v>
      </c>
    </row>
    <row r="280" spans="1:14" x14ac:dyDescent="0.45">
      <c r="A280" t="s">
        <v>485</v>
      </c>
      <c r="B280" t="s">
        <v>486</v>
      </c>
      <c r="E280" t="s">
        <v>21</v>
      </c>
      <c r="F280">
        <v>9.1999999999999993</v>
      </c>
      <c r="H280">
        <v>12.24</v>
      </c>
      <c r="J280">
        <v>0.82589999999999997</v>
      </c>
      <c r="K280" t="str">
        <f t="shared" si="18"/>
        <v>Refusé</v>
      </c>
      <c r="L280" t="str" cm="1">
        <f t="array" ref="L280">_xlfn.IFS(H280&gt;=16,"Excellent",
               H280&gt;=14,"Très bien",
               H280&gt;=12,"Bien",
               H280&gt;=10,"Passable",
               TRUE,"Insuffisant")</f>
        <v>Bien</v>
      </c>
      <c r="M280" t="str">
        <f t="shared" si="19"/>
        <v>A surveiller</v>
      </c>
      <c r="N280" t="str">
        <f t="shared" si="20"/>
        <v>Autre filière</v>
      </c>
    </row>
    <row r="281" spans="1:14" x14ac:dyDescent="0.45">
      <c r="A281" t="s">
        <v>487</v>
      </c>
      <c r="B281" t="s">
        <v>488</v>
      </c>
      <c r="E281" t="s">
        <v>16</v>
      </c>
      <c r="F281">
        <v>13.05</v>
      </c>
      <c r="H281">
        <v>12.85</v>
      </c>
      <c r="J281">
        <v>0.88490000000000002</v>
      </c>
      <c r="K281" t="str">
        <f t="shared" si="18"/>
        <v>Admis</v>
      </c>
      <c r="L281" t="str" cm="1">
        <f t="array" ref="L281">_xlfn.IFS(H281&gt;=16,"Excellent",
               H281&gt;=14,"Très bien",
               H281&gt;=12,"Bien",
               H281&gt;=10,"Passable",
               TRUE,"Insuffisant")</f>
        <v>Bien</v>
      </c>
      <c r="M281" t="str">
        <f t="shared" si="19"/>
        <v>RAS</v>
      </c>
      <c r="N281" t="str">
        <f t="shared" si="20"/>
        <v>Data</v>
      </c>
    </row>
    <row r="282" spans="1:14" x14ac:dyDescent="0.45">
      <c r="A282" t="s">
        <v>489</v>
      </c>
      <c r="B282" t="s">
        <v>490</v>
      </c>
      <c r="E282" t="s">
        <v>21</v>
      </c>
      <c r="F282">
        <v>6.66</v>
      </c>
      <c r="H282">
        <v>11.92</v>
      </c>
      <c r="J282">
        <v>0.95240000000000002</v>
      </c>
      <c r="K282" t="str">
        <f t="shared" si="18"/>
        <v>Refusé</v>
      </c>
      <c r="L282" t="str" cm="1">
        <f t="array" ref="L282">_xlfn.IFS(H282&gt;=16,"Excellent",
               H282&gt;=14,"Très bien",
               H282&gt;=12,"Bien",
               H282&gt;=10,"Passable",
               TRUE,"Insuffisant")</f>
        <v>Passable</v>
      </c>
      <c r="M282" t="str">
        <f t="shared" si="19"/>
        <v>A surveiller</v>
      </c>
      <c r="N282" t="str">
        <f t="shared" si="20"/>
        <v>Autre filière</v>
      </c>
    </row>
    <row r="283" spans="1:14" x14ac:dyDescent="0.45">
      <c r="A283" t="s">
        <v>491</v>
      </c>
      <c r="B283" t="s">
        <v>447</v>
      </c>
      <c r="E283" t="s">
        <v>29</v>
      </c>
      <c r="F283">
        <v>8.64</v>
      </c>
      <c r="H283">
        <v>11.39</v>
      </c>
      <c r="J283">
        <v>0.74180000000000001</v>
      </c>
      <c r="K283" t="str">
        <f t="shared" si="18"/>
        <v>Refusé</v>
      </c>
      <c r="L283" t="str" cm="1">
        <f t="array" ref="L283">_xlfn.IFS(H283&gt;=16,"Excellent",
               H283&gt;=14,"Très bien",
               H283&gt;=12,"Bien",
               H283&gt;=10,"Passable",
               TRUE,"Insuffisant")</f>
        <v>Passable</v>
      </c>
      <c r="M283" t="str">
        <f t="shared" si="19"/>
        <v>A surveiller</v>
      </c>
      <c r="N283" t="str">
        <f t="shared" si="20"/>
        <v>Autre filière</v>
      </c>
    </row>
    <row r="284" spans="1:14" x14ac:dyDescent="0.45">
      <c r="A284" t="s">
        <v>492</v>
      </c>
      <c r="B284" t="s">
        <v>140</v>
      </c>
      <c r="E284" t="s">
        <v>42</v>
      </c>
      <c r="F284">
        <v>10.32</v>
      </c>
      <c r="H284">
        <v>9.65</v>
      </c>
      <c r="J284">
        <v>0.95789999999999997</v>
      </c>
      <c r="K284" t="str">
        <f t="shared" si="18"/>
        <v>Refusé</v>
      </c>
      <c r="L284" t="str" cm="1">
        <f t="array" ref="L284">_xlfn.IFS(H284&gt;=16,"Excellent",
               H284&gt;=14,"Très bien",
               H284&gt;=12,"Bien",
               H284&gt;=10,"Passable",
               TRUE,"Insuffisant")</f>
        <v>Insuffisant</v>
      </c>
      <c r="M284" t="str">
        <f t="shared" si="19"/>
        <v>A surveiller</v>
      </c>
      <c r="N284" t="str">
        <f t="shared" si="20"/>
        <v>Autre filière</v>
      </c>
    </row>
    <row r="285" spans="1:14" x14ac:dyDescent="0.45">
      <c r="A285" t="s">
        <v>493</v>
      </c>
      <c r="B285" t="s">
        <v>494</v>
      </c>
      <c r="E285" t="s">
        <v>16</v>
      </c>
      <c r="F285">
        <v>20</v>
      </c>
      <c r="H285">
        <v>15.98</v>
      </c>
      <c r="J285">
        <v>0.71940000000000004</v>
      </c>
      <c r="K285" t="str">
        <f t="shared" si="18"/>
        <v>Admis sous condition</v>
      </c>
      <c r="L285" t="str" cm="1">
        <f t="array" ref="L285">_xlfn.IFS(H285&gt;=16,"Excellent",
               H285&gt;=14,"Très bien",
               H285&gt;=12,"Bien",
               H285&gt;=10,"Passable",
               TRUE,"Insuffisant")</f>
        <v>Très bien</v>
      </c>
      <c r="M285" t="str">
        <f t="shared" si="19"/>
        <v>RAS</v>
      </c>
      <c r="N285" t="str">
        <f t="shared" si="20"/>
        <v>Data</v>
      </c>
    </row>
    <row r="286" spans="1:14" x14ac:dyDescent="0.45">
      <c r="A286" t="s">
        <v>495</v>
      </c>
      <c r="B286" t="s">
        <v>282</v>
      </c>
      <c r="E286" t="s">
        <v>21</v>
      </c>
      <c r="F286">
        <v>20</v>
      </c>
      <c r="H286">
        <v>17.809999999999999</v>
      </c>
      <c r="J286">
        <v>0.91659999999999997</v>
      </c>
      <c r="K286" t="str">
        <f t="shared" si="18"/>
        <v>Admis</v>
      </c>
      <c r="L286" t="str" cm="1">
        <f t="array" ref="L286">_xlfn.IFS(H286&gt;=16,"Excellent",
               H286&gt;=14,"Très bien",
               H286&gt;=12,"Bien",
               H286&gt;=10,"Passable",
               TRUE,"Insuffisant")</f>
        <v>Excellent</v>
      </c>
      <c r="M286" t="str">
        <f t="shared" si="19"/>
        <v>RAS</v>
      </c>
      <c r="N286" t="str">
        <f t="shared" si="20"/>
        <v>Autre filière</v>
      </c>
    </row>
    <row r="287" spans="1:14" x14ac:dyDescent="0.45">
      <c r="A287" t="s">
        <v>496</v>
      </c>
      <c r="B287" t="s">
        <v>427</v>
      </c>
      <c r="E287" t="s">
        <v>29</v>
      </c>
      <c r="F287">
        <v>10.7</v>
      </c>
      <c r="H287">
        <v>7.88</v>
      </c>
      <c r="J287">
        <v>0.83550000000000002</v>
      </c>
      <c r="K287" t="str">
        <f t="shared" si="18"/>
        <v>Refusé</v>
      </c>
      <c r="L287" t="str" cm="1">
        <f t="array" ref="L287">_xlfn.IFS(H287&gt;=16,"Excellent",
               H287&gt;=14,"Très bien",
               H287&gt;=12,"Bien",
               H287&gt;=10,"Passable",
               TRUE,"Insuffisant")</f>
        <v>Insuffisant</v>
      </c>
      <c r="M287" t="str">
        <f t="shared" si="19"/>
        <v>A surveiller</v>
      </c>
      <c r="N287" t="str">
        <f t="shared" si="20"/>
        <v>Autre filière</v>
      </c>
    </row>
    <row r="288" spans="1:14" x14ac:dyDescent="0.45">
      <c r="A288" t="s">
        <v>497</v>
      </c>
      <c r="B288" t="s">
        <v>364</v>
      </c>
      <c r="E288" t="s">
        <v>21</v>
      </c>
      <c r="F288">
        <v>14.36</v>
      </c>
      <c r="H288">
        <v>17.649999999999999</v>
      </c>
      <c r="J288">
        <v>0.67620000000000002</v>
      </c>
      <c r="K288" t="str">
        <f t="shared" si="18"/>
        <v>Admis sous condition</v>
      </c>
      <c r="L288" t="str" cm="1">
        <f t="array" ref="L288">_xlfn.IFS(H288&gt;=16,"Excellent",
               H288&gt;=14,"Très bien",
               H288&gt;=12,"Bien",
               H288&gt;=10,"Passable",
               TRUE,"Insuffisant")</f>
        <v>Excellent</v>
      </c>
      <c r="M288" t="str">
        <f t="shared" si="19"/>
        <v>A surveiller</v>
      </c>
      <c r="N288" t="str">
        <f t="shared" si="20"/>
        <v>Autre filière</v>
      </c>
    </row>
    <row r="289" spans="1:14" x14ac:dyDescent="0.45">
      <c r="A289" t="s">
        <v>498</v>
      </c>
      <c r="B289" t="s">
        <v>49</v>
      </c>
      <c r="E289" t="s">
        <v>16</v>
      </c>
      <c r="F289">
        <v>13.42</v>
      </c>
      <c r="H289">
        <v>9.9700000000000006</v>
      </c>
      <c r="J289">
        <v>0.59109999999999996</v>
      </c>
      <c r="K289" t="str">
        <f t="shared" si="18"/>
        <v>Refusé</v>
      </c>
      <c r="L289" t="str" cm="1">
        <f t="array" ref="L289">_xlfn.IFS(H289&gt;=16,"Excellent",
               H289&gt;=14,"Très bien",
               H289&gt;=12,"Bien",
               H289&gt;=10,"Passable",
               TRUE,"Insuffisant")</f>
        <v>Insuffisant</v>
      </c>
      <c r="M289" t="str">
        <f t="shared" si="19"/>
        <v>A surveiller</v>
      </c>
      <c r="N289" t="str">
        <f t="shared" si="20"/>
        <v>Data</v>
      </c>
    </row>
    <row r="290" spans="1:14" x14ac:dyDescent="0.45">
      <c r="A290" t="s">
        <v>499</v>
      </c>
      <c r="B290" t="s">
        <v>500</v>
      </c>
      <c r="E290" t="s">
        <v>42</v>
      </c>
      <c r="F290">
        <v>14.21</v>
      </c>
      <c r="H290">
        <v>14.2</v>
      </c>
      <c r="J290">
        <v>0.91249999999999998</v>
      </c>
      <c r="K290" t="str">
        <f t="shared" si="18"/>
        <v>Admis</v>
      </c>
      <c r="L290" t="str" cm="1">
        <f t="array" ref="L290">_xlfn.IFS(H290&gt;=16,"Excellent",
               H290&gt;=14,"Très bien",
               H290&gt;=12,"Bien",
               H290&gt;=10,"Passable",
               TRUE,"Insuffisant")</f>
        <v>Très bien</v>
      </c>
      <c r="M290" t="str">
        <f t="shared" si="19"/>
        <v>RAS</v>
      </c>
      <c r="N290" t="str">
        <f t="shared" si="20"/>
        <v>Autre filière</v>
      </c>
    </row>
    <row r="291" spans="1:14" x14ac:dyDescent="0.45">
      <c r="A291" t="s">
        <v>501</v>
      </c>
      <c r="B291" t="s">
        <v>155</v>
      </c>
      <c r="E291" t="s">
        <v>16</v>
      </c>
      <c r="F291">
        <v>14.91</v>
      </c>
      <c r="H291">
        <v>14.5</v>
      </c>
      <c r="J291">
        <v>0.84230000000000005</v>
      </c>
      <c r="K291" t="str">
        <f t="shared" si="18"/>
        <v>Admis</v>
      </c>
      <c r="L291" t="str" cm="1">
        <f t="array" ref="L291">_xlfn.IFS(H291&gt;=16,"Excellent",
               H291&gt;=14,"Très bien",
               H291&gt;=12,"Bien",
               H291&gt;=10,"Passable",
               TRUE,"Insuffisant")</f>
        <v>Très bien</v>
      </c>
      <c r="M291" t="str">
        <f t="shared" si="19"/>
        <v>RAS</v>
      </c>
      <c r="N291" t="str">
        <f t="shared" si="20"/>
        <v>Data</v>
      </c>
    </row>
    <row r="292" spans="1:14" x14ac:dyDescent="0.45">
      <c r="A292" t="s">
        <v>502</v>
      </c>
      <c r="B292" t="s">
        <v>503</v>
      </c>
      <c r="E292" t="s">
        <v>21</v>
      </c>
      <c r="F292">
        <v>13.47</v>
      </c>
      <c r="H292">
        <v>12.22</v>
      </c>
      <c r="J292">
        <v>0.83460000000000001</v>
      </c>
      <c r="K292" t="str">
        <f t="shared" si="18"/>
        <v>Admis</v>
      </c>
      <c r="L292" t="str" cm="1">
        <f t="array" ref="L292">_xlfn.IFS(H292&gt;=16,"Excellent",
               H292&gt;=14,"Très bien",
               H292&gt;=12,"Bien",
               H292&gt;=10,"Passable",
               TRUE,"Insuffisant")</f>
        <v>Bien</v>
      </c>
      <c r="M292" t="str">
        <f t="shared" si="19"/>
        <v>RAS</v>
      </c>
      <c r="N292" t="str">
        <f t="shared" si="20"/>
        <v>Autre filière</v>
      </c>
    </row>
    <row r="293" spans="1:14" x14ac:dyDescent="0.45">
      <c r="A293" t="s">
        <v>504</v>
      </c>
      <c r="B293" t="s">
        <v>505</v>
      </c>
      <c r="E293" t="s">
        <v>29</v>
      </c>
      <c r="F293">
        <v>19.03</v>
      </c>
      <c r="H293">
        <v>20</v>
      </c>
      <c r="J293">
        <v>0.88360000000000005</v>
      </c>
      <c r="K293" t="str">
        <f t="shared" si="18"/>
        <v>Admis</v>
      </c>
      <c r="L293" t="str" cm="1">
        <f t="array" ref="L293">_xlfn.IFS(H293&gt;=16,"Excellent",
               H293&gt;=14,"Très bien",
               H293&gt;=12,"Bien",
               H293&gt;=10,"Passable",
               TRUE,"Insuffisant")</f>
        <v>Excellent</v>
      </c>
      <c r="M293" t="str">
        <f t="shared" si="19"/>
        <v>RAS</v>
      </c>
      <c r="N293" t="str">
        <f t="shared" si="20"/>
        <v>Autre filière</v>
      </c>
    </row>
    <row r="294" spans="1:14" x14ac:dyDescent="0.45">
      <c r="A294" t="s">
        <v>506</v>
      </c>
      <c r="B294" t="s">
        <v>107</v>
      </c>
      <c r="E294" t="s">
        <v>42</v>
      </c>
      <c r="F294">
        <v>13.37</v>
      </c>
      <c r="H294">
        <v>14.54</v>
      </c>
      <c r="J294">
        <v>0.89810000000000001</v>
      </c>
      <c r="K294" t="str">
        <f t="shared" si="18"/>
        <v>Admis</v>
      </c>
      <c r="L294" t="str" cm="1">
        <f t="array" ref="L294">_xlfn.IFS(H294&gt;=16,"Excellent",
               H294&gt;=14,"Très bien",
               H294&gt;=12,"Bien",
               H294&gt;=10,"Passable",
               TRUE,"Insuffisant")</f>
        <v>Très bien</v>
      </c>
      <c r="M294" t="str">
        <f t="shared" si="19"/>
        <v>RAS</v>
      </c>
      <c r="N294" t="str">
        <f t="shared" si="20"/>
        <v>Autre filière</v>
      </c>
    </row>
    <row r="295" spans="1:14" x14ac:dyDescent="0.45">
      <c r="A295" t="s">
        <v>507</v>
      </c>
      <c r="B295" t="s">
        <v>508</v>
      </c>
      <c r="E295" t="s">
        <v>21</v>
      </c>
      <c r="F295">
        <v>16.010000000000002</v>
      </c>
      <c r="H295">
        <v>16.96</v>
      </c>
      <c r="J295">
        <v>0.92490000000000006</v>
      </c>
      <c r="K295" t="str">
        <f t="shared" si="18"/>
        <v>Admis</v>
      </c>
      <c r="L295" t="str" cm="1">
        <f t="array" ref="L295">_xlfn.IFS(H295&gt;=16,"Excellent",
               H295&gt;=14,"Très bien",
               H295&gt;=12,"Bien",
               H295&gt;=10,"Passable",
               TRUE,"Insuffisant")</f>
        <v>Excellent</v>
      </c>
      <c r="M295" t="str">
        <f t="shared" si="19"/>
        <v>RAS</v>
      </c>
      <c r="N295" t="str">
        <f t="shared" si="20"/>
        <v>Autre filière</v>
      </c>
    </row>
    <row r="296" spans="1:14" x14ac:dyDescent="0.45">
      <c r="A296" t="s">
        <v>509</v>
      </c>
      <c r="B296" t="s">
        <v>510</v>
      </c>
      <c r="E296" t="s">
        <v>42</v>
      </c>
      <c r="F296">
        <v>13.51</v>
      </c>
      <c r="H296">
        <v>15.65</v>
      </c>
      <c r="J296">
        <v>0.87549999999999994</v>
      </c>
      <c r="K296" t="str">
        <f t="shared" si="18"/>
        <v>Admis</v>
      </c>
      <c r="L296" t="str" cm="1">
        <f t="array" ref="L296">_xlfn.IFS(H296&gt;=16,"Excellent",
               H296&gt;=14,"Très bien",
               H296&gt;=12,"Bien",
               H296&gt;=10,"Passable",
               TRUE,"Insuffisant")</f>
        <v>Très bien</v>
      </c>
      <c r="M296" t="str">
        <f t="shared" si="19"/>
        <v>RAS</v>
      </c>
      <c r="N296" t="str">
        <f t="shared" si="20"/>
        <v>Autre filière</v>
      </c>
    </row>
    <row r="297" spans="1:14" x14ac:dyDescent="0.45">
      <c r="A297" t="s">
        <v>511</v>
      </c>
      <c r="B297" t="s">
        <v>512</v>
      </c>
      <c r="E297" t="s">
        <v>16</v>
      </c>
      <c r="F297">
        <v>18.760000000000002</v>
      </c>
      <c r="H297">
        <v>15.29</v>
      </c>
      <c r="J297">
        <v>0.94489999999999996</v>
      </c>
      <c r="K297" t="str">
        <f t="shared" si="18"/>
        <v>Admis</v>
      </c>
      <c r="L297" t="str" cm="1">
        <f t="array" ref="L297">_xlfn.IFS(H297&gt;=16,"Excellent",
               H297&gt;=14,"Très bien",
               H297&gt;=12,"Bien",
               H297&gt;=10,"Passable",
               TRUE,"Insuffisant")</f>
        <v>Très bien</v>
      </c>
      <c r="M297" t="str">
        <f t="shared" si="19"/>
        <v>RAS</v>
      </c>
      <c r="N297" t="str">
        <f t="shared" si="20"/>
        <v>Data</v>
      </c>
    </row>
    <row r="298" spans="1:14" x14ac:dyDescent="0.45">
      <c r="A298" t="s">
        <v>513</v>
      </c>
      <c r="B298" t="s">
        <v>185</v>
      </c>
      <c r="E298" t="s">
        <v>16</v>
      </c>
      <c r="F298">
        <v>14.91</v>
      </c>
      <c r="H298">
        <v>12.43</v>
      </c>
      <c r="J298">
        <v>0.71930000000000005</v>
      </c>
      <c r="K298" t="str">
        <f t="shared" si="18"/>
        <v>Admis sous condition</v>
      </c>
      <c r="L298" t="str" cm="1">
        <f t="array" ref="L298">_xlfn.IFS(H298&gt;=16,"Excellent",
               H298&gt;=14,"Très bien",
               H298&gt;=12,"Bien",
               H298&gt;=10,"Passable",
               TRUE,"Insuffisant")</f>
        <v>Bien</v>
      </c>
      <c r="M298" t="str">
        <f t="shared" si="19"/>
        <v>RAS</v>
      </c>
      <c r="N298" t="str">
        <f t="shared" si="20"/>
        <v>Data</v>
      </c>
    </row>
    <row r="299" spans="1:14" x14ac:dyDescent="0.45">
      <c r="A299" t="s">
        <v>514</v>
      </c>
      <c r="B299" t="s">
        <v>515</v>
      </c>
      <c r="E299" t="s">
        <v>16</v>
      </c>
      <c r="F299">
        <v>14.41</v>
      </c>
      <c r="H299">
        <v>12.11</v>
      </c>
      <c r="J299">
        <v>0.78539999999999999</v>
      </c>
      <c r="K299" t="str">
        <f t="shared" si="18"/>
        <v>Admis sous condition</v>
      </c>
      <c r="L299" t="str" cm="1">
        <f t="array" ref="L299">_xlfn.IFS(H299&gt;=16,"Excellent",
               H299&gt;=14,"Très bien",
               H299&gt;=12,"Bien",
               H299&gt;=10,"Passable",
               TRUE,"Insuffisant")</f>
        <v>Bien</v>
      </c>
      <c r="M299" t="str">
        <f t="shared" si="19"/>
        <v>RAS</v>
      </c>
      <c r="N299" t="str">
        <f t="shared" si="20"/>
        <v>Data</v>
      </c>
    </row>
    <row r="300" spans="1:14" x14ac:dyDescent="0.45">
      <c r="A300" t="s">
        <v>516</v>
      </c>
      <c r="B300" t="s">
        <v>454</v>
      </c>
      <c r="E300" t="s">
        <v>21</v>
      </c>
      <c r="F300">
        <v>16.96</v>
      </c>
      <c r="H300">
        <v>15.37</v>
      </c>
      <c r="J300">
        <v>0.75690000000000002</v>
      </c>
      <c r="K300" t="str">
        <f t="shared" si="18"/>
        <v>Admis sous condition</v>
      </c>
      <c r="L300" t="str" cm="1">
        <f t="array" ref="L300">_xlfn.IFS(H300&gt;=16,"Excellent",
               H300&gt;=14,"Très bien",
               H300&gt;=12,"Bien",
               H300&gt;=10,"Passable",
               TRUE,"Insuffisant")</f>
        <v>Très bien</v>
      </c>
      <c r="M300" t="str">
        <f t="shared" si="19"/>
        <v>RAS</v>
      </c>
      <c r="N300" t="str">
        <f t="shared" si="20"/>
        <v>Autre filière</v>
      </c>
    </row>
    <row r="301" spans="1:14" x14ac:dyDescent="0.45">
      <c r="A301" t="s">
        <v>517</v>
      </c>
      <c r="B301" t="s">
        <v>77</v>
      </c>
      <c r="E301" t="s">
        <v>21</v>
      </c>
      <c r="F301">
        <v>10.31</v>
      </c>
      <c r="H301">
        <v>9.83</v>
      </c>
      <c r="J301">
        <v>0.69230000000000003</v>
      </c>
      <c r="K301" t="str">
        <f t="shared" si="18"/>
        <v>Refusé</v>
      </c>
      <c r="L301" t="str" cm="1">
        <f t="array" ref="L301">_xlfn.IFS(H301&gt;=16,"Excellent",
               H301&gt;=14,"Très bien",
               H301&gt;=12,"Bien",
               H301&gt;=10,"Passable",
               TRUE,"Insuffisant")</f>
        <v>Insuffisant</v>
      </c>
      <c r="M301" t="str">
        <f t="shared" si="19"/>
        <v>A surveiller</v>
      </c>
      <c r="N301" t="str">
        <f t="shared" si="20"/>
        <v>Autre filière</v>
      </c>
    </row>
    <row r="302" spans="1:14" x14ac:dyDescent="0.45">
      <c r="A302" t="s">
        <v>518</v>
      </c>
      <c r="B302" t="s">
        <v>268</v>
      </c>
      <c r="E302" t="s">
        <v>29</v>
      </c>
      <c r="F302">
        <v>18.920000000000002</v>
      </c>
      <c r="H302">
        <v>18.82</v>
      </c>
      <c r="J302">
        <v>0.97560000000000002</v>
      </c>
      <c r="K302" t="str">
        <f t="shared" si="18"/>
        <v>Admis</v>
      </c>
      <c r="L302" t="str" cm="1">
        <f t="array" ref="L302">_xlfn.IFS(H302&gt;=16,"Excellent",
               H302&gt;=14,"Très bien",
               H302&gt;=12,"Bien",
               H302&gt;=10,"Passable",
               TRUE,"Insuffisant")</f>
        <v>Excellent</v>
      </c>
      <c r="M302" t="str">
        <f t="shared" si="19"/>
        <v>RAS</v>
      </c>
      <c r="N302" t="str">
        <f t="shared" si="20"/>
        <v>Autre filière</v>
      </c>
    </row>
    <row r="303" spans="1:14" x14ac:dyDescent="0.45">
      <c r="A303" t="s">
        <v>519</v>
      </c>
      <c r="B303" t="s">
        <v>520</v>
      </c>
      <c r="E303" t="s">
        <v>21</v>
      </c>
      <c r="F303">
        <v>16.510000000000002</v>
      </c>
      <c r="H303">
        <v>14.83</v>
      </c>
      <c r="J303">
        <v>0.81740000000000002</v>
      </c>
      <c r="K303" t="str">
        <f t="shared" si="18"/>
        <v>Admis</v>
      </c>
      <c r="L303" t="str" cm="1">
        <f t="array" ref="L303">_xlfn.IFS(H303&gt;=16,"Excellent",
               H303&gt;=14,"Très bien",
               H303&gt;=12,"Bien",
               H303&gt;=10,"Passable",
               TRUE,"Insuffisant")</f>
        <v>Très bien</v>
      </c>
      <c r="M303" t="str">
        <f t="shared" si="19"/>
        <v>RAS</v>
      </c>
      <c r="N303" t="str">
        <f t="shared" si="20"/>
        <v>Autre filière</v>
      </c>
    </row>
    <row r="304" spans="1:14" x14ac:dyDescent="0.45">
      <c r="A304" t="s">
        <v>521</v>
      </c>
      <c r="B304" t="s">
        <v>522</v>
      </c>
      <c r="E304" t="s">
        <v>16</v>
      </c>
      <c r="F304">
        <v>20</v>
      </c>
      <c r="H304">
        <v>15.41</v>
      </c>
      <c r="J304">
        <v>0.7198</v>
      </c>
      <c r="K304" t="str">
        <f t="shared" si="18"/>
        <v>Admis sous condition</v>
      </c>
      <c r="L304" t="str" cm="1">
        <f t="array" ref="L304">_xlfn.IFS(H304&gt;=16,"Excellent",
               H304&gt;=14,"Très bien",
               H304&gt;=12,"Bien",
               H304&gt;=10,"Passable",
               TRUE,"Insuffisant")</f>
        <v>Très bien</v>
      </c>
      <c r="M304" t="str">
        <f t="shared" si="19"/>
        <v>RAS</v>
      </c>
      <c r="N304" t="str">
        <f t="shared" si="20"/>
        <v>Data</v>
      </c>
    </row>
    <row r="305" spans="1:14" x14ac:dyDescent="0.45">
      <c r="A305" t="s">
        <v>523</v>
      </c>
      <c r="B305" t="s">
        <v>55</v>
      </c>
      <c r="E305" t="s">
        <v>42</v>
      </c>
      <c r="F305">
        <v>15.18</v>
      </c>
      <c r="H305">
        <v>19.670000000000002</v>
      </c>
      <c r="J305">
        <v>0.7026</v>
      </c>
      <c r="K305" t="str">
        <f t="shared" si="18"/>
        <v>Admis sous condition</v>
      </c>
      <c r="L305" t="str" cm="1">
        <f t="array" ref="L305">_xlfn.IFS(H305&gt;=16,"Excellent",
               H305&gt;=14,"Très bien",
               H305&gt;=12,"Bien",
               H305&gt;=10,"Passable",
               TRUE,"Insuffisant")</f>
        <v>Excellent</v>
      </c>
      <c r="M305" t="str">
        <f t="shared" si="19"/>
        <v>RAS</v>
      </c>
      <c r="N305" t="str">
        <f t="shared" si="20"/>
        <v>Autre filière</v>
      </c>
    </row>
    <row r="306" spans="1:14" x14ac:dyDescent="0.45">
      <c r="A306" t="s">
        <v>524</v>
      </c>
      <c r="B306" t="s">
        <v>119</v>
      </c>
      <c r="E306" t="s">
        <v>29</v>
      </c>
      <c r="F306">
        <v>16.04</v>
      </c>
      <c r="H306">
        <v>17.809999999999999</v>
      </c>
      <c r="J306">
        <v>0.84230000000000005</v>
      </c>
      <c r="K306" t="str">
        <f t="shared" si="18"/>
        <v>Admis</v>
      </c>
      <c r="L306" t="str" cm="1">
        <f t="array" ref="L306">_xlfn.IFS(H306&gt;=16,"Excellent",
               H306&gt;=14,"Très bien",
               H306&gt;=12,"Bien",
               H306&gt;=10,"Passable",
               TRUE,"Insuffisant")</f>
        <v>Excellent</v>
      </c>
      <c r="M306" t="str">
        <f t="shared" si="19"/>
        <v>RAS</v>
      </c>
      <c r="N306" t="str">
        <f t="shared" si="20"/>
        <v>Autre filière</v>
      </c>
    </row>
    <row r="307" spans="1:14" x14ac:dyDescent="0.45">
      <c r="A307" t="s">
        <v>525</v>
      </c>
      <c r="B307" t="s">
        <v>526</v>
      </c>
      <c r="E307" t="s">
        <v>16</v>
      </c>
      <c r="F307">
        <v>13.37</v>
      </c>
      <c r="H307">
        <v>11.99</v>
      </c>
      <c r="J307">
        <v>0.55000000000000004</v>
      </c>
      <c r="K307" t="str">
        <f t="shared" si="18"/>
        <v>Admis sous condition</v>
      </c>
      <c r="L307" t="str" cm="1">
        <f t="array" ref="L307">_xlfn.IFS(H307&gt;=16,"Excellent",
               H307&gt;=14,"Très bien",
               H307&gt;=12,"Bien",
               H307&gt;=10,"Passable",
               TRUE,"Insuffisant")</f>
        <v>Passable</v>
      </c>
      <c r="M307" t="str">
        <f t="shared" si="19"/>
        <v>A surveiller</v>
      </c>
      <c r="N307" t="str">
        <f t="shared" si="20"/>
        <v>Data</v>
      </c>
    </row>
    <row r="308" spans="1:14" x14ac:dyDescent="0.45">
      <c r="A308" t="s">
        <v>527</v>
      </c>
      <c r="B308" t="s">
        <v>425</v>
      </c>
      <c r="E308" t="s">
        <v>29</v>
      </c>
      <c r="F308">
        <v>15.42</v>
      </c>
      <c r="H308">
        <v>14.68</v>
      </c>
      <c r="J308">
        <v>0.79059999999999997</v>
      </c>
      <c r="K308" t="str">
        <f t="shared" si="18"/>
        <v>Admis sous condition</v>
      </c>
      <c r="L308" t="str" cm="1">
        <f t="array" ref="L308">_xlfn.IFS(H308&gt;=16,"Excellent",
               H308&gt;=14,"Très bien",
               H308&gt;=12,"Bien",
               H308&gt;=10,"Passable",
               TRUE,"Insuffisant")</f>
        <v>Très bien</v>
      </c>
      <c r="M308" t="str">
        <f t="shared" si="19"/>
        <v>RAS</v>
      </c>
      <c r="N308" t="str">
        <f t="shared" si="20"/>
        <v>Autre filière</v>
      </c>
    </row>
    <row r="309" spans="1:14" x14ac:dyDescent="0.45">
      <c r="A309" t="s">
        <v>528</v>
      </c>
      <c r="B309" t="s">
        <v>529</v>
      </c>
      <c r="E309" t="s">
        <v>29</v>
      </c>
      <c r="F309">
        <v>16.04</v>
      </c>
      <c r="H309">
        <v>13.92</v>
      </c>
      <c r="J309">
        <v>0.74919999999999998</v>
      </c>
      <c r="K309" t="str">
        <f t="shared" si="18"/>
        <v>Admis sous condition</v>
      </c>
      <c r="L309" t="str" cm="1">
        <f t="array" ref="L309">_xlfn.IFS(H309&gt;=16,"Excellent",
               H309&gt;=14,"Très bien",
               H309&gt;=12,"Bien",
               H309&gt;=10,"Passable",
               TRUE,"Insuffisant")</f>
        <v>Bien</v>
      </c>
      <c r="M309" t="str">
        <f t="shared" si="19"/>
        <v>RAS</v>
      </c>
      <c r="N309" t="str">
        <f t="shared" si="20"/>
        <v>Autre filière</v>
      </c>
    </row>
    <row r="310" spans="1:14" x14ac:dyDescent="0.45">
      <c r="A310" t="s">
        <v>530</v>
      </c>
      <c r="B310" t="s">
        <v>438</v>
      </c>
      <c r="E310" t="s">
        <v>29</v>
      </c>
      <c r="F310">
        <v>12.09</v>
      </c>
      <c r="H310">
        <v>12.31</v>
      </c>
      <c r="J310">
        <v>0.77869999999999995</v>
      </c>
      <c r="K310" t="str">
        <f t="shared" si="18"/>
        <v>Admis sous condition</v>
      </c>
      <c r="L310" t="str" cm="1">
        <f t="array" ref="L310">_xlfn.IFS(H310&gt;=16,"Excellent",
               H310&gt;=14,"Très bien",
               H310&gt;=12,"Bien",
               H310&gt;=10,"Passable",
               TRUE,"Insuffisant")</f>
        <v>Bien</v>
      </c>
      <c r="M310" t="str">
        <f t="shared" si="19"/>
        <v>RAS</v>
      </c>
      <c r="N310" t="str">
        <f t="shared" si="20"/>
        <v>Autre filière</v>
      </c>
    </row>
    <row r="311" spans="1:14" x14ac:dyDescent="0.45">
      <c r="A311" t="s">
        <v>531</v>
      </c>
      <c r="B311" t="s">
        <v>366</v>
      </c>
      <c r="E311" t="s">
        <v>16</v>
      </c>
      <c r="F311">
        <v>13.81</v>
      </c>
      <c r="H311">
        <v>11.74</v>
      </c>
      <c r="J311">
        <v>0.64239999999999997</v>
      </c>
      <c r="K311" t="str">
        <f t="shared" si="18"/>
        <v>Admis sous condition</v>
      </c>
      <c r="L311" t="str" cm="1">
        <f t="array" ref="L311">_xlfn.IFS(H311&gt;=16,"Excellent",
               H311&gt;=14,"Très bien",
               H311&gt;=12,"Bien",
               H311&gt;=10,"Passable",
               TRUE,"Insuffisant")</f>
        <v>Passable</v>
      </c>
      <c r="M311" t="str">
        <f t="shared" si="19"/>
        <v>A surveiller</v>
      </c>
      <c r="N311" t="str">
        <f t="shared" si="20"/>
        <v>Data</v>
      </c>
    </row>
    <row r="312" spans="1:14" x14ac:dyDescent="0.45">
      <c r="A312" t="s">
        <v>532</v>
      </c>
      <c r="B312" t="s">
        <v>533</v>
      </c>
      <c r="E312" t="s">
        <v>29</v>
      </c>
      <c r="F312">
        <v>20</v>
      </c>
      <c r="H312">
        <v>18.260000000000002</v>
      </c>
      <c r="J312">
        <v>0.91190000000000004</v>
      </c>
      <c r="K312" t="str">
        <f t="shared" si="18"/>
        <v>Admis</v>
      </c>
      <c r="L312" t="str" cm="1">
        <f t="array" ref="L312">_xlfn.IFS(H312&gt;=16,"Excellent",
               H312&gt;=14,"Très bien",
               H312&gt;=12,"Bien",
               H312&gt;=10,"Passable",
               TRUE,"Insuffisant")</f>
        <v>Excellent</v>
      </c>
      <c r="M312" t="str">
        <f t="shared" si="19"/>
        <v>RAS</v>
      </c>
      <c r="N312" t="str">
        <f t="shared" si="20"/>
        <v>Autre filière</v>
      </c>
    </row>
    <row r="313" spans="1:14" x14ac:dyDescent="0.45">
      <c r="A313" t="s">
        <v>534</v>
      </c>
      <c r="B313" t="s">
        <v>535</v>
      </c>
      <c r="E313" t="s">
        <v>16</v>
      </c>
      <c r="F313">
        <v>16.07</v>
      </c>
      <c r="H313">
        <v>16.62</v>
      </c>
      <c r="J313">
        <v>0.8952</v>
      </c>
      <c r="K313" t="str">
        <f t="shared" si="18"/>
        <v>Admis</v>
      </c>
      <c r="L313" t="str" cm="1">
        <f t="array" ref="L313">_xlfn.IFS(H313&gt;=16,"Excellent",
               H313&gt;=14,"Très bien",
               H313&gt;=12,"Bien",
               H313&gt;=10,"Passable",
               TRUE,"Insuffisant")</f>
        <v>Excellent</v>
      </c>
      <c r="M313" t="str">
        <f t="shared" si="19"/>
        <v>RAS</v>
      </c>
      <c r="N313" t="str">
        <f t="shared" si="20"/>
        <v>Data</v>
      </c>
    </row>
    <row r="314" spans="1:14" x14ac:dyDescent="0.45">
      <c r="A314" t="s">
        <v>536</v>
      </c>
      <c r="B314" t="s">
        <v>537</v>
      </c>
      <c r="E314" t="s">
        <v>21</v>
      </c>
      <c r="F314">
        <v>10.78</v>
      </c>
      <c r="H314">
        <v>12.87</v>
      </c>
      <c r="J314">
        <v>0.88970000000000005</v>
      </c>
      <c r="K314" t="str">
        <f t="shared" si="18"/>
        <v>Admis sous condition</v>
      </c>
      <c r="L314" t="str" cm="1">
        <f t="array" ref="L314">_xlfn.IFS(H314&gt;=16,"Excellent",
               H314&gt;=14,"Très bien",
               H314&gt;=12,"Bien",
               H314&gt;=10,"Passable",
               TRUE,"Insuffisant")</f>
        <v>Bien</v>
      </c>
      <c r="M314" t="str">
        <f t="shared" si="19"/>
        <v>RAS</v>
      </c>
      <c r="N314" t="str">
        <f t="shared" si="20"/>
        <v>Autre filière</v>
      </c>
    </row>
    <row r="315" spans="1:14" x14ac:dyDescent="0.45">
      <c r="A315" t="s">
        <v>538</v>
      </c>
      <c r="B315" t="s">
        <v>505</v>
      </c>
      <c r="E315" t="s">
        <v>29</v>
      </c>
      <c r="F315">
        <v>19.940000000000001</v>
      </c>
      <c r="H315">
        <v>20</v>
      </c>
      <c r="J315">
        <v>0.78210000000000002</v>
      </c>
      <c r="K315" t="str">
        <f t="shared" si="18"/>
        <v>Admis sous condition</v>
      </c>
      <c r="L315" t="str" cm="1">
        <f t="array" ref="L315">_xlfn.IFS(H315&gt;=16,"Excellent",
               H315&gt;=14,"Très bien",
               H315&gt;=12,"Bien",
               H315&gt;=10,"Passable",
               TRUE,"Insuffisant")</f>
        <v>Excellent</v>
      </c>
      <c r="M315" t="str">
        <f t="shared" si="19"/>
        <v>RAS</v>
      </c>
      <c r="N315" t="str">
        <f t="shared" si="20"/>
        <v>Autre filière</v>
      </c>
    </row>
    <row r="316" spans="1:14" x14ac:dyDescent="0.45">
      <c r="A316" t="s">
        <v>539</v>
      </c>
      <c r="B316" t="s">
        <v>240</v>
      </c>
      <c r="E316" t="s">
        <v>16</v>
      </c>
      <c r="F316">
        <v>10.130000000000001</v>
      </c>
      <c r="H316">
        <v>7.28</v>
      </c>
      <c r="J316">
        <v>0.78939999999999999</v>
      </c>
      <c r="K316" t="str">
        <f t="shared" si="18"/>
        <v>Refusé</v>
      </c>
      <c r="L316" t="str" cm="1">
        <f t="array" ref="L316">_xlfn.IFS(H316&gt;=16,"Excellent",
               H316&gt;=14,"Très bien",
               H316&gt;=12,"Bien",
               H316&gt;=10,"Passable",
               TRUE,"Insuffisant")</f>
        <v>Insuffisant</v>
      </c>
      <c r="M316" t="str">
        <f t="shared" si="19"/>
        <v>A surveiller</v>
      </c>
      <c r="N316" t="str">
        <f t="shared" si="20"/>
        <v>Data</v>
      </c>
    </row>
    <row r="317" spans="1:14" x14ac:dyDescent="0.45">
      <c r="A317" t="s">
        <v>540</v>
      </c>
      <c r="B317" t="s">
        <v>250</v>
      </c>
      <c r="E317" t="s">
        <v>42</v>
      </c>
      <c r="F317">
        <v>9.18</v>
      </c>
      <c r="H317">
        <v>7.54</v>
      </c>
      <c r="J317">
        <v>0.60060000000000002</v>
      </c>
      <c r="K317" t="str">
        <f t="shared" si="18"/>
        <v>Refusé</v>
      </c>
      <c r="L317" t="str" cm="1">
        <f t="array" ref="L317">_xlfn.IFS(H317&gt;=16,"Excellent",
               H317&gt;=14,"Très bien",
               H317&gt;=12,"Bien",
               H317&gt;=10,"Passable",
               TRUE,"Insuffisant")</f>
        <v>Insuffisant</v>
      </c>
      <c r="M317" t="str">
        <f t="shared" si="19"/>
        <v>A surveiller</v>
      </c>
      <c r="N317" t="str">
        <f t="shared" si="20"/>
        <v>Autre filière</v>
      </c>
    </row>
    <row r="318" spans="1:14" x14ac:dyDescent="0.45">
      <c r="A318" t="s">
        <v>541</v>
      </c>
      <c r="B318" t="s">
        <v>417</v>
      </c>
      <c r="E318" t="s">
        <v>21</v>
      </c>
      <c r="F318">
        <v>16.18</v>
      </c>
      <c r="H318">
        <v>15.55</v>
      </c>
      <c r="J318">
        <v>0.86739999999999995</v>
      </c>
      <c r="K318" t="str">
        <f t="shared" si="18"/>
        <v>Admis</v>
      </c>
      <c r="L318" t="str" cm="1">
        <f t="array" ref="L318">_xlfn.IFS(H318&gt;=16,"Excellent",
               H318&gt;=14,"Très bien",
               H318&gt;=12,"Bien",
               H318&gt;=10,"Passable",
               TRUE,"Insuffisant")</f>
        <v>Très bien</v>
      </c>
      <c r="M318" t="str">
        <f t="shared" si="19"/>
        <v>RAS</v>
      </c>
      <c r="N318" t="str">
        <f t="shared" si="20"/>
        <v>Autre filière</v>
      </c>
    </row>
    <row r="319" spans="1:14" x14ac:dyDescent="0.45">
      <c r="A319" t="s">
        <v>542</v>
      </c>
      <c r="B319" t="s">
        <v>533</v>
      </c>
      <c r="E319" t="s">
        <v>29</v>
      </c>
      <c r="F319">
        <v>14.17</v>
      </c>
      <c r="H319">
        <v>10.97</v>
      </c>
      <c r="J319">
        <v>0.98650000000000004</v>
      </c>
      <c r="K319" t="str">
        <f t="shared" si="18"/>
        <v>Admis sous condition</v>
      </c>
      <c r="L319" t="str" cm="1">
        <f t="array" ref="L319">_xlfn.IFS(H319&gt;=16,"Excellent",
               H319&gt;=14,"Très bien",
               H319&gt;=12,"Bien",
               H319&gt;=10,"Passable",
               TRUE,"Insuffisant")</f>
        <v>Passable</v>
      </c>
      <c r="M319" t="str">
        <f t="shared" si="19"/>
        <v>RAS</v>
      </c>
      <c r="N319" t="str">
        <f t="shared" si="20"/>
        <v>Autre filière</v>
      </c>
    </row>
    <row r="320" spans="1:14" x14ac:dyDescent="0.45">
      <c r="A320" t="s">
        <v>543</v>
      </c>
      <c r="B320" t="s">
        <v>544</v>
      </c>
      <c r="E320" t="s">
        <v>21</v>
      </c>
      <c r="F320">
        <v>14.03</v>
      </c>
      <c r="H320">
        <v>12.12</v>
      </c>
      <c r="J320">
        <v>0.87139999999999995</v>
      </c>
      <c r="K320" t="str">
        <f t="shared" si="18"/>
        <v>Admis</v>
      </c>
      <c r="L320" t="str" cm="1">
        <f t="array" ref="L320">_xlfn.IFS(H320&gt;=16,"Excellent",
               H320&gt;=14,"Très bien",
               H320&gt;=12,"Bien",
               H320&gt;=10,"Passable",
               TRUE,"Insuffisant")</f>
        <v>Bien</v>
      </c>
      <c r="M320" t="str">
        <f t="shared" si="19"/>
        <v>RAS</v>
      </c>
      <c r="N320" t="str">
        <f t="shared" si="20"/>
        <v>Autre filière</v>
      </c>
    </row>
    <row r="321" spans="1:14" x14ac:dyDescent="0.45">
      <c r="A321" t="s">
        <v>545</v>
      </c>
      <c r="B321" t="s">
        <v>546</v>
      </c>
      <c r="E321" t="s">
        <v>42</v>
      </c>
      <c r="F321">
        <v>11.2</v>
      </c>
      <c r="H321">
        <v>8.82</v>
      </c>
      <c r="J321">
        <v>0.96179999999999999</v>
      </c>
      <c r="K321" t="str">
        <f t="shared" si="18"/>
        <v>Refusé</v>
      </c>
      <c r="L321" t="str" cm="1">
        <f t="array" ref="L321">_xlfn.IFS(H321&gt;=16,"Excellent",
               H321&gt;=14,"Très bien",
               H321&gt;=12,"Bien",
               H321&gt;=10,"Passable",
               TRUE,"Insuffisant")</f>
        <v>Insuffisant</v>
      </c>
      <c r="M321" t="str">
        <f t="shared" si="19"/>
        <v>A surveiller</v>
      </c>
      <c r="N321" t="str">
        <f t="shared" si="20"/>
        <v>Autre filière</v>
      </c>
    </row>
    <row r="322" spans="1:14" x14ac:dyDescent="0.45">
      <c r="A322" t="s">
        <v>547</v>
      </c>
      <c r="B322" t="s">
        <v>169</v>
      </c>
      <c r="E322" t="s">
        <v>42</v>
      </c>
      <c r="F322">
        <v>13.5</v>
      </c>
      <c r="H322">
        <v>16.13</v>
      </c>
      <c r="J322">
        <v>0.55000000000000004</v>
      </c>
      <c r="K322" t="str">
        <f t="shared" si="18"/>
        <v>Admis sous condition</v>
      </c>
      <c r="L322" t="str" cm="1">
        <f t="array" ref="L322">_xlfn.IFS(H322&gt;=16,"Excellent",
               H322&gt;=14,"Très bien",
               H322&gt;=12,"Bien",
               H322&gt;=10,"Passable",
               TRUE,"Insuffisant")</f>
        <v>Excellent</v>
      </c>
      <c r="M322" t="str">
        <f t="shared" si="19"/>
        <v>A surveiller</v>
      </c>
      <c r="N322" t="str">
        <f t="shared" si="20"/>
        <v>Autre filière</v>
      </c>
    </row>
    <row r="323" spans="1:14" x14ac:dyDescent="0.45">
      <c r="A323" t="s">
        <v>548</v>
      </c>
      <c r="B323" t="s">
        <v>549</v>
      </c>
      <c r="E323" t="s">
        <v>29</v>
      </c>
      <c r="F323">
        <v>17.239999999999998</v>
      </c>
      <c r="H323">
        <v>19.239999999999998</v>
      </c>
      <c r="J323">
        <v>0.67400000000000004</v>
      </c>
      <c r="K323" t="str">
        <f t="shared" si="18"/>
        <v>Admis sous condition</v>
      </c>
      <c r="L323" t="str" cm="1">
        <f t="array" ref="L323">_xlfn.IFS(H323&gt;=16,"Excellent",
               H323&gt;=14,"Très bien",
               H323&gt;=12,"Bien",
               H323&gt;=10,"Passable",
               TRUE,"Insuffisant")</f>
        <v>Excellent</v>
      </c>
      <c r="M323" t="str">
        <f t="shared" si="19"/>
        <v>A surveiller</v>
      </c>
      <c r="N323" t="str">
        <f t="shared" si="20"/>
        <v>Autre filière</v>
      </c>
    </row>
    <row r="324" spans="1:14" x14ac:dyDescent="0.45">
      <c r="A324" t="s">
        <v>550</v>
      </c>
      <c r="B324" t="s">
        <v>551</v>
      </c>
      <c r="E324" t="s">
        <v>16</v>
      </c>
      <c r="F324">
        <v>13.5</v>
      </c>
      <c r="H324">
        <v>14.94</v>
      </c>
      <c r="J324">
        <v>0.8901</v>
      </c>
      <c r="K324" t="str">
        <f t="shared" si="18"/>
        <v>Admis</v>
      </c>
      <c r="L324" t="str" cm="1">
        <f t="array" ref="L324">_xlfn.IFS(H324&gt;=16,"Excellent",
               H324&gt;=14,"Très bien",
               H324&gt;=12,"Bien",
               H324&gt;=10,"Passable",
               TRUE,"Insuffisant")</f>
        <v>Très bien</v>
      </c>
      <c r="M324" t="str">
        <f t="shared" si="19"/>
        <v>RAS</v>
      </c>
      <c r="N324" t="str">
        <f t="shared" si="20"/>
        <v>Data</v>
      </c>
    </row>
    <row r="325" spans="1:14" x14ac:dyDescent="0.45">
      <c r="A325" t="s">
        <v>552</v>
      </c>
      <c r="B325" t="s">
        <v>176</v>
      </c>
      <c r="E325" t="s">
        <v>29</v>
      </c>
      <c r="F325">
        <v>12.32</v>
      </c>
      <c r="H325">
        <v>16.87</v>
      </c>
      <c r="J325">
        <v>0.66690000000000005</v>
      </c>
      <c r="K325" t="str">
        <f t="shared" si="18"/>
        <v>Admis sous condition</v>
      </c>
      <c r="L325" t="str" cm="1">
        <f t="array" ref="L325">_xlfn.IFS(H325&gt;=16,"Excellent",
               H325&gt;=14,"Très bien",
               H325&gt;=12,"Bien",
               H325&gt;=10,"Passable",
               TRUE,"Insuffisant")</f>
        <v>Excellent</v>
      </c>
      <c r="M325" t="str">
        <f t="shared" si="19"/>
        <v>A surveiller</v>
      </c>
      <c r="N325" t="str">
        <f t="shared" si="20"/>
        <v>Autre filière</v>
      </c>
    </row>
    <row r="326" spans="1:14" x14ac:dyDescent="0.45">
      <c r="A326" t="s">
        <v>553</v>
      </c>
      <c r="B326" t="s">
        <v>73</v>
      </c>
      <c r="E326" t="s">
        <v>21</v>
      </c>
      <c r="F326">
        <v>12.76</v>
      </c>
      <c r="H326">
        <v>15.88</v>
      </c>
      <c r="J326">
        <v>0.92649999999999999</v>
      </c>
      <c r="K326" t="str">
        <f t="shared" si="18"/>
        <v>Admis</v>
      </c>
      <c r="L326" t="str" cm="1">
        <f t="array" ref="L326">_xlfn.IFS(H326&gt;=16,"Excellent",
               H326&gt;=14,"Très bien",
               H326&gt;=12,"Bien",
               H326&gt;=10,"Passable",
               TRUE,"Insuffisant")</f>
        <v>Très bien</v>
      </c>
      <c r="M326" t="str">
        <f t="shared" si="19"/>
        <v>RAS</v>
      </c>
      <c r="N326" t="str">
        <f t="shared" si="20"/>
        <v>Autre filière</v>
      </c>
    </row>
    <row r="327" spans="1:14" x14ac:dyDescent="0.45">
      <c r="A327" t="s">
        <v>554</v>
      </c>
      <c r="B327" t="s">
        <v>63</v>
      </c>
      <c r="E327" t="s">
        <v>21</v>
      </c>
      <c r="F327">
        <v>12.34</v>
      </c>
      <c r="H327">
        <v>15.36</v>
      </c>
      <c r="J327">
        <v>0.9254</v>
      </c>
      <c r="K327" t="str">
        <f t="shared" si="18"/>
        <v>Admis</v>
      </c>
      <c r="L327" t="str" cm="1">
        <f t="array" ref="L327">_xlfn.IFS(H327&gt;=16,"Excellent",
               H327&gt;=14,"Très bien",
               H327&gt;=12,"Bien",
               H327&gt;=10,"Passable",
               TRUE,"Insuffisant")</f>
        <v>Très bien</v>
      </c>
      <c r="M327" t="str">
        <f t="shared" si="19"/>
        <v>RAS</v>
      </c>
      <c r="N327" t="str">
        <f t="shared" si="20"/>
        <v>Autre filière</v>
      </c>
    </row>
    <row r="328" spans="1:14" x14ac:dyDescent="0.45">
      <c r="A328" t="s">
        <v>555</v>
      </c>
      <c r="B328" t="s">
        <v>556</v>
      </c>
      <c r="E328" t="s">
        <v>21</v>
      </c>
      <c r="F328">
        <v>8.01</v>
      </c>
      <c r="H328">
        <v>5.86</v>
      </c>
      <c r="J328">
        <v>0.89339999999999997</v>
      </c>
      <c r="K328" t="str">
        <f t="shared" si="18"/>
        <v>Refusé</v>
      </c>
      <c r="L328" t="str" cm="1">
        <f t="array" ref="L328">_xlfn.IFS(H328&gt;=16,"Excellent",
               H328&gt;=14,"Très bien",
               H328&gt;=12,"Bien",
               H328&gt;=10,"Passable",
               TRUE,"Insuffisant")</f>
        <v>Insuffisant</v>
      </c>
      <c r="M328" t="str">
        <f t="shared" si="19"/>
        <v>A surveiller</v>
      </c>
      <c r="N328" t="str">
        <f t="shared" si="20"/>
        <v>Autre filière</v>
      </c>
    </row>
    <row r="329" spans="1:14" x14ac:dyDescent="0.45">
      <c r="A329" t="s">
        <v>557</v>
      </c>
      <c r="B329" t="s">
        <v>558</v>
      </c>
      <c r="E329" t="s">
        <v>21</v>
      </c>
      <c r="F329">
        <v>15.32</v>
      </c>
      <c r="H329">
        <v>13.33</v>
      </c>
      <c r="J329">
        <v>0.80220000000000002</v>
      </c>
      <c r="K329" t="str">
        <f t="shared" si="18"/>
        <v>Admis</v>
      </c>
      <c r="L329" t="str" cm="1">
        <f t="array" ref="L329">_xlfn.IFS(H329&gt;=16,"Excellent",
               H329&gt;=14,"Très bien",
               H329&gt;=12,"Bien",
               H329&gt;=10,"Passable",
               TRUE,"Insuffisant")</f>
        <v>Bien</v>
      </c>
      <c r="M329" t="str">
        <f t="shared" si="19"/>
        <v>RAS</v>
      </c>
      <c r="N329" t="str">
        <f t="shared" si="20"/>
        <v>Autre filière</v>
      </c>
    </row>
    <row r="330" spans="1:14" x14ac:dyDescent="0.45">
      <c r="A330" t="s">
        <v>559</v>
      </c>
      <c r="B330" t="s">
        <v>376</v>
      </c>
      <c r="E330" t="s">
        <v>29</v>
      </c>
      <c r="F330">
        <v>14.49</v>
      </c>
      <c r="H330">
        <v>20</v>
      </c>
      <c r="J330">
        <v>0.67269999999999996</v>
      </c>
      <c r="K330" t="str">
        <f t="shared" si="18"/>
        <v>Admis sous condition</v>
      </c>
      <c r="L330" t="str" cm="1">
        <f t="array" ref="L330">_xlfn.IFS(H330&gt;=16,"Excellent",
               H330&gt;=14,"Très bien",
               H330&gt;=12,"Bien",
               H330&gt;=10,"Passable",
               TRUE,"Insuffisant")</f>
        <v>Excellent</v>
      </c>
      <c r="M330" t="str">
        <f t="shared" si="19"/>
        <v>A surveiller</v>
      </c>
      <c r="N330" t="str">
        <f t="shared" si="20"/>
        <v>Autre filière</v>
      </c>
    </row>
    <row r="331" spans="1:14" x14ac:dyDescent="0.45">
      <c r="A331" t="s">
        <v>560</v>
      </c>
      <c r="B331" t="s">
        <v>546</v>
      </c>
      <c r="E331" t="s">
        <v>29</v>
      </c>
      <c r="F331">
        <v>12.31</v>
      </c>
      <c r="H331">
        <v>9.82</v>
      </c>
      <c r="J331">
        <v>0.85360000000000003</v>
      </c>
      <c r="K331" t="str">
        <f t="shared" si="18"/>
        <v>Refusé</v>
      </c>
      <c r="L331" t="str" cm="1">
        <f t="array" ref="L331">_xlfn.IFS(H331&gt;=16,"Excellent",
               H331&gt;=14,"Très bien",
               H331&gt;=12,"Bien",
               H331&gt;=10,"Passable",
               TRUE,"Insuffisant")</f>
        <v>Insuffisant</v>
      </c>
      <c r="M331" t="str">
        <f t="shared" si="19"/>
        <v>A surveiller</v>
      </c>
      <c r="N331" t="str">
        <f t="shared" si="20"/>
        <v>Autre filière</v>
      </c>
    </row>
    <row r="332" spans="1:14" x14ac:dyDescent="0.45">
      <c r="A332" t="s">
        <v>561</v>
      </c>
      <c r="B332" t="s">
        <v>264</v>
      </c>
      <c r="E332" t="s">
        <v>21</v>
      </c>
      <c r="F332">
        <v>11.06</v>
      </c>
      <c r="H332">
        <v>11.26</v>
      </c>
      <c r="J332">
        <v>0.78349999999999997</v>
      </c>
      <c r="K332" t="str">
        <f t="shared" si="18"/>
        <v>Admis sous condition</v>
      </c>
      <c r="L332" t="str" cm="1">
        <f t="array" ref="L332">_xlfn.IFS(H332&gt;=16,"Excellent",
               H332&gt;=14,"Très bien",
               H332&gt;=12,"Bien",
               H332&gt;=10,"Passable",
               TRUE,"Insuffisant")</f>
        <v>Passable</v>
      </c>
      <c r="M332" t="str">
        <f t="shared" si="19"/>
        <v>RAS</v>
      </c>
      <c r="N332" t="str">
        <f t="shared" si="20"/>
        <v>Autre filière</v>
      </c>
    </row>
    <row r="333" spans="1:14" x14ac:dyDescent="0.45">
      <c r="A333" t="s">
        <v>562</v>
      </c>
      <c r="B333" t="s">
        <v>447</v>
      </c>
      <c r="E333" t="s">
        <v>42</v>
      </c>
      <c r="F333">
        <v>9.31</v>
      </c>
      <c r="H333">
        <v>12.04</v>
      </c>
      <c r="J333">
        <v>0.83299999999999996</v>
      </c>
      <c r="K333" t="str">
        <f t="shared" si="18"/>
        <v>Refusé</v>
      </c>
      <c r="L333" t="str" cm="1">
        <f t="array" ref="L333">_xlfn.IFS(H333&gt;=16,"Excellent",
               H333&gt;=14,"Très bien",
               H333&gt;=12,"Bien",
               H333&gt;=10,"Passable",
               TRUE,"Insuffisant")</f>
        <v>Bien</v>
      </c>
      <c r="M333" t="str">
        <f t="shared" si="19"/>
        <v>A surveiller</v>
      </c>
      <c r="N333" t="str">
        <f t="shared" si="20"/>
        <v>Autre filière</v>
      </c>
    </row>
    <row r="334" spans="1:14" x14ac:dyDescent="0.45">
      <c r="A334" t="s">
        <v>563</v>
      </c>
      <c r="B334" t="s">
        <v>214</v>
      </c>
      <c r="E334" t="s">
        <v>29</v>
      </c>
      <c r="F334">
        <v>11.86</v>
      </c>
      <c r="H334">
        <v>13.21</v>
      </c>
      <c r="J334">
        <v>0.95879999999999999</v>
      </c>
      <c r="K334" t="str">
        <f t="shared" si="18"/>
        <v>Admis sous condition</v>
      </c>
      <c r="L334" t="str" cm="1">
        <f t="array" ref="L334">_xlfn.IFS(H334&gt;=16,"Excellent",
               H334&gt;=14,"Très bien",
               H334&gt;=12,"Bien",
               H334&gt;=10,"Passable",
               TRUE,"Insuffisant")</f>
        <v>Bien</v>
      </c>
      <c r="M334" t="str">
        <f t="shared" si="19"/>
        <v>RAS</v>
      </c>
      <c r="N334" t="str">
        <f t="shared" si="20"/>
        <v>Autre filière</v>
      </c>
    </row>
    <row r="335" spans="1:14" x14ac:dyDescent="0.45">
      <c r="A335" t="s">
        <v>564</v>
      </c>
      <c r="B335" t="s">
        <v>105</v>
      </c>
      <c r="E335" t="s">
        <v>29</v>
      </c>
      <c r="F335">
        <v>9.61</v>
      </c>
      <c r="H335">
        <v>12.59</v>
      </c>
      <c r="J335">
        <v>0.95950000000000002</v>
      </c>
      <c r="K335" t="str">
        <f t="shared" si="18"/>
        <v>Refusé</v>
      </c>
      <c r="L335" t="str" cm="1">
        <f t="array" ref="L335">_xlfn.IFS(H335&gt;=16,"Excellent",
               H335&gt;=14,"Très bien",
               H335&gt;=12,"Bien",
               H335&gt;=10,"Passable",
               TRUE,"Insuffisant")</f>
        <v>Bien</v>
      </c>
      <c r="M335" t="str">
        <f t="shared" si="19"/>
        <v>A surveiller</v>
      </c>
      <c r="N335" t="str">
        <f t="shared" si="20"/>
        <v>Autre filière</v>
      </c>
    </row>
    <row r="336" spans="1:14" x14ac:dyDescent="0.45">
      <c r="A336" t="s">
        <v>565</v>
      </c>
      <c r="B336" t="s">
        <v>314</v>
      </c>
      <c r="E336" t="s">
        <v>21</v>
      </c>
      <c r="F336">
        <v>5.92</v>
      </c>
      <c r="H336">
        <v>8.35</v>
      </c>
      <c r="J336">
        <v>0.93059999999999998</v>
      </c>
      <c r="K336" t="str">
        <f t="shared" si="18"/>
        <v>Refusé</v>
      </c>
      <c r="L336" t="str" cm="1">
        <f t="array" ref="L336">_xlfn.IFS(H336&gt;=16,"Excellent",
               H336&gt;=14,"Très bien",
               H336&gt;=12,"Bien",
               H336&gt;=10,"Passable",
               TRUE,"Insuffisant")</f>
        <v>Insuffisant</v>
      </c>
      <c r="M336" t="str">
        <f t="shared" si="19"/>
        <v>A surveiller</v>
      </c>
      <c r="N336" t="str">
        <f t="shared" si="20"/>
        <v>Autre filière</v>
      </c>
    </row>
    <row r="337" spans="1:14" x14ac:dyDescent="0.45">
      <c r="A337" t="s">
        <v>566</v>
      </c>
      <c r="B337" t="s">
        <v>471</v>
      </c>
      <c r="E337" t="s">
        <v>16</v>
      </c>
      <c r="F337">
        <v>17.38</v>
      </c>
      <c r="H337">
        <v>17.46</v>
      </c>
      <c r="J337">
        <v>0.84789999999999999</v>
      </c>
      <c r="K337" t="str">
        <f t="shared" si="18"/>
        <v>Admis</v>
      </c>
      <c r="L337" t="str" cm="1">
        <f t="array" ref="L337">_xlfn.IFS(H337&gt;=16,"Excellent",
               H337&gt;=14,"Très bien",
               H337&gt;=12,"Bien",
               H337&gt;=10,"Passable",
               TRUE,"Insuffisant")</f>
        <v>Excellent</v>
      </c>
      <c r="M337" t="str">
        <f t="shared" si="19"/>
        <v>RAS</v>
      </c>
      <c r="N337" t="str">
        <f t="shared" si="20"/>
        <v>Data</v>
      </c>
    </row>
    <row r="338" spans="1:14" x14ac:dyDescent="0.45">
      <c r="A338" t="s">
        <v>567</v>
      </c>
      <c r="B338" t="s">
        <v>479</v>
      </c>
      <c r="E338" t="s">
        <v>16</v>
      </c>
      <c r="F338">
        <v>11.79</v>
      </c>
      <c r="H338">
        <v>13.26</v>
      </c>
      <c r="J338">
        <v>0.8589</v>
      </c>
      <c r="K338" t="str">
        <f t="shared" si="18"/>
        <v>Admis sous condition</v>
      </c>
      <c r="L338" t="str" cm="1">
        <f t="array" ref="L338">_xlfn.IFS(H338&gt;=16,"Excellent",
               H338&gt;=14,"Très bien",
               H338&gt;=12,"Bien",
               H338&gt;=10,"Passable",
               TRUE,"Insuffisant")</f>
        <v>Bien</v>
      </c>
      <c r="M338" t="str">
        <f t="shared" si="19"/>
        <v>RAS</v>
      </c>
      <c r="N338" t="str">
        <f t="shared" si="20"/>
        <v>Data</v>
      </c>
    </row>
    <row r="339" spans="1:14" x14ac:dyDescent="0.45">
      <c r="A339" t="s">
        <v>568</v>
      </c>
      <c r="B339" t="s">
        <v>569</v>
      </c>
      <c r="E339" t="s">
        <v>42</v>
      </c>
      <c r="F339">
        <v>15.26</v>
      </c>
      <c r="H339">
        <v>13.02</v>
      </c>
      <c r="J339">
        <v>0.73309999999999997</v>
      </c>
      <c r="K339" t="str">
        <f t="shared" si="18"/>
        <v>Admis sous condition</v>
      </c>
      <c r="L339" t="str" cm="1">
        <f t="array" ref="L339">_xlfn.IFS(H339&gt;=16,"Excellent",
               H339&gt;=14,"Très bien",
               H339&gt;=12,"Bien",
               H339&gt;=10,"Passable",
               TRUE,"Insuffisant")</f>
        <v>Bien</v>
      </c>
      <c r="M339" t="str">
        <f t="shared" si="19"/>
        <v>RAS</v>
      </c>
      <c r="N339" t="str">
        <f t="shared" si="20"/>
        <v>Autre filière</v>
      </c>
    </row>
    <row r="340" spans="1:14" x14ac:dyDescent="0.45">
      <c r="A340" t="s">
        <v>570</v>
      </c>
      <c r="B340" t="s">
        <v>164</v>
      </c>
      <c r="E340" t="s">
        <v>16</v>
      </c>
      <c r="F340">
        <v>9.8800000000000008</v>
      </c>
      <c r="H340">
        <v>4.3</v>
      </c>
      <c r="J340">
        <v>0.80679999999999996</v>
      </c>
      <c r="K340" t="str">
        <f t="shared" si="18"/>
        <v>Refusé</v>
      </c>
      <c r="L340" t="str" cm="1">
        <f t="array" ref="L340">_xlfn.IFS(H340&gt;=16,"Excellent",
               H340&gt;=14,"Très bien",
               H340&gt;=12,"Bien",
               H340&gt;=10,"Passable",
               TRUE,"Insuffisant")</f>
        <v>Insuffisant</v>
      </c>
      <c r="M340" t="str">
        <f t="shared" si="19"/>
        <v>A surveiller</v>
      </c>
      <c r="N340" t="str">
        <f t="shared" si="20"/>
        <v>Data</v>
      </c>
    </row>
    <row r="341" spans="1:14" x14ac:dyDescent="0.45">
      <c r="A341" t="s">
        <v>571</v>
      </c>
      <c r="B341" t="s">
        <v>572</v>
      </c>
      <c r="E341" t="s">
        <v>16</v>
      </c>
      <c r="F341">
        <v>9.9</v>
      </c>
      <c r="H341">
        <v>8.75</v>
      </c>
      <c r="J341">
        <v>0.95840000000000003</v>
      </c>
      <c r="K341" t="str">
        <f t="shared" si="18"/>
        <v>Refusé</v>
      </c>
      <c r="L341" t="str" cm="1">
        <f t="array" ref="L341">_xlfn.IFS(H341&gt;=16,"Excellent",
               H341&gt;=14,"Très bien",
               H341&gt;=12,"Bien",
               H341&gt;=10,"Passable",
               TRUE,"Insuffisant")</f>
        <v>Insuffisant</v>
      </c>
      <c r="M341" t="str">
        <f t="shared" si="19"/>
        <v>A surveiller</v>
      </c>
      <c r="N341" t="str">
        <f t="shared" si="20"/>
        <v>Data</v>
      </c>
    </row>
    <row r="342" spans="1:14" x14ac:dyDescent="0.45">
      <c r="A342" t="s">
        <v>573</v>
      </c>
      <c r="B342" t="s">
        <v>23</v>
      </c>
      <c r="E342" t="s">
        <v>21</v>
      </c>
      <c r="F342">
        <v>17.59</v>
      </c>
      <c r="H342">
        <v>15.91</v>
      </c>
      <c r="J342">
        <v>0.93799999999999994</v>
      </c>
      <c r="K342" t="str">
        <f t="shared" si="18"/>
        <v>Admis</v>
      </c>
      <c r="L342" t="str" cm="1">
        <f t="array" ref="L342">_xlfn.IFS(H342&gt;=16,"Excellent",
               H342&gt;=14,"Très bien",
               H342&gt;=12,"Bien",
               H342&gt;=10,"Passable",
               TRUE,"Insuffisant")</f>
        <v>Très bien</v>
      </c>
      <c r="M342" t="str">
        <f t="shared" si="19"/>
        <v>RAS</v>
      </c>
      <c r="N342" t="str">
        <f t="shared" si="20"/>
        <v>Autre filière</v>
      </c>
    </row>
    <row r="343" spans="1:14" x14ac:dyDescent="0.45">
      <c r="A343" t="s">
        <v>574</v>
      </c>
      <c r="B343" t="s">
        <v>575</v>
      </c>
      <c r="E343" t="s">
        <v>29</v>
      </c>
      <c r="F343">
        <v>8.18</v>
      </c>
      <c r="H343">
        <v>6.97</v>
      </c>
      <c r="J343">
        <v>0.81640000000000001</v>
      </c>
      <c r="K343" t="str">
        <f t="shared" ref="K343:K406" si="21">IF(AND(F343&gt;=12,H343&gt;=12,J343&gt;=0.8),"Admis",
   IF(AND(F343&gt;=10,H343&gt;=10),"Admis sous condition","Refusé"))</f>
        <v>Refusé</v>
      </c>
      <c r="L343" t="str" cm="1">
        <f t="array" ref="L343">_xlfn.IFS(H343&gt;=16,"Excellent",
               H343&gt;=14,"Très bien",
               H343&gt;=12,"Bien",
               H343&gt;=10,"Passable",
               TRUE,"Insuffisant")</f>
        <v>Insuffisant</v>
      </c>
      <c r="M343" t="str">
        <f t="shared" ref="M343:M406" si="22">IF(OR(F343&lt;10,H343&lt;10,J343&lt;0.7),"A surveiller","RAS")</f>
        <v>A surveiller</v>
      </c>
      <c r="N343" t="str">
        <f t="shared" ref="N343:N406" si="23">IF(NOT(E343="Data"),"Autre filière","Data")</f>
        <v>Autre filière</v>
      </c>
    </row>
    <row r="344" spans="1:14" x14ac:dyDescent="0.45">
      <c r="A344" t="s">
        <v>576</v>
      </c>
      <c r="B344" t="s">
        <v>237</v>
      </c>
      <c r="E344" t="s">
        <v>42</v>
      </c>
      <c r="F344">
        <v>11.5</v>
      </c>
      <c r="H344">
        <v>12.02</v>
      </c>
      <c r="J344">
        <v>0.67269999999999996</v>
      </c>
      <c r="K344" t="str">
        <f t="shared" si="21"/>
        <v>Admis sous condition</v>
      </c>
      <c r="L344" t="str" cm="1">
        <f t="array" ref="L344">_xlfn.IFS(H344&gt;=16,"Excellent",
               H344&gt;=14,"Très bien",
               H344&gt;=12,"Bien",
               H344&gt;=10,"Passable",
               TRUE,"Insuffisant")</f>
        <v>Bien</v>
      </c>
      <c r="M344" t="str">
        <f t="shared" si="22"/>
        <v>A surveiller</v>
      </c>
      <c r="N344" t="str">
        <f t="shared" si="23"/>
        <v>Autre filière</v>
      </c>
    </row>
    <row r="345" spans="1:14" x14ac:dyDescent="0.45">
      <c r="A345" t="s">
        <v>577</v>
      </c>
      <c r="B345" t="s">
        <v>533</v>
      </c>
      <c r="E345" t="s">
        <v>29</v>
      </c>
      <c r="F345">
        <v>12.11</v>
      </c>
      <c r="H345">
        <v>8.9700000000000006</v>
      </c>
      <c r="J345">
        <v>0.82779999999999998</v>
      </c>
      <c r="K345" t="str">
        <f t="shared" si="21"/>
        <v>Refusé</v>
      </c>
      <c r="L345" t="str" cm="1">
        <f t="array" ref="L345">_xlfn.IFS(H345&gt;=16,"Excellent",
               H345&gt;=14,"Très bien",
               H345&gt;=12,"Bien",
               H345&gt;=10,"Passable",
               TRUE,"Insuffisant")</f>
        <v>Insuffisant</v>
      </c>
      <c r="M345" t="str">
        <f t="shared" si="22"/>
        <v>A surveiller</v>
      </c>
      <c r="N345" t="str">
        <f t="shared" si="23"/>
        <v>Autre filière</v>
      </c>
    </row>
    <row r="346" spans="1:14" x14ac:dyDescent="0.45">
      <c r="A346" t="s">
        <v>578</v>
      </c>
      <c r="B346" t="s">
        <v>579</v>
      </c>
      <c r="E346" t="s">
        <v>16</v>
      </c>
      <c r="F346">
        <v>14.28</v>
      </c>
      <c r="H346">
        <v>16.07</v>
      </c>
      <c r="J346">
        <v>0.79369999999999996</v>
      </c>
      <c r="K346" t="str">
        <f t="shared" si="21"/>
        <v>Admis sous condition</v>
      </c>
      <c r="L346" t="str" cm="1">
        <f t="array" ref="L346">_xlfn.IFS(H346&gt;=16,"Excellent",
               H346&gt;=14,"Très bien",
               H346&gt;=12,"Bien",
               H346&gt;=10,"Passable",
               TRUE,"Insuffisant")</f>
        <v>Excellent</v>
      </c>
      <c r="M346" t="str">
        <f t="shared" si="22"/>
        <v>RAS</v>
      </c>
      <c r="N346" t="str">
        <f t="shared" si="23"/>
        <v>Data</v>
      </c>
    </row>
    <row r="347" spans="1:14" x14ac:dyDescent="0.45">
      <c r="A347" t="s">
        <v>580</v>
      </c>
      <c r="B347" t="s">
        <v>372</v>
      </c>
      <c r="E347" t="s">
        <v>16</v>
      </c>
      <c r="F347">
        <v>10.56</v>
      </c>
      <c r="H347">
        <v>9.2899999999999991</v>
      </c>
      <c r="J347">
        <v>0.85799999999999998</v>
      </c>
      <c r="K347" t="str">
        <f t="shared" si="21"/>
        <v>Refusé</v>
      </c>
      <c r="L347" t="str" cm="1">
        <f t="array" ref="L347">_xlfn.IFS(H347&gt;=16,"Excellent",
               H347&gt;=14,"Très bien",
               H347&gt;=12,"Bien",
               H347&gt;=10,"Passable",
               TRUE,"Insuffisant")</f>
        <v>Insuffisant</v>
      </c>
      <c r="M347" t="str">
        <f t="shared" si="22"/>
        <v>A surveiller</v>
      </c>
      <c r="N347" t="str">
        <f t="shared" si="23"/>
        <v>Data</v>
      </c>
    </row>
    <row r="348" spans="1:14" x14ac:dyDescent="0.45">
      <c r="A348" t="s">
        <v>581</v>
      </c>
      <c r="B348" t="s">
        <v>304</v>
      </c>
      <c r="E348" t="s">
        <v>21</v>
      </c>
      <c r="F348">
        <v>12.87</v>
      </c>
      <c r="H348">
        <v>15.77</v>
      </c>
      <c r="J348">
        <v>0.86880000000000002</v>
      </c>
      <c r="K348" t="str">
        <f t="shared" si="21"/>
        <v>Admis</v>
      </c>
      <c r="L348" t="str" cm="1">
        <f t="array" ref="L348">_xlfn.IFS(H348&gt;=16,"Excellent",
               H348&gt;=14,"Très bien",
               H348&gt;=12,"Bien",
               H348&gt;=10,"Passable",
               TRUE,"Insuffisant")</f>
        <v>Très bien</v>
      </c>
      <c r="M348" t="str">
        <f t="shared" si="22"/>
        <v>RAS</v>
      </c>
      <c r="N348" t="str">
        <f t="shared" si="23"/>
        <v>Autre filière</v>
      </c>
    </row>
    <row r="349" spans="1:14" x14ac:dyDescent="0.45">
      <c r="A349" t="s">
        <v>582</v>
      </c>
      <c r="B349" t="s">
        <v>583</v>
      </c>
      <c r="E349" t="s">
        <v>16</v>
      </c>
      <c r="F349">
        <v>15.84</v>
      </c>
      <c r="H349">
        <v>17.77</v>
      </c>
      <c r="J349">
        <v>0.80469999999999997</v>
      </c>
      <c r="K349" t="str">
        <f t="shared" si="21"/>
        <v>Admis</v>
      </c>
      <c r="L349" t="str" cm="1">
        <f t="array" ref="L349">_xlfn.IFS(H349&gt;=16,"Excellent",
               H349&gt;=14,"Très bien",
               H349&gt;=12,"Bien",
               H349&gt;=10,"Passable",
               TRUE,"Insuffisant")</f>
        <v>Excellent</v>
      </c>
      <c r="M349" t="str">
        <f t="shared" si="22"/>
        <v>RAS</v>
      </c>
      <c r="N349" t="str">
        <f t="shared" si="23"/>
        <v>Data</v>
      </c>
    </row>
    <row r="350" spans="1:14" x14ac:dyDescent="0.45">
      <c r="A350" t="s">
        <v>584</v>
      </c>
      <c r="B350" t="s">
        <v>39</v>
      </c>
      <c r="E350" t="s">
        <v>42</v>
      </c>
      <c r="F350">
        <v>20</v>
      </c>
      <c r="H350">
        <v>18.670000000000002</v>
      </c>
      <c r="J350">
        <v>0.9738</v>
      </c>
      <c r="K350" t="str">
        <f t="shared" si="21"/>
        <v>Admis</v>
      </c>
      <c r="L350" t="str" cm="1">
        <f t="array" ref="L350">_xlfn.IFS(H350&gt;=16,"Excellent",
               H350&gt;=14,"Très bien",
               H350&gt;=12,"Bien",
               H350&gt;=10,"Passable",
               TRUE,"Insuffisant")</f>
        <v>Excellent</v>
      </c>
      <c r="M350" t="str">
        <f t="shared" si="22"/>
        <v>RAS</v>
      </c>
      <c r="N350" t="str">
        <f t="shared" si="23"/>
        <v>Autre filière</v>
      </c>
    </row>
    <row r="351" spans="1:14" x14ac:dyDescent="0.45">
      <c r="A351" t="s">
        <v>585</v>
      </c>
      <c r="B351" t="s">
        <v>196</v>
      </c>
      <c r="E351" t="s">
        <v>29</v>
      </c>
      <c r="F351">
        <v>12.53</v>
      </c>
      <c r="H351">
        <v>12.69</v>
      </c>
      <c r="J351">
        <v>0.58009999999999995</v>
      </c>
      <c r="K351" t="str">
        <f t="shared" si="21"/>
        <v>Admis sous condition</v>
      </c>
      <c r="L351" t="str" cm="1">
        <f t="array" ref="L351">_xlfn.IFS(H351&gt;=16,"Excellent",
               H351&gt;=14,"Très bien",
               H351&gt;=12,"Bien",
               H351&gt;=10,"Passable",
               TRUE,"Insuffisant")</f>
        <v>Bien</v>
      </c>
      <c r="M351" t="str">
        <f t="shared" si="22"/>
        <v>A surveiller</v>
      </c>
      <c r="N351" t="str">
        <f t="shared" si="23"/>
        <v>Autre filière</v>
      </c>
    </row>
    <row r="352" spans="1:14" x14ac:dyDescent="0.45">
      <c r="A352" t="s">
        <v>586</v>
      </c>
      <c r="B352" t="s">
        <v>473</v>
      </c>
      <c r="E352" t="s">
        <v>29</v>
      </c>
      <c r="F352">
        <v>11.76</v>
      </c>
      <c r="H352">
        <v>15.57</v>
      </c>
      <c r="J352">
        <v>0.83930000000000005</v>
      </c>
      <c r="K352" t="str">
        <f t="shared" si="21"/>
        <v>Admis sous condition</v>
      </c>
      <c r="L352" t="str" cm="1">
        <f t="array" ref="L352">_xlfn.IFS(H352&gt;=16,"Excellent",
               H352&gt;=14,"Très bien",
               H352&gt;=12,"Bien",
               H352&gt;=10,"Passable",
               TRUE,"Insuffisant")</f>
        <v>Très bien</v>
      </c>
      <c r="M352" t="str">
        <f t="shared" si="22"/>
        <v>RAS</v>
      </c>
      <c r="N352" t="str">
        <f t="shared" si="23"/>
        <v>Autre filière</v>
      </c>
    </row>
    <row r="353" spans="1:14" x14ac:dyDescent="0.45">
      <c r="A353" t="s">
        <v>587</v>
      </c>
      <c r="B353" t="s">
        <v>588</v>
      </c>
      <c r="E353" t="s">
        <v>21</v>
      </c>
      <c r="F353">
        <v>6.96</v>
      </c>
      <c r="H353">
        <v>5.08</v>
      </c>
      <c r="J353">
        <v>0.85319999999999996</v>
      </c>
      <c r="K353" t="str">
        <f t="shared" si="21"/>
        <v>Refusé</v>
      </c>
      <c r="L353" t="str" cm="1">
        <f t="array" ref="L353">_xlfn.IFS(H353&gt;=16,"Excellent",
               H353&gt;=14,"Très bien",
               H353&gt;=12,"Bien",
               H353&gt;=10,"Passable",
               TRUE,"Insuffisant")</f>
        <v>Insuffisant</v>
      </c>
      <c r="M353" t="str">
        <f t="shared" si="22"/>
        <v>A surveiller</v>
      </c>
      <c r="N353" t="str">
        <f t="shared" si="23"/>
        <v>Autre filière</v>
      </c>
    </row>
    <row r="354" spans="1:14" x14ac:dyDescent="0.45">
      <c r="A354" t="s">
        <v>589</v>
      </c>
      <c r="B354" t="s">
        <v>59</v>
      </c>
      <c r="E354" t="s">
        <v>42</v>
      </c>
      <c r="F354">
        <v>17.7</v>
      </c>
      <c r="H354">
        <v>18.21</v>
      </c>
      <c r="J354">
        <v>0.84409999999999996</v>
      </c>
      <c r="K354" t="str">
        <f t="shared" si="21"/>
        <v>Admis</v>
      </c>
      <c r="L354" t="str" cm="1">
        <f t="array" ref="L354">_xlfn.IFS(H354&gt;=16,"Excellent",
               H354&gt;=14,"Très bien",
               H354&gt;=12,"Bien",
               H354&gt;=10,"Passable",
               TRUE,"Insuffisant")</f>
        <v>Excellent</v>
      </c>
      <c r="M354" t="str">
        <f t="shared" si="22"/>
        <v>RAS</v>
      </c>
      <c r="N354" t="str">
        <f t="shared" si="23"/>
        <v>Autre filière</v>
      </c>
    </row>
    <row r="355" spans="1:14" x14ac:dyDescent="0.45">
      <c r="A355" t="s">
        <v>590</v>
      </c>
      <c r="B355" t="s">
        <v>372</v>
      </c>
      <c r="E355" t="s">
        <v>42</v>
      </c>
      <c r="F355">
        <v>15.43</v>
      </c>
      <c r="H355">
        <v>18.39</v>
      </c>
      <c r="J355">
        <v>0.83609999999999995</v>
      </c>
      <c r="K355" t="str">
        <f t="shared" si="21"/>
        <v>Admis</v>
      </c>
      <c r="L355" t="str" cm="1">
        <f t="array" ref="L355">_xlfn.IFS(H355&gt;=16,"Excellent",
               H355&gt;=14,"Très bien",
               H355&gt;=12,"Bien",
               H355&gt;=10,"Passable",
               TRUE,"Insuffisant")</f>
        <v>Excellent</v>
      </c>
      <c r="M355" t="str">
        <f t="shared" si="22"/>
        <v>RAS</v>
      </c>
      <c r="N355" t="str">
        <f t="shared" si="23"/>
        <v>Autre filière</v>
      </c>
    </row>
    <row r="356" spans="1:14" x14ac:dyDescent="0.45">
      <c r="A356" t="s">
        <v>591</v>
      </c>
      <c r="B356" t="s">
        <v>250</v>
      </c>
      <c r="E356" t="s">
        <v>29</v>
      </c>
      <c r="F356">
        <v>12.8</v>
      </c>
      <c r="H356">
        <v>11.86</v>
      </c>
      <c r="J356">
        <v>0.82279999999999998</v>
      </c>
      <c r="K356" t="str">
        <f t="shared" si="21"/>
        <v>Admis sous condition</v>
      </c>
      <c r="L356" t="str" cm="1">
        <f t="array" ref="L356">_xlfn.IFS(H356&gt;=16,"Excellent",
               H356&gt;=14,"Très bien",
               H356&gt;=12,"Bien",
               H356&gt;=10,"Passable",
               TRUE,"Insuffisant")</f>
        <v>Passable</v>
      </c>
      <c r="M356" t="str">
        <f t="shared" si="22"/>
        <v>RAS</v>
      </c>
      <c r="N356" t="str">
        <f t="shared" si="23"/>
        <v>Autre filière</v>
      </c>
    </row>
    <row r="357" spans="1:14" x14ac:dyDescent="0.45">
      <c r="A357" t="s">
        <v>592</v>
      </c>
      <c r="B357" t="s">
        <v>107</v>
      </c>
      <c r="E357" t="s">
        <v>29</v>
      </c>
      <c r="F357">
        <v>12.59</v>
      </c>
      <c r="H357">
        <v>13.38</v>
      </c>
      <c r="J357">
        <v>0.90110000000000001</v>
      </c>
      <c r="K357" t="str">
        <f t="shared" si="21"/>
        <v>Admis</v>
      </c>
      <c r="L357" t="str" cm="1">
        <f t="array" ref="L357">_xlfn.IFS(H357&gt;=16,"Excellent",
               H357&gt;=14,"Très bien",
               H357&gt;=12,"Bien",
               H357&gt;=10,"Passable",
               TRUE,"Insuffisant")</f>
        <v>Bien</v>
      </c>
      <c r="M357" t="str">
        <f t="shared" si="22"/>
        <v>RAS</v>
      </c>
      <c r="N357" t="str">
        <f t="shared" si="23"/>
        <v>Autre filière</v>
      </c>
    </row>
    <row r="358" spans="1:14" x14ac:dyDescent="0.45">
      <c r="A358" t="s">
        <v>593</v>
      </c>
      <c r="B358" t="s">
        <v>594</v>
      </c>
      <c r="E358" t="s">
        <v>42</v>
      </c>
      <c r="F358">
        <v>10.81</v>
      </c>
      <c r="H358">
        <v>10.96</v>
      </c>
      <c r="J358">
        <v>0.84319999999999995</v>
      </c>
      <c r="K358" t="str">
        <f t="shared" si="21"/>
        <v>Admis sous condition</v>
      </c>
      <c r="L358" t="str" cm="1">
        <f t="array" ref="L358">_xlfn.IFS(H358&gt;=16,"Excellent",
               H358&gt;=14,"Très bien",
               H358&gt;=12,"Bien",
               H358&gt;=10,"Passable",
               TRUE,"Insuffisant")</f>
        <v>Passable</v>
      </c>
      <c r="M358" t="str">
        <f t="shared" si="22"/>
        <v>RAS</v>
      </c>
      <c r="N358" t="str">
        <f t="shared" si="23"/>
        <v>Autre filière</v>
      </c>
    </row>
    <row r="359" spans="1:14" x14ac:dyDescent="0.45">
      <c r="A359" t="s">
        <v>595</v>
      </c>
      <c r="B359" t="s">
        <v>113</v>
      </c>
      <c r="E359" t="s">
        <v>16</v>
      </c>
      <c r="F359">
        <v>13.61</v>
      </c>
      <c r="H359">
        <v>17.96</v>
      </c>
      <c r="J359">
        <v>0.94010000000000005</v>
      </c>
      <c r="K359" t="str">
        <f t="shared" si="21"/>
        <v>Admis</v>
      </c>
      <c r="L359" t="str" cm="1">
        <f t="array" ref="L359">_xlfn.IFS(H359&gt;=16,"Excellent",
               H359&gt;=14,"Très bien",
               H359&gt;=12,"Bien",
               H359&gt;=10,"Passable",
               TRUE,"Insuffisant")</f>
        <v>Excellent</v>
      </c>
      <c r="M359" t="str">
        <f t="shared" si="22"/>
        <v>RAS</v>
      </c>
      <c r="N359" t="str">
        <f t="shared" si="23"/>
        <v>Data</v>
      </c>
    </row>
    <row r="360" spans="1:14" x14ac:dyDescent="0.45">
      <c r="A360" t="s">
        <v>596</v>
      </c>
      <c r="B360" t="s">
        <v>334</v>
      </c>
      <c r="E360" t="s">
        <v>16</v>
      </c>
      <c r="F360">
        <v>15.38</v>
      </c>
      <c r="H360">
        <v>18.55</v>
      </c>
      <c r="J360">
        <v>0.87829999999999997</v>
      </c>
      <c r="K360" t="str">
        <f t="shared" si="21"/>
        <v>Admis</v>
      </c>
      <c r="L360" t="str" cm="1">
        <f t="array" ref="L360">_xlfn.IFS(H360&gt;=16,"Excellent",
               H360&gt;=14,"Très bien",
               H360&gt;=12,"Bien",
               H360&gt;=10,"Passable",
               TRUE,"Insuffisant")</f>
        <v>Excellent</v>
      </c>
      <c r="M360" t="str">
        <f t="shared" si="22"/>
        <v>RAS</v>
      </c>
      <c r="N360" t="str">
        <f t="shared" si="23"/>
        <v>Data</v>
      </c>
    </row>
    <row r="361" spans="1:14" x14ac:dyDescent="0.45">
      <c r="A361" t="s">
        <v>597</v>
      </c>
      <c r="B361" t="s">
        <v>140</v>
      </c>
      <c r="E361" t="s">
        <v>42</v>
      </c>
      <c r="F361">
        <v>12.21</v>
      </c>
      <c r="H361">
        <v>9.7799999999999994</v>
      </c>
      <c r="J361">
        <v>0.9587</v>
      </c>
      <c r="K361" t="str">
        <f t="shared" si="21"/>
        <v>Refusé</v>
      </c>
      <c r="L361" t="str" cm="1">
        <f t="array" ref="L361">_xlfn.IFS(H361&gt;=16,"Excellent",
               H361&gt;=14,"Très bien",
               H361&gt;=12,"Bien",
               H361&gt;=10,"Passable",
               TRUE,"Insuffisant")</f>
        <v>Insuffisant</v>
      </c>
      <c r="M361" t="str">
        <f t="shared" si="22"/>
        <v>A surveiller</v>
      </c>
      <c r="N361" t="str">
        <f t="shared" si="23"/>
        <v>Autre filière</v>
      </c>
    </row>
    <row r="362" spans="1:14" x14ac:dyDescent="0.45">
      <c r="A362" t="s">
        <v>598</v>
      </c>
      <c r="B362" t="s">
        <v>227</v>
      </c>
      <c r="E362" t="s">
        <v>42</v>
      </c>
      <c r="F362">
        <v>12.15</v>
      </c>
      <c r="H362">
        <v>10.49</v>
      </c>
      <c r="J362">
        <v>0.76790000000000003</v>
      </c>
      <c r="K362" t="str">
        <f t="shared" si="21"/>
        <v>Admis sous condition</v>
      </c>
      <c r="L362" t="str" cm="1">
        <f t="array" ref="L362">_xlfn.IFS(H362&gt;=16,"Excellent",
               H362&gt;=14,"Très bien",
               H362&gt;=12,"Bien",
               H362&gt;=10,"Passable",
               TRUE,"Insuffisant")</f>
        <v>Passable</v>
      </c>
      <c r="M362" t="str">
        <f t="shared" si="22"/>
        <v>RAS</v>
      </c>
      <c r="N362" t="str">
        <f t="shared" si="23"/>
        <v>Autre filière</v>
      </c>
    </row>
    <row r="363" spans="1:14" x14ac:dyDescent="0.45">
      <c r="A363" t="s">
        <v>599</v>
      </c>
      <c r="B363" t="s">
        <v>75</v>
      </c>
      <c r="E363" t="s">
        <v>16</v>
      </c>
      <c r="F363">
        <v>7.57</v>
      </c>
      <c r="H363">
        <v>19.010000000000002</v>
      </c>
      <c r="J363">
        <v>0.80830000000000002</v>
      </c>
      <c r="K363" t="str">
        <f t="shared" si="21"/>
        <v>Refusé</v>
      </c>
      <c r="L363" t="str" cm="1">
        <f t="array" ref="L363">_xlfn.IFS(H363&gt;=16,"Excellent",
               H363&gt;=14,"Très bien",
               H363&gt;=12,"Bien",
               H363&gt;=10,"Passable",
               TRUE,"Insuffisant")</f>
        <v>Excellent</v>
      </c>
      <c r="M363" t="str">
        <f t="shared" si="22"/>
        <v>A surveiller</v>
      </c>
      <c r="N363" t="str">
        <f t="shared" si="23"/>
        <v>Data</v>
      </c>
    </row>
    <row r="364" spans="1:14" x14ac:dyDescent="0.45">
      <c r="A364" t="s">
        <v>600</v>
      </c>
      <c r="B364" t="s">
        <v>601</v>
      </c>
      <c r="E364" t="s">
        <v>21</v>
      </c>
      <c r="F364">
        <v>17.329999999999998</v>
      </c>
      <c r="H364">
        <v>17.149999999999999</v>
      </c>
      <c r="J364">
        <v>0.87450000000000006</v>
      </c>
      <c r="K364" t="str">
        <f t="shared" si="21"/>
        <v>Admis</v>
      </c>
      <c r="L364" t="str" cm="1">
        <f t="array" ref="L364">_xlfn.IFS(H364&gt;=16,"Excellent",
               H364&gt;=14,"Très bien",
               H364&gt;=12,"Bien",
               H364&gt;=10,"Passable",
               TRUE,"Insuffisant")</f>
        <v>Excellent</v>
      </c>
      <c r="M364" t="str">
        <f t="shared" si="22"/>
        <v>RAS</v>
      </c>
      <c r="N364" t="str">
        <f t="shared" si="23"/>
        <v>Autre filière</v>
      </c>
    </row>
    <row r="365" spans="1:14" x14ac:dyDescent="0.45">
      <c r="A365" t="s">
        <v>602</v>
      </c>
      <c r="B365" t="s">
        <v>458</v>
      </c>
      <c r="E365" t="s">
        <v>42</v>
      </c>
      <c r="F365">
        <v>7.22</v>
      </c>
      <c r="H365">
        <v>5.9</v>
      </c>
      <c r="J365">
        <v>0.79049999999999998</v>
      </c>
      <c r="K365" t="str">
        <f t="shared" si="21"/>
        <v>Refusé</v>
      </c>
      <c r="L365" t="str" cm="1">
        <f t="array" ref="L365">_xlfn.IFS(H365&gt;=16,"Excellent",
               H365&gt;=14,"Très bien",
               H365&gt;=12,"Bien",
               H365&gt;=10,"Passable",
               TRUE,"Insuffisant")</f>
        <v>Insuffisant</v>
      </c>
      <c r="M365" t="str">
        <f t="shared" si="22"/>
        <v>A surveiller</v>
      </c>
      <c r="N365" t="str">
        <f t="shared" si="23"/>
        <v>Autre filière</v>
      </c>
    </row>
    <row r="366" spans="1:14" x14ac:dyDescent="0.45">
      <c r="A366" t="s">
        <v>603</v>
      </c>
      <c r="B366" t="s">
        <v>351</v>
      </c>
      <c r="E366" t="s">
        <v>16</v>
      </c>
      <c r="F366">
        <v>9.59</v>
      </c>
      <c r="H366">
        <v>11.31</v>
      </c>
      <c r="J366">
        <v>0.75980000000000003</v>
      </c>
      <c r="K366" t="str">
        <f t="shared" si="21"/>
        <v>Refusé</v>
      </c>
      <c r="L366" t="str" cm="1">
        <f t="array" ref="L366">_xlfn.IFS(H366&gt;=16,"Excellent",
               H366&gt;=14,"Très bien",
               H366&gt;=12,"Bien",
               H366&gt;=10,"Passable",
               TRUE,"Insuffisant")</f>
        <v>Passable</v>
      </c>
      <c r="M366" t="str">
        <f t="shared" si="22"/>
        <v>A surveiller</v>
      </c>
      <c r="N366" t="str">
        <f t="shared" si="23"/>
        <v>Data</v>
      </c>
    </row>
    <row r="367" spans="1:14" x14ac:dyDescent="0.45">
      <c r="A367" t="s">
        <v>604</v>
      </c>
      <c r="B367" t="s">
        <v>605</v>
      </c>
      <c r="E367" t="s">
        <v>21</v>
      </c>
      <c r="F367">
        <v>19.68</v>
      </c>
      <c r="H367">
        <v>13.34</v>
      </c>
      <c r="J367">
        <v>0.80969999999999998</v>
      </c>
      <c r="K367" t="str">
        <f t="shared" si="21"/>
        <v>Admis</v>
      </c>
      <c r="L367" t="str" cm="1">
        <f t="array" ref="L367">_xlfn.IFS(H367&gt;=16,"Excellent",
               H367&gt;=14,"Très bien",
               H367&gt;=12,"Bien",
               H367&gt;=10,"Passable",
               TRUE,"Insuffisant")</f>
        <v>Bien</v>
      </c>
      <c r="M367" t="str">
        <f t="shared" si="22"/>
        <v>RAS</v>
      </c>
      <c r="N367" t="str">
        <f t="shared" si="23"/>
        <v>Autre filière</v>
      </c>
    </row>
    <row r="368" spans="1:14" x14ac:dyDescent="0.45">
      <c r="A368" t="s">
        <v>606</v>
      </c>
      <c r="B368" t="s">
        <v>594</v>
      </c>
      <c r="E368" t="s">
        <v>21</v>
      </c>
      <c r="F368">
        <v>12.69</v>
      </c>
      <c r="H368">
        <v>17.170000000000002</v>
      </c>
      <c r="J368">
        <v>0.8569</v>
      </c>
      <c r="K368" t="str">
        <f t="shared" si="21"/>
        <v>Admis</v>
      </c>
      <c r="L368" t="str" cm="1">
        <f t="array" ref="L368">_xlfn.IFS(H368&gt;=16,"Excellent",
               H368&gt;=14,"Très bien",
               H368&gt;=12,"Bien",
               H368&gt;=10,"Passable",
               TRUE,"Insuffisant")</f>
        <v>Excellent</v>
      </c>
      <c r="M368" t="str">
        <f t="shared" si="22"/>
        <v>RAS</v>
      </c>
      <c r="N368" t="str">
        <f t="shared" si="23"/>
        <v>Autre filière</v>
      </c>
    </row>
    <row r="369" spans="1:14" x14ac:dyDescent="0.45">
      <c r="A369" t="s">
        <v>607</v>
      </c>
      <c r="B369" t="s">
        <v>59</v>
      </c>
      <c r="E369" t="s">
        <v>29</v>
      </c>
      <c r="F369">
        <v>13.16</v>
      </c>
      <c r="H369">
        <v>12.75</v>
      </c>
      <c r="J369">
        <v>0.93240000000000001</v>
      </c>
      <c r="K369" t="str">
        <f t="shared" si="21"/>
        <v>Admis</v>
      </c>
      <c r="L369" t="str" cm="1">
        <f t="array" ref="L369">_xlfn.IFS(H369&gt;=16,"Excellent",
               H369&gt;=14,"Très bien",
               H369&gt;=12,"Bien",
               H369&gt;=10,"Passable",
               TRUE,"Insuffisant")</f>
        <v>Bien</v>
      </c>
      <c r="M369" t="str">
        <f t="shared" si="22"/>
        <v>RAS</v>
      </c>
      <c r="N369" t="str">
        <f t="shared" si="23"/>
        <v>Autre filière</v>
      </c>
    </row>
    <row r="370" spans="1:14" x14ac:dyDescent="0.45">
      <c r="A370" t="s">
        <v>608</v>
      </c>
      <c r="B370" t="s">
        <v>182</v>
      </c>
      <c r="E370" t="s">
        <v>29</v>
      </c>
      <c r="F370">
        <v>18.420000000000002</v>
      </c>
      <c r="H370">
        <v>19.07</v>
      </c>
      <c r="J370">
        <v>0.72989999999999999</v>
      </c>
      <c r="K370" t="str">
        <f t="shared" si="21"/>
        <v>Admis sous condition</v>
      </c>
      <c r="L370" t="str" cm="1">
        <f t="array" ref="L370">_xlfn.IFS(H370&gt;=16,"Excellent",
               H370&gt;=14,"Très bien",
               H370&gt;=12,"Bien",
               H370&gt;=10,"Passable",
               TRUE,"Insuffisant")</f>
        <v>Excellent</v>
      </c>
      <c r="M370" t="str">
        <f t="shared" si="22"/>
        <v>RAS</v>
      </c>
      <c r="N370" t="str">
        <f t="shared" si="23"/>
        <v>Autre filière</v>
      </c>
    </row>
    <row r="371" spans="1:14" x14ac:dyDescent="0.45">
      <c r="A371" t="s">
        <v>609</v>
      </c>
      <c r="B371" t="s">
        <v>266</v>
      </c>
      <c r="E371" t="s">
        <v>29</v>
      </c>
      <c r="F371">
        <v>15.72</v>
      </c>
      <c r="H371">
        <v>13.12</v>
      </c>
      <c r="J371">
        <v>0.98099999999999998</v>
      </c>
      <c r="K371" t="str">
        <f t="shared" si="21"/>
        <v>Admis</v>
      </c>
      <c r="L371" t="str" cm="1">
        <f t="array" ref="L371">_xlfn.IFS(H371&gt;=16,"Excellent",
               H371&gt;=14,"Très bien",
               H371&gt;=12,"Bien",
               H371&gt;=10,"Passable",
               TRUE,"Insuffisant")</f>
        <v>Bien</v>
      </c>
      <c r="M371" t="str">
        <f t="shared" si="22"/>
        <v>RAS</v>
      </c>
      <c r="N371" t="str">
        <f t="shared" si="23"/>
        <v>Autre filière</v>
      </c>
    </row>
    <row r="372" spans="1:14" x14ac:dyDescent="0.45">
      <c r="A372" t="s">
        <v>610</v>
      </c>
      <c r="B372" t="s">
        <v>188</v>
      </c>
      <c r="E372" t="s">
        <v>42</v>
      </c>
      <c r="F372">
        <v>14.37</v>
      </c>
      <c r="H372">
        <v>14.34</v>
      </c>
      <c r="J372">
        <v>0.66879999999999995</v>
      </c>
      <c r="K372" t="str">
        <f t="shared" si="21"/>
        <v>Admis sous condition</v>
      </c>
      <c r="L372" t="str" cm="1">
        <f t="array" ref="L372">_xlfn.IFS(H372&gt;=16,"Excellent",
               H372&gt;=14,"Très bien",
               H372&gt;=12,"Bien",
               H372&gt;=10,"Passable",
               TRUE,"Insuffisant")</f>
        <v>Très bien</v>
      </c>
      <c r="M372" t="str">
        <f t="shared" si="22"/>
        <v>A surveiller</v>
      </c>
      <c r="N372" t="str">
        <f t="shared" si="23"/>
        <v>Autre filière</v>
      </c>
    </row>
    <row r="373" spans="1:14" x14ac:dyDescent="0.45">
      <c r="A373" t="s">
        <v>611</v>
      </c>
      <c r="B373" t="s">
        <v>612</v>
      </c>
      <c r="E373" t="s">
        <v>16</v>
      </c>
      <c r="F373">
        <v>17.63</v>
      </c>
      <c r="H373">
        <v>20</v>
      </c>
      <c r="J373">
        <v>0.88249999999999995</v>
      </c>
      <c r="K373" t="str">
        <f t="shared" si="21"/>
        <v>Admis</v>
      </c>
      <c r="L373" t="str" cm="1">
        <f t="array" ref="L373">_xlfn.IFS(H373&gt;=16,"Excellent",
               H373&gt;=14,"Très bien",
               H373&gt;=12,"Bien",
               H373&gt;=10,"Passable",
               TRUE,"Insuffisant")</f>
        <v>Excellent</v>
      </c>
      <c r="M373" t="str">
        <f t="shared" si="22"/>
        <v>RAS</v>
      </c>
      <c r="N373" t="str">
        <f t="shared" si="23"/>
        <v>Data</v>
      </c>
    </row>
    <row r="374" spans="1:14" x14ac:dyDescent="0.45">
      <c r="A374" t="s">
        <v>613</v>
      </c>
      <c r="B374" t="s">
        <v>614</v>
      </c>
      <c r="E374" t="s">
        <v>29</v>
      </c>
      <c r="F374">
        <v>11</v>
      </c>
      <c r="H374">
        <v>13.33</v>
      </c>
      <c r="J374">
        <v>0.69179999999999997</v>
      </c>
      <c r="K374" t="str">
        <f t="shared" si="21"/>
        <v>Admis sous condition</v>
      </c>
      <c r="L374" t="str" cm="1">
        <f t="array" ref="L374">_xlfn.IFS(H374&gt;=16,"Excellent",
               H374&gt;=14,"Très bien",
               H374&gt;=12,"Bien",
               H374&gt;=10,"Passable",
               TRUE,"Insuffisant")</f>
        <v>Bien</v>
      </c>
      <c r="M374" t="str">
        <f t="shared" si="22"/>
        <v>A surveiller</v>
      </c>
      <c r="N374" t="str">
        <f t="shared" si="23"/>
        <v>Autre filière</v>
      </c>
    </row>
    <row r="375" spans="1:14" x14ac:dyDescent="0.45">
      <c r="A375" t="s">
        <v>615</v>
      </c>
      <c r="B375" t="s">
        <v>438</v>
      </c>
      <c r="E375" t="s">
        <v>16</v>
      </c>
      <c r="F375">
        <v>14.08</v>
      </c>
      <c r="H375">
        <v>10.24</v>
      </c>
      <c r="J375">
        <v>0.89070000000000005</v>
      </c>
      <c r="K375" t="str">
        <f t="shared" si="21"/>
        <v>Admis sous condition</v>
      </c>
      <c r="L375" t="str" cm="1">
        <f t="array" ref="L375">_xlfn.IFS(H375&gt;=16,"Excellent",
               H375&gt;=14,"Très bien",
               H375&gt;=12,"Bien",
               H375&gt;=10,"Passable",
               TRUE,"Insuffisant")</f>
        <v>Passable</v>
      </c>
      <c r="M375" t="str">
        <f t="shared" si="22"/>
        <v>RAS</v>
      </c>
      <c r="N375" t="str">
        <f t="shared" si="23"/>
        <v>Data</v>
      </c>
    </row>
    <row r="376" spans="1:14" x14ac:dyDescent="0.45">
      <c r="A376" t="s">
        <v>616</v>
      </c>
      <c r="B376" t="s">
        <v>617</v>
      </c>
      <c r="E376" t="s">
        <v>16</v>
      </c>
      <c r="F376">
        <v>14.86</v>
      </c>
      <c r="H376">
        <v>12.38</v>
      </c>
      <c r="J376">
        <v>0.64280000000000004</v>
      </c>
      <c r="K376" t="str">
        <f t="shared" si="21"/>
        <v>Admis sous condition</v>
      </c>
      <c r="L376" t="str" cm="1">
        <f t="array" ref="L376">_xlfn.IFS(H376&gt;=16,"Excellent",
               H376&gt;=14,"Très bien",
               H376&gt;=12,"Bien",
               H376&gt;=10,"Passable",
               TRUE,"Insuffisant")</f>
        <v>Bien</v>
      </c>
      <c r="M376" t="str">
        <f t="shared" si="22"/>
        <v>A surveiller</v>
      </c>
      <c r="N376" t="str">
        <f t="shared" si="23"/>
        <v>Data</v>
      </c>
    </row>
    <row r="377" spans="1:14" x14ac:dyDescent="0.45">
      <c r="A377" t="s">
        <v>618</v>
      </c>
      <c r="B377" t="s">
        <v>619</v>
      </c>
      <c r="E377" t="s">
        <v>29</v>
      </c>
      <c r="F377">
        <v>15.72</v>
      </c>
      <c r="H377">
        <v>10.81</v>
      </c>
      <c r="J377">
        <v>0.95150000000000001</v>
      </c>
      <c r="K377" t="str">
        <f t="shared" si="21"/>
        <v>Admis sous condition</v>
      </c>
      <c r="L377" t="str" cm="1">
        <f t="array" ref="L377">_xlfn.IFS(H377&gt;=16,"Excellent",
               H377&gt;=14,"Très bien",
               H377&gt;=12,"Bien",
               H377&gt;=10,"Passable",
               TRUE,"Insuffisant")</f>
        <v>Passable</v>
      </c>
      <c r="M377" t="str">
        <f t="shared" si="22"/>
        <v>RAS</v>
      </c>
      <c r="N377" t="str">
        <f t="shared" si="23"/>
        <v>Autre filière</v>
      </c>
    </row>
    <row r="378" spans="1:14" x14ac:dyDescent="0.45">
      <c r="A378" t="s">
        <v>620</v>
      </c>
      <c r="B378" t="s">
        <v>621</v>
      </c>
      <c r="E378" t="s">
        <v>42</v>
      </c>
      <c r="F378">
        <v>11.45</v>
      </c>
      <c r="H378">
        <v>9.4700000000000006</v>
      </c>
      <c r="J378">
        <v>0.90229999999999999</v>
      </c>
      <c r="K378" t="str">
        <f t="shared" si="21"/>
        <v>Refusé</v>
      </c>
      <c r="L378" t="str" cm="1">
        <f t="array" ref="L378">_xlfn.IFS(H378&gt;=16,"Excellent",
               H378&gt;=14,"Très bien",
               H378&gt;=12,"Bien",
               H378&gt;=10,"Passable",
               TRUE,"Insuffisant")</f>
        <v>Insuffisant</v>
      </c>
      <c r="M378" t="str">
        <f t="shared" si="22"/>
        <v>A surveiller</v>
      </c>
      <c r="N378" t="str">
        <f t="shared" si="23"/>
        <v>Autre filière</v>
      </c>
    </row>
    <row r="379" spans="1:14" x14ac:dyDescent="0.45">
      <c r="A379" t="s">
        <v>622</v>
      </c>
      <c r="B379" t="s">
        <v>583</v>
      </c>
      <c r="E379" t="s">
        <v>21</v>
      </c>
      <c r="F379">
        <v>9.16</v>
      </c>
      <c r="H379">
        <v>11.06</v>
      </c>
      <c r="J379">
        <v>0.84560000000000002</v>
      </c>
      <c r="K379" t="str">
        <f t="shared" si="21"/>
        <v>Refusé</v>
      </c>
      <c r="L379" t="str" cm="1">
        <f t="array" ref="L379">_xlfn.IFS(H379&gt;=16,"Excellent",
               H379&gt;=14,"Très bien",
               H379&gt;=12,"Bien",
               H379&gt;=10,"Passable",
               TRUE,"Insuffisant")</f>
        <v>Passable</v>
      </c>
      <c r="M379" t="str">
        <f t="shared" si="22"/>
        <v>A surveiller</v>
      </c>
      <c r="N379" t="str">
        <f t="shared" si="23"/>
        <v>Autre filière</v>
      </c>
    </row>
    <row r="380" spans="1:14" x14ac:dyDescent="0.45">
      <c r="A380" t="s">
        <v>623</v>
      </c>
      <c r="B380" t="s">
        <v>624</v>
      </c>
      <c r="E380" t="s">
        <v>16</v>
      </c>
      <c r="F380">
        <v>20</v>
      </c>
      <c r="H380">
        <v>20</v>
      </c>
      <c r="J380">
        <v>0.96209999999999996</v>
      </c>
      <c r="K380" t="str">
        <f t="shared" si="21"/>
        <v>Admis</v>
      </c>
      <c r="L380" t="str" cm="1">
        <f t="array" ref="L380">_xlfn.IFS(H380&gt;=16,"Excellent",
               H380&gt;=14,"Très bien",
               H380&gt;=12,"Bien",
               H380&gt;=10,"Passable",
               TRUE,"Insuffisant")</f>
        <v>Excellent</v>
      </c>
      <c r="M380" t="str">
        <f t="shared" si="22"/>
        <v>RAS</v>
      </c>
      <c r="N380" t="str">
        <f t="shared" si="23"/>
        <v>Data</v>
      </c>
    </row>
    <row r="381" spans="1:14" x14ac:dyDescent="0.45">
      <c r="A381" t="s">
        <v>625</v>
      </c>
      <c r="B381" t="s">
        <v>626</v>
      </c>
      <c r="E381" t="s">
        <v>16</v>
      </c>
      <c r="F381">
        <v>14</v>
      </c>
      <c r="H381">
        <v>13.38</v>
      </c>
      <c r="J381">
        <v>0.67779999999999996</v>
      </c>
      <c r="K381" t="str">
        <f t="shared" si="21"/>
        <v>Admis sous condition</v>
      </c>
      <c r="L381" t="str" cm="1">
        <f t="array" ref="L381">_xlfn.IFS(H381&gt;=16,"Excellent",
               H381&gt;=14,"Très bien",
               H381&gt;=12,"Bien",
               H381&gt;=10,"Passable",
               TRUE,"Insuffisant")</f>
        <v>Bien</v>
      </c>
      <c r="M381" t="str">
        <f t="shared" si="22"/>
        <v>A surveiller</v>
      </c>
      <c r="N381" t="str">
        <f t="shared" si="23"/>
        <v>Data</v>
      </c>
    </row>
    <row r="382" spans="1:14" x14ac:dyDescent="0.45">
      <c r="A382" t="s">
        <v>627</v>
      </c>
      <c r="B382" t="s">
        <v>129</v>
      </c>
      <c r="E382" t="s">
        <v>29</v>
      </c>
      <c r="F382">
        <v>10.47</v>
      </c>
      <c r="H382">
        <v>15.1</v>
      </c>
      <c r="J382">
        <v>0.9073</v>
      </c>
      <c r="K382" t="str">
        <f t="shared" si="21"/>
        <v>Admis sous condition</v>
      </c>
      <c r="L382" t="str" cm="1">
        <f t="array" ref="L382">_xlfn.IFS(H382&gt;=16,"Excellent",
               H382&gt;=14,"Très bien",
               H382&gt;=12,"Bien",
               H382&gt;=10,"Passable",
               TRUE,"Insuffisant")</f>
        <v>Très bien</v>
      </c>
      <c r="M382" t="str">
        <f t="shared" si="22"/>
        <v>RAS</v>
      </c>
      <c r="N382" t="str">
        <f t="shared" si="23"/>
        <v>Autre filière</v>
      </c>
    </row>
    <row r="383" spans="1:14" x14ac:dyDescent="0.45">
      <c r="A383" t="s">
        <v>628</v>
      </c>
      <c r="B383" t="s">
        <v>503</v>
      </c>
      <c r="E383" t="s">
        <v>42</v>
      </c>
      <c r="F383">
        <v>18.48</v>
      </c>
      <c r="H383">
        <v>14.69</v>
      </c>
      <c r="J383">
        <v>0.65949999999999998</v>
      </c>
      <c r="K383" t="str">
        <f t="shared" si="21"/>
        <v>Admis sous condition</v>
      </c>
      <c r="L383" t="str" cm="1">
        <f t="array" ref="L383">_xlfn.IFS(H383&gt;=16,"Excellent",
               H383&gt;=14,"Très bien",
               H383&gt;=12,"Bien",
               H383&gt;=10,"Passable",
               TRUE,"Insuffisant")</f>
        <v>Très bien</v>
      </c>
      <c r="M383" t="str">
        <f t="shared" si="22"/>
        <v>A surveiller</v>
      </c>
      <c r="N383" t="str">
        <f t="shared" si="23"/>
        <v>Autre filière</v>
      </c>
    </row>
    <row r="384" spans="1:14" x14ac:dyDescent="0.45">
      <c r="A384" t="s">
        <v>629</v>
      </c>
      <c r="B384" t="s">
        <v>630</v>
      </c>
      <c r="E384" t="s">
        <v>21</v>
      </c>
      <c r="F384">
        <v>11.61</v>
      </c>
      <c r="H384">
        <v>12.87</v>
      </c>
      <c r="J384">
        <v>0.80689999999999995</v>
      </c>
      <c r="K384" t="str">
        <f t="shared" si="21"/>
        <v>Admis sous condition</v>
      </c>
      <c r="L384" t="str" cm="1">
        <f t="array" ref="L384">_xlfn.IFS(H384&gt;=16,"Excellent",
               H384&gt;=14,"Très bien",
               H384&gt;=12,"Bien",
               H384&gt;=10,"Passable",
               TRUE,"Insuffisant")</f>
        <v>Bien</v>
      </c>
      <c r="M384" t="str">
        <f t="shared" si="22"/>
        <v>RAS</v>
      </c>
      <c r="N384" t="str">
        <f t="shared" si="23"/>
        <v>Autre filière</v>
      </c>
    </row>
    <row r="385" spans="1:14" x14ac:dyDescent="0.45">
      <c r="A385" t="s">
        <v>631</v>
      </c>
      <c r="B385" t="s">
        <v>69</v>
      </c>
      <c r="E385" t="s">
        <v>42</v>
      </c>
      <c r="F385">
        <v>11.48</v>
      </c>
      <c r="H385">
        <v>10.62</v>
      </c>
      <c r="J385">
        <v>0.87890000000000001</v>
      </c>
      <c r="K385" t="str">
        <f t="shared" si="21"/>
        <v>Admis sous condition</v>
      </c>
      <c r="L385" t="str" cm="1">
        <f t="array" ref="L385">_xlfn.IFS(H385&gt;=16,"Excellent",
               H385&gt;=14,"Très bien",
               H385&gt;=12,"Bien",
               H385&gt;=10,"Passable",
               TRUE,"Insuffisant")</f>
        <v>Passable</v>
      </c>
      <c r="M385" t="str">
        <f t="shared" si="22"/>
        <v>RAS</v>
      </c>
      <c r="N385" t="str">
        <f t="shared" si="23"/>
        <v>Autre filière</v>
      </c>
    </row>
    <row r="386" spans="1:14" x14ac:dyDescent="0.45">
      <c r="A386" t="s">
        <v>632</v>
      </c>
      <c r="B386" t="s">
        <v>151</v>
      </c>
      <c r="E386" t="s">
        <v>42</v>
      </c>
      <c r="F386">
        <v>15.1</v>
      </c>
      <c r="H386">
        <v>17.45</v>
      </c>
      <c r="J386">
        <v>0.73029999999999995</v>
      </c>
      <c r="K386" t="str">
        <f t="shared" si="21"/>
        <v>Admis sous condition</v>
      </c>
      <c r="L386" t="str" cm="1">
        <f t="array" ref="L386">_xlfn.IFS(H386&gt;=16,"Excellent",
               H386&gt;=14,"Très bien",
               H386&gt;=12,"Bien",
               H386&gt;=10,"Passable",
               TRUE,"Insuffisant")</f>
        <v>Excellent</v>
      </c>
      <c r="M386" t="str">
        <f t="shared" si="22"/>
        <v>RAS</v>
      </c>
      <c r="N386" t="str">
        <f t="shared" si="23"/>
        <v>Autre filière</v>
      </c>
    </row>
    <row r="387" spans="1:14" x14ac:dyDescent="0.45">
      <c r="A387" t="s">
        <v>633</v>
      </c>
      <c r="B387" t="s">
        <v>634</v>
      </c>
      <c r="E387" t="s">
        <v>16</v>
      </c>
      <c r="F387">
        <v>9.8800000000000008</v>
      </c>
      <c r="H387">
        <v>14.7</v>
      </c>
      <c r="J387">
        <v>0.9486</v>
      </c>
      <c r="K387" t="str">
        <f t="shared" si="21"/>
        <v>Refusé</v>
      </c>
      <c r="L387" t="str" cm="1">
        <f t="array" ref="L387">_xlfn.IFS(H387&gt;=16,"Excellent",
               H387&gt;=14,"Très bien",
               H387&gt;=12,"Bien",
               H387&gt;=10,"Passable",
               TRUE,"Insuffisant")</f>
        <v>Très bien</v>
      </c>
      <c r="M387" t="str">
        <f t="shared" si="22"/>
        <v>A surveiller</v>
      </c>
      <c r="N387" t="str">
        <f t="shared" si="23"/>
        <v>Data</v>
      </c>
    </row>
    <row r="388" spans="1:14" x14ac:dyDescent="0.45">
      <c r="A388" t="s">
        <v>635</v>
      </c>
      <c r="B388" t="s">
        <v>242</v>
      </c>
      <c r="E388" t="s">
        <v>16</v>
      </c>
      <c r="F388">
        <v>15.06</v>
      </c>
      <c r="H388">
        <v>10.81</v>
      </c>
      <c r="J388">
        <v>0.60780000000000001</v>
      </c>
      <c r="K388" t="str">
        <f t="shared" si="21"/>
        <v>Admis sous condition</v>
      </c>
      <c r="L388" t="str" cm="1">
        <f t="array" ref="L388">_xlfn.IFS(H388&gt;=16,"Excellent",
               H388&gt;=14,"Très bien",
               H388&gt;=12,"Bien",
               H388&gt;=10,"Passable",
               TRUE,"Insuffisant")</f>
        <v>Passable</v>
      </c>
      <c r="M388" t="str">
        <f t="shared" si="22"/>
        <v>A surveiller</v>
      </c>
      <c r="N388" t="str">
        <f t="shared" si="23"/>
        <v>Data</v>
      </c>
    </row>
    <row r="389" spans="1:14" x14ac:dyDescent="0.45">
      <c r="A389" t="s">
        <v>636</v>
      </c>
      <c r="B389" t="s">
        <v>546</v>
      </c>
      <c r="E389" t="s">
        <v>16</v>
      </c>
      <c r="F389">
        <v>20</v>
      </c>
      <c r="H389">
        <v>18.29</v>
      </c>
      <c r="J389">
        <v>0.86929999999999996</v>
      </c>
      <c r="K389" t="str">
        <f t="shared" si="21"/>
        <v>Admis</v>
      </c>
      <c r="L389" t="str" cm="1">
        <f t="array" ref="L389">_xlfn.IFS(H389&gt;=16,"Excellent",
               H389&gt;=14,"Très bien",
               H389&gt;=12,"Bien",
               H389&gt;=10,"Passable",
               TRUE,"Insuffisant")</f>
        <v>Excellent</v>
      </c>
      <c r="M389" t="str">
        <f t="shared" si="22"/>
        <v>RAS</v>
      </c>
      <c r="N389" t="str">
        <f t="shared" si="23"/>
        <v>Data</v>
      </c>
    </row>
    <row r="390" spans="1:14" x14ac:dyDescent="0.45">
      <c r="A390" t="s">
        <v>637</v>
      </c>
      <c r="B390" t="s">
        <v>256</v>
      </c>
      <c r="E390" t="s">
        <v>42</v>
      </c>
      <c r="F390">
        <v>15.55</v>
      </c>
      <c r="H390">
        <v>17.79</v>
      </c>
      <c r="J390">
        <v>0.9224</v>
      </c>
      <c r="K390" t="str">
        <f t="shared" si="21"/>
        <v>Admis</v>
      </c>
      <c r="L390" t="str" cm="1">
        <f t="array" ref="L390">_xlfn.IFS(H390&gt;=16,"Excellent",
               H390&gt;=14,"Très bien",
               H390&gt;=12,"Bien",
               H390&gt;=10,"Passable",
               TRUE,"Insuffisant")</f>
        <v>Excellent</v>
      </c>
      <c r="M390" t="str">
        <f t="shared" si="22"/>
        <v>RAS</v>
      </c>
      <c r="N390" t="str">
        <f t="shared" si="23"/>
        <v>Autre filière</v>
      </c>
    </row>
    <row r="391" spans="1:14" x14ac:dyDescent="0.45">
      <c r="A391" t="s">
        <v>638</v>
      </c>
      <c r="B391" t="s">
        <v>364</v>
      </c>
      <c r="E391" t="s">
        <v>29</v>
      </c>
      <c r="F391">
        <v>7.21</v>
      </c>
      <c r="H391">
        <v>9.4600000000000009</v>
      </c>
      <c r="J391">
        <v>0.78449999999999998</v>
      </c>
      <c r="K391" t="str">
        <f t="shared" si="21"/>
        <v>Refusé</v>
      </c>
      <c r="L391" t="str" cm="1">
        <f t="array" ref="L391">_xlfn.IFS(H391&gt;=16,"Excellent",
               H391&gt;=14,"Très bien",
               H391&gt;=12,"Bien",
               H391&gt;=10,"Passable",
               TRUE,"Insuffisant")</f>
        <v>Insuffisant</v>
      </c>
      <c r="M391" t="str">
        <f t="shared" si="22"/>
        <v>A surveiller</v>
      </c>
      <c r="N391" t="str">
        <f t="shared" si="23"/>
        <v>Autre filière</v>
      </c>
    </row>
    <row r="392" spans="1:14" x14ac:dyDescent="0.45">
      <c r="A392" t="s">
        <v>639</v>
      </c>
      <c r="B392" t="s">
        <v>640</v>
      </c>
      <c r="E392" t="s">
        <v>16</v>
      </c>
      <c r="F392">
        <v>12.8</v>
      </c>
      <c r="H392">
        <v>13.53</v>
      </c>
      <c r="J392">
        <v>0.92059999999999997</v>
      </c>
      <c r="K392" t="str">
        <f t="shared" si="21"/>
        <v>Admis</v>
      </c>
      <c r="L392" t="str" cm="1">
        <f t="array" ref="L392">_xlfn.IFS(H392&gt;=16,"Excellent",
               H392&gt;=14,"Très bien",
               H392&gt;=12,"Bien",
               H392&gt;=10,"Passable",
               TRUE,"Insuffisant")</f>
        <v>Bien</v>
      </c>
      <c r="M392" t="str">
        <f t="shared" si="22"/>
        <v>RAS</v>
      </c>
      <c r="N392" t="str">
        <f t="shared" si="23"/>
        <v>Data</v>
      </c>
    </row>
    <row r="393" spans="1:14" x14ac:dyDescent="0.45">
      <c r="A393" t="s">
        <v>641</v>
      </c>
      <c r="B393" t="s">
        <v>196</v>
      </c>
      <c r="E393" t="s">
        <v>42</v>
      </c>
      <c r="F393">
        <v>12.43</v>
      </c>
      <c r="H393">
        <v>15.24</v>
      </c>
      <c r="J393">
        <v>0.82630000000000003</v>
      </c>
      <c r="K393" t="str">
        <f t="shared" si="21"/>
        <v>Admis</v>
      </c>
      <c r="L393" t="str" cm="1">
        <f t="array" ref="L393">_xlfn.IFS(H393&gt;=16,"Excellent",
               H393&gt;=14,"Très bien",
               H393&gt;=12,"Bien",
               H393&gt;=10,"Passable",
               TRUE,"Insuffisant")</f>
        <v>Très bien</v>
      </c>
      <c r="M393" t="str">
        <f t="shared" si="22"/>
        <v>RAS</v>
      </c>
      <c r="N393" t="str">
        <f t="shared" si="23"/>
        <v>Autre filière</v>
      </c>
    </row>
    <row r="394" spans="1:14" x14ac:dyDescent="0.45">
      <c r="A394" t="s">
        <v>642</v>
      </c>
      <c r="B394" t="s">
        <v>643</v>
      </c>
      <c r="E394" t="s">
        <v>21</v>
      </c>
      <c r="F394">
        <v>12.88</v>
      </c>
      <c r="H394">
        <v>13.16</v>
      </c>
      <c r="J394">
        <v>0.94930000000000003</v>
      </c>
      <c r="K394" t="str">
        <f t="shared" si="21"/>
        <v>Admis</v>
      </c>
      <c r="L394" t="str" cm="1">
        <f t="array" ref="L394">_xlfn.IFS(H394&gt;=16,"Excellent",
               H394&gt;=14,"Très bien",
               H394&gt;=12,"Bien",
               H394&gt;=10,"Passable",
               TRUE,"Insuffisant")</f>
        <v>Bien</v>
      </c>
      <c r="M394" t="str">
        <f t="shared" si="22"/>
        <v>RAS</v>
      </c>
      <c r="N394" t="str">
        <f t="shared" si="23"/>
        <v>Autre filière</v>
      </c>
    </row>
    <row r="395" spans="1:14" x14ac:dyDescent="0.45">
      <c r="A395" t="s">
        <v>644</v>
      </c>
      <c r="B395" t="s">
        <v>645</v>
      </c>
      <c r="E395" t="s">
        <v>29</v>
      </c>
      <c r="F395">
        <v>12.98</v>
      </c>
      <c r="H395">
        <v>13.85</v>
      </c>
      <c r="J395">
        <v>0.55000000000000004</v>
      </c>
      <c r="K395" t="str">
        <f t="shared" si="21"/>
        <v>Admis sous condition</v>
      </c>
      <c r="L395" t="str" cm="1">
        <f t="array" ref="L395">_xlfn.IFS(H395&gt;=16,"Excellent",
               H395&gt;=14,"Très bien",
               H395&gt;=12,"Bien",
               H395&gt;=10,"Passable",
               TRUE,"Insuffisant")</f>
        <v>Bien</v>
      </c>
      <c r="M395" t="str">
        <f t="shared" si="22"/>
        <v>A surveiller</v>
      </c>
      <c r="N395" t="str">
        <f t="shared" si="23"/>
        <v>Autre filière</v>
      </c>
    </row>
    <row r="396" spans="1:14" x14ac:dyDescent="0.45">
      <c r="A396" t="s">
        <v>646</v>
      </c>
      <c r="B396" t="s">
        <v>647</v>
      </c>
      <c r="E396" t="s">
        <v>21</v>
      </c>
      <c r="F396">
        <v>16</v>
      </c>
      <c r="H396">
        <v>20</v>
      </c>
      <c r="J396">
        <v>0.89339999999999997</v>
      </c>
      <c r="K396" t="str">
        <f t="shared" si="21"/>
        <v>Admis</v>
      </c>
      <c r="L396" t="str" cm="1">
        <f t="array" ref="L396">_xlfn.IFS(H396&gt;=16,"Excellent",
               H396&gt;=14,"Très bien",
               H396&gt;=12,"Bien",
               H396&gt;=10,"Passable",
               TRUE,"Insuffisant")</f>
        <v>Excellent</v>
      </c>
      <c r="M396" t="str">
        <f t="shared" si="22"/>
        <v>RAS</v>
      </c>
      <c r="N396" t="str">
        <f t="shared" si="23"/>
        <v>Autre filière</v>
      </c>
    </row>
    <row r="397" spans="1:14" x14ac:dyDescent="0.45">
      <c r="A397" t="s">
        <v>648</v>
      </c>
      <c r="B397" t="s">
        <v>649</v>
      </c>
      <c r="E397" t="s">
        <v>42</v>
      </c>
      <c r="F397">
        <v>8.5299999999999994</v>
      </c>
      <c r="H397">
        <v>13.13</v>
      </c>
      <c r="J397">
        <v>0.95520000000000005</v>
      </c>
      <c r="K397" t="str">
        <f t="shared" si="21"/>
        <v>Refusé</v>
      </c>
      <c r="L397" t="str" cm="1">
        <f t="array" ref="L397">_xlfn.IFS(H397&gt;=16,"Excellent",
               H397&gt;=14,"Très bien",
               H397&gt;=12,"Bien",
               H397&gt;=10,"Passable",
               TRUE,"Insuffisant")</f>
        <v>Bien</v>
      </c>
      <c r="M397" t="str">
        <f t="shared" si="22"/>
        <v>A surveiller</v>
      </c>
      <c r="N397" t="str">
        <f t="shared" si="23"/>
        <v>Autre filière</v>
      </c>
    </row>
    <row r="398" spans="1:14" x14ac:dyDescent="0.45">
      <c r="A398" t="s">
        <v>650</v>
      </c>
      <c r="B398" t="s">
        <v>651</v>
      </c>
      <c r="E398" t="s">
        <v>42</v>
      </c>
      <c r="F398">
        <v>17.260000000000002</v>
      </c>
      <c r="H398">
        <v>15.98</v>
      </c>
      <c r="J398">
        <v>0.81210000000000004</v>
      </c>
      <c r="K398" t="str">
        <f t="shared" si="21"/>
        <v>Admis</v>
      </c>
      <c r="L398" t="str" cm="1">
        <f t="array" ref="L398">_xlfn.IFS(H398&gt;=16,"Excellent",
               H398&gt;=14,"Très bien",
               H398&gt;=12,"Bien",
               H398&gt;=10,"Passable",
               TRUE,"Insuffisant")</f>
        <v>Très bien</v>
      </c>
      <c r="M398" t="str">
        <f t="shared" si="22"/>
        <v>RAS</v>
      </c>
      <c r="N398" t="str">
        <f t="shared" si="23"/>
        <v>Autre filière</v>
      </c>
    </row>
    <row r="399" spans="1:14" x14ac:dyDescent="0.45">
      <c r="A399" t="s">
        <v>652</v>
      </c>
      <c r="B399" t="s">
        <v>653</v>
      </c>
      <c r="E399" t="s">
        <v>21</v>
      </c>
      <c r="F399">
        <v>11.24</v>
      </c>
      <c r="H399">
        <v>11.47</v>
      </c>
      <c r="J399">
        <v>0.86140000000000005</v>
      </c>
      <c r="K399" t="str">
        <f t="shared" si="21"/>
        <v>Admis sous condition</v>
      </c>
      <c r="L399" t="str" cm="1">
        <f t="array" ref="L399">_xlfn.IFS(H399&gt;=16,"Excellent",
               H399&gt;=14,"Très bien",
               H399&gt;=12,"Bien",
               H399&gt;=10,"Passable",
               TRUE,"Insuffisant")</f>
        <v>Passable</v>
      </c>
      <c r="M399" t="str">
        <f t="shared" si="22"/>
        <v>RAS</v>
      </c>
      <c r="N399" t="str">
        <f t="shared" si="23"/>
        <v>Autre filière</v>
      </c>
    </row>
    <row r="400" spans="1:14" x14ac:dyDescent="0.45">
      <c r="A400" t="s">
        <v>654</v>
      </c>
      <c r="B400" t="s">
        <v>508</v>
      </c>
      <c r="E400" t="s">
        <v>16</v>
      </c>
      <c r="F400">
        <v>12.47</v>
      </c>
      <c r="H400">
        <v>12.73</v>
      </c>
      <c r="J400">
        <v>0.76500000000000001</v>
      </c>
      <c r="K400" t="str">
        <f t="shared" si="21"/>
        <v>Admis sous condition</v>
      </c>
      <c r="L400" t="str" cm="1">
        <f t="array" ref="L400">_xlfn.IFS(H400&gt;=16,"Excellent",
               H400&gt;=14,"Très bien",
               H400&gt;=12,"Bien",
               H400&gt;=10,"Passable",
               TRUE,"Insuffisant")</f>
        <v>Bien</v>
      </c>
      <c r="M400" t="str">
        <f t="shared" si="22"/>
        <v>RAS</v>
      </c>
      <c r="N400" t="str">
        <f t="shared" si="23"/>
        <v>Data</v>
      </c>
    </row>
    <row r="401" spans="1:14" x14ac:dyDescent="0.45">
      <c r="A401" t="s">
        <v>655</v>
      </c>
      <c r="B401" t="s">
        <v>656</v>
      </c>
      <c r="E401" t="s">
        <v>21</v>
      </c>
      <c r="F401">
        <v>17</v>
      </c>
      <c r="H401">
        <v>12.69</v>
      </c>
      <c r="J401">
        <v>0.94640000000000002</v>
      </c>
      <c r="K401" t="str">
        <f t="shared" si="21"/>
        <v>Admis</v>
      </c>
      <c r="L401" t="str" cm="1">
        <f t="array" ref="L401">_xlfn.IFS(H401&gt;=16,"Excellent",
               H401&gt;=14,"Très bien",
               H401&gt;=12,"Bien",
               H401&gt;=10,"Passable",
               TRUE,"Insuffisant")</f>
        <v>Bien</v>
      </c>
      <c r="M401" t="str">
        <f t="shared" si="22"/>
        <v>RAS</v>
      </c>
      <c r="N401" t="str">
        <f t="shared" si="23"/>
        <v>Autre filière</v>
      </c>
    </row>
    <row r="402" spans="1:14" x14ac:dyDescent="0.45">
      <c r="A402" t="s">
        <v>657</v>
      </c>
      <c r="B402" t="s">
        <v>73</v>
      </c>
      <c r="E402" t="s">
        <v>21</v>
      </c>
      <c r="F402">
        <v>15.65</v>
      </c>
      <c r="H402">
        <v>14.4</v>
      </c>
      <c r="J402">
        <v>0.96989999999999998</v>
      </c>
      <c r="K402" t="str">
        <f t="shared" si="21"/>
        <v>Admis</v>
      </c>
      <c r="L402" t="str" cm="1">
        <f t="array" ref="L402">_xlfn.IFS(H402&gt;=16,"Excellent",
               H402&gt;=14,"Très bien",
               H402&gt;=12,"Bien",
               H402&gt;=10,"Passable",
               TRUE,"Insuffisant")</f>
        <v>Très bien</v>
      </c>
      <c r="M402" t="str">
        <f t="shared" si="22"/>
        <v>RAS</v>
      </c>
      <c r="N402" t="str">
        <f t="shared" si="23"/>
        <v>Autre filière</v>
      </c>
    </row>
    <row r="403" spans="1:14" x14ac:dyDescent="0.45">
      <c r="A403" t="s">
        <v>658</v>
      </c>
      <c r="B403" t="s">
        <v>356</v>
      </c>
      <c r="E403" t="s">
        <v>21</v>
      </c>
      <c r="F403">
        <v>17.21</v>
      </c>
      <c r="H403">
        <v>16.63</v>
      </c>
      <c r="J403">
        <v>0.84499999999999997</v>
      </c>
      <c r="K403" t="str">
        <f t="shared" si="21"/>
        <v>Admis</v>
      </c>
      <c r="L403" t="str" cm="1">
        <f t="array" ref="L403">_xlfn.IFS(H403&gt;=16,"Excellent",
               H403&gt;=14,"Très bien",
               H403&gt;=12,"Bien",
               H403&gt;=10,"Passable",
               TRUE,"Insuffisant")</f>
        <v>Excellent</v>
      </c>
      <c r="M403" t="str">
        <f t="shared" si="22"/>
        <v>RAS</v>
      </c>
      <c r="N403" t="str">
        <f t="shared" si="23"/>
        <v>Autre filière</v>
      </c>
    </row>
    <row r="404" spans="1:14" x14ac:dyDescent="0.45">
      <c r="A404" t="s">
        <v>659</v>
      </c>
      <c r="B404" t="s">
        <v>252</v>
      </c>
      <c r="E404" t="s">
        <v>42</v>
      </c>
      <c r="F404">
        <v>12.9</v>
      </c>
      <c r="H404">
        <v>16.61</v>
      </c>
      <c r="J404">
        <v>0.91410000000000002</v>
      </c>
      <c r="K404" t="str">
        <f t="shared" si="21"/>
        <v>Admis</v>
      </c>
      <c r="L404" t="str" cm="1">
        <f t="array" ref="L404">_xlfn.IFS(H404&gt;=16,"Excellent",
               H404&gt;=14,"Très bien",
               H404&gt;=12,"Bien",
               H404&gt;=10,"Passable",
               TRUE,"Insuffisant")</f>
        <v>Excellent</v>
      </c>
      <c r="M404" t="str">
        <f t="shared" si="22"/>
        <v>RAS</v>
      </c>
      <c r="N404" t="str">
        <f t="shared" si="23"/>
        <v>Autre filière</v>
      </c>
    </row>
    <row r="405" spans="1:14" x14ac:dyDescent="0.45">
      <c r="A405" t="s">
        <v>660</v>
      </c>
      <c r="B405" t="s">
        <v>661</v>
      </c>
      <c r="E405" t="s">
        <v>21</v>
      </c>
      <c r="F405">
        <v>9.51</v>
      </c>
      <c r="H405">
        <v>8.35</v>
      </c>
      <c r="J405">
        <v>0.66739999999999999</v>
      </c>
      <c r="K405" t="str">
        <f t="shared" si="21"/>
        <v>Refusé</v>
      </c>
      <c r="L405" t="str" cm="1">
        <f t="array" ref="L405">_xlfn.IFS(H405&gt;=16,"Excellent",
               H405&gt;=14,"Très bien",
               H405&gt;=12,"Bien",
               H405&gt;=10,"Passable",
               TRUE,"Insuffisant")</f>
        <v>Insuffisant</v>
      </c>
      <c r="M405" t="str">
        <f t="shared" si="22"/>
        <v>A surveiller</v>
      </c>
      <c r="N405" t="str">
        <f t="shared" si="23"/>
        <v>Autre filière</v>
      </c>
    </row>
    <row r="406" spans="1:14" x14ac:dyDescent="0.45">
      <c r="A406" t="s">
        <v>662</v>
      </c>
      <c r="B406" t="s">
        <v>663</v>
      </c>
      <c r="E406" t="s">
        <v>21</v>
      </c>
      <c r="F406">
        <v>13.77</v>
      </c>
      <c r="H406">
        <v>16.64</v>
      </c>
      <c r="J406">
        <v>0.80230000000000001</v>
      </c>
      <c r="K406" t="str">
        <f t="shared" si="21"/>
        <v>Admis</v>
      </c>
      <c r="L406" t="str" cm="1">
        <f t="array" ref="L406">_xlfn.IFS(H406&gt;=16,"Excellent",
               H406&gt;=14,"Très bien",
               H406&gt;=12,"Bien",
               H406&gt;=10,"Passable",
               TRUE,"Insuffisant")</f>
        <v>Excellent</v>
      </c>
      <c r="M406" t="str">
        <f t="shared" si="22"/>
        <v>RAS</v>
      </c>
      <c r="N406" t="str">
        <f t="shared" si="23"/>
        <v>Autre filière</v>
      </c>
    </row>
    <row r="407" spans="1:14" x14ac:dyDescent="0.45">
      <c r="A407" t="s">
        <v>664</v>
      </c>
      <c r="B407" t="s">
        <v>665</v>
      </c>
      <c r="E407" t="s">
        <v>21</v>
      </c>
      <c r="F407">
        <v>13.66</v>
      </c>
      <c r="H407">
        <v>20</v>
      </c>
      <c r="J407">
        <v>0.92069999999999996</v>
      </c>
      <c r="K407" t="str">
        <f t="shared" ref="K407:K470" si="24">IF(AND(F407&gt;=12,H407&gt;=12,J407&gt;=0.8),"Admis",
   IF(AND(F407&gt;=10,H407&gt;=10),"Admis sous condition","Refusé"))</f>
        <v>Admis</v>
      </c>
      <c r="L407" t="str" cm="1">
        <f t="array" ref="L407">_xlfn.IFS(H407&gt;=16,"Excellent",
               H407&gt;=14,"Très bien",
               H407&gt;=12,"Bien",
               H407&gt;=10,"Passable",
               TRUE,"Insuffisant")</f>
        <v>Excellent</v>
      </c>
      <c r="M407" t="str">
        <f t="shared" ref="M407:M470" si="25">IF(OR(F407&lt;10,H407&lt;10,J407&lt;0.7),"A surveiller","RAS")</f>
        <v>RAS</v>
      </c>
      <c r="N407" t="str">
        <f t="shared" ref="N407:N470" si="26">IF(NOT(E407="Data"),"Autre filière","Data")</f>
        <v>Autre filière</v>
      </c>
    </row>
    <row r="408" spans="1:14" x14ac:dyDescent="0.45">
      <c r="A408" t="s">
        <v>666</v>
      </c>
      <c r="B408" t="s">
        <v>331</v>
      </c>
      <c r="E408" t="s">
        <v>21</v>
      </c>
      <c r="F408">
        <v>11.3</v>
      </c>
      <c r="H408">
        <v>8.94</v>
      </c>
      <c r="J408">
        <v>0.87849999999999995</v>
      </c>
      <c r="K408" t="str">
        <f t="shared" si="24"/>
        <v>Refusé</v>
      </c>
      <c r="L408" t="str" cm="1">
        <f t="array" ref="L408">_xlfn.IFS(H408&gt;=16,"Excellent",
               H408&gt;=14,"Très bien",
               H408&gt;=12,"Bien",
               H408&gt;=10,"Passable",
               TRUE,"Insuffisant")</f>
        <v>Insuffisant</v>
      </c>
      <c r="M408" t="str">
        <f t="shared" si="25"/>
        <v>A surveiller</v>
      </c>
      <c r="N408" t="str">
        <f t="shared" si="26"/>
        <v>Autre filière</v>
      </c>
    </row>
    <row r="409" spans="1:14" x14ac:dyDescent="0.45">
      <c r="A409" t="s">
        <v>667</v>
      </c>
      <c r="B409" t="s">
        <v>285</v>
      </c>
      <c r="E409" t="s">
        <v>21</v>
      </c>
      <c r="F409">
        <v>14.47</v>
      </c>
      <c r="H409">
        <v>12.67</v>
      </c>
      <c r="J409">
        <v>0.66169999999999995</v>
      </c>
      <c r="K409" t="str">
        <f t="shared" si="24"/>
        <v>Admis sous condition</v>
      </c>
      <c r="L409" t="str" cm="1">
        <f t="array" ref="L409">_xlfn.IFS(H409&gt;=16,"Excellent",
               H409&gt;=14,"Très bien",
               H409&gt;=12,"Bien",
               H409&gt;=10,"Passable",
               TRUE,"Insuffisant")</f>
        <v>Bien</v>
      </c>
      <c r="M409" t="str">
        <f t="shared" si="25"/>
        <v>A surveiller</v>
      </c>
      <c r="N409" t="str">
        <f t="shared" si="26"/>
        <v>Autre filière</v>
      </c>
    </row>
    <row r="410" spans="1:14" x14ac:dyDescent="0.45">
      <c r="A410" t="s">
        <v>668</v>
      </c>
      <c r="B410" t="s">
        <v>669</v>
      </c>
      <c r="E410" t="s">
        <v>29</v>
      </c>
      <c r="F410">
        <v>15.77</v>
      </c>
      <c r="H410">
        <v>16.95</v>
      </c>
      <c r="J410">
        <v>0.86729999999999996</v>
      </c>
      <c r="K410" t="str">
        <f t="shared" si="24"/>
        <v>Admis</v>
      </c>
      <c r="L410" t="str" cm="1">
        <f t="array" ref="L410">_xlfn.IFS(H410&gt;=16,"Excellent",
               H410&gt;=14,"Très bien",
               H410&gt;=12,"Bien",
               H410&gt;=10,"Passable",
               TRUE,"Insuffisant")</f>
        <v>Excellent</v>
      </c>
      <c r="M410" t="str">
        <f t="shared" si="25"/>
        <v>RAS</v>
      </c>
      <c r="N410" t="str">
        <f t="shared" si="26"/>
        <v>Autre filière</v>
      </c>
    </row>
    <row r="411" spans="1:14" x14ac:dyDescent="0.45">
      <c r="A411" t="s">
        <v>670</v>
      </c>
      <c r="B411" t="s">
        <v>411</v>
      </c>
      <c r="E411" t="s">
        <v>42</v>
      </c>
      <c r="F411">
        <v>11.16</v>
      </c>
      <c r="H411">
        <v>15.78</v>
      </c>
      <c r="J411">
        <v>0.80100000000000005</v>
      </c>
      <c r="K411" t="str">
        <f t="shared" si="24"/>
        <v>Admis sous condition</v>
      </c>
      <c r="L411" t="str" cm="1">
        <f t="array" ref="L411">_xlfn.IFS(H411&gt;=16,"Excellent",
               H411&gt;=14,"Très bien",
               H411&gt;=12,"Bien",
               H411&gt;=10,"Passable",
               TRUE,"Insuffisant")</f>
        <v>Très bien</v>
      </c>
      <c r="M411" t="str">
        <f t="shared" si="25"/>
        <v>RAS</v>
      </c>
      <c r="N411" t="str">
        <f t="shared" si="26"/>
        <v>Autre filière</v>
      </c>
    </row>
    <row r="412" spans="1:14" x14ac:dyDescent="0.45">
      <c r="A412" t="s">
        <v>671</v>
      </c>
      <c r="B412" t="s">
        <v>558</v>
      </c>
      <c r="E412" t="s">
        <v>29</v>
      </c>
      <c r="F412">
        <v>18.04</v>
      </c>
      <c r="H412">
        <v>17.36</v>
      </c>
      <c r="J412">
        <v>0.77969999999999995</v>
      </c>
      <c r="K412" t="str">
        <f t="shared" si="24"/>
        <v>Admis sous condition</v>
      </c>
      <c r="L412" t="str" cm="1">
        <f t="array" ref="L412">_xlfn.IFS(H412&gt;=16,"Excellent",
               H412&gt;=14,"Très bien",
               H412&gt;=12,"Bien",
               H412&gt;=10,"Passable",
               TRUE,"Insuffisant")</f>
        <v>Excellent</v>
      </c>
      <c r="M412" t="str">
        <f t="shared" si="25"/>
        <v>RAS</v>
      </c>
      <c r="N412" t="str">
        <f t="shared" si="26"/>
        <v>Autre filière</v>
      </c>
    </row>
    <row r="413" spans="1:14" x14ac:dyDescent="0.45">
      <c r="A413" t="s">
        <v>672</v>
      </c>
      <c r="B413" t="s">
        <v>673</v>
      </c>
      <c r="E413" t="s">
        <v>21</v>
      </c>
      <c r="F413">
        <v>11.69</v>
      </c>
      <c r="H413">
        <v>14.88</v>
      </c>
      <c r="J413">
        <v>0.6956</v>
      </c>
      <c r="K413" t="str">
        <f t="shared" si="24"/>
        <v>Admis sous condition</v>
      </c>
      <c r="L413" t="str" cm="1">
        <f t="array" ref="L413">_xlfn.IFS(H413&gt;=16,"Excellent",
               H413&gt;=14,"Très bien",
               H413&gt;=12,"Bien",
               H413&gt;=10,"Passable",
               TRUE,"Insuffisant")</f>
        <v>Très bien</v>
      </c>
      <c r="M413" t="str">
        <f t="shared" si="25"/>
        <v>A surveiller</v>
      </c>
      <c r="N413" t="str">
        <f t="shared" si="26"/>
        <v>Autre filière</v>
      </c>
    </row>
    <row r="414" spans="1:14" x14ac:dyDescent="0.45">
      <c r="A414" t="s">
        <v>674</v>
      </c>
      <c r="B414" t="s">
        <v>549</v>
      </c>
      <c r="E414" t="s">
        <v>21</v>
      </c>
      <c r="F414">
        <v>20</v>
      </c>
      <c r="H414">
        <v>17.28</v>
      </c>
      <c r="J414">
        <v>0.95930000000000004</v>
      </c>
      <c r="K414" t="str">
        <f t="shared" si="24"/>
        <v>Admis</v>
      </c>
      <c r="L414" t="str" cm="1">
        <f t="array" ref="L414">_xlfn.IFS(H414&gt;=16,"Excellent",
               H414&gt;=14,"Très bien",
               H414&gt;=12,"Bien",
               H414&gt;=10,"Passable",
               TRUE,"Insuffisant")</f>
        <v>Excellent</v>
      </c>
      <c r="M414" t="str">
        <f t="shared" si="25"/>
        <v>RAS</v>
      </c>
      <c r="N414" t="str">
        <f t="shared" si="26"/>
        <v>Autre filière</v>
      </c>
    </row>
    <row r="415" spans="1:14" x14ac:dyDescent="0.45">
      <c r="A415" t="s">
        <v>675</v>
      </c>
      <c r="B415" t="s">
        <v>111</v>
      </c>
      <c r="E415" t="s">
        <v>21</v>
      </c>
      <c r="F415">
        <v>19.18</v>
      </c>
      <c r="H415">
        <v>13.21</v>
      </c>
      <c r="J415">
        <v>0.72550000000000003</v>
      </c>
      <c r="K415" t="str">
        <f t="shared" si="24"/>
        <v>Admis sous condition</v>
      </c>
      <c r="L415" t="str" cm="1">
        <f t="array" ref="L415">_xlfn.IFS(H415&gt;=16,"Excellent",
               H415&gt;=14,"Très bien",
               H415&gt;=12,"Bien",
               H415&gt;=10,"Passable",
               TRUE,"Insuffisant")</f>
        <v>Bien</v>
      </c>
      <c r="M415" t="str">
        <f t="shared" si="25"/>
        <v>RAS</v>
      </c>
      <c r="N415" t="str">
        <f t="shared" si="26"/>
        <v>Autre filière</v>
      </c>
    </row>
    <row r="416" spans="1:14" x14ac:dyDescent="0.45">
      <c r="A416" t="s">
        <v>676</v>
      </c>
      <c r="B416" t="s">
        <v>677</v>
      </c>
      <c r="E416" t="s">
        <v>42</v>
      </c>
      <c r="F416">
        <v>6.74</v>
      </c>
      <c r="H416">
        <v>2.11</v>
      </c>
      <c r="J416">
        <v>0.77539999999999998</v>
      </c>
      <c r="K416" t="str">
        <f t="shared" si="24"/>
        <v>Refusé</v>
      </c>
      <c r="L416" t="str" cm="1">
        <f t="array" ref="L416">_xlfn.IFS(H416&gt;=16,"Excellent",
               H416&gt;=14,"Très bien",
               H416&gt;=12,"Bien",
               H416&gt;=10,"Passable",
               TRUE,"Insuffisant")</f>
        <v>Insuffisant</v>
      </c>
      <c r="M416" t="str">
        <f t="shared" si="25"/>
        <v>A surveiller</v>
      </c>
      <c r="N416" t="str">
        <f t="shared" si="26"/>
        <v>Autre filière</v>
      </c>
    </row>
    <row r="417" spans="1:14" x14ac:dyDescent="0.45">
      <c r="A417" t="s">
        <v>678</v>
      </c>
      <c r="B417" t="s">
        <v>142</v>
      </c>
      <c r="E417" t="s">
        <v>29</v>
      </c>
      <c r="F417">
        <v>10.73</v>
      </c>
      <c r="H417">
        <v>8.77</v>
      </c>
      <c r="J417">
        <v>0.80400000000000005</v>
      </c>
      <c r="K417" t="str">
        <f t="shared" si="24"/>
        <v>Refusé</v>
      </c>
      <c r="L417" t="str" cm="1">
        <f t="array" ref="L417">_xlfn.IFS(H417&gt;=16,"Excellent",
               H417&gt;=14,"Très bien",
               H417&gt;=12,"Bien",
               H417&gt;=10,"Passable",
               TRUE,"Insuffisant")</f>
        <v>Insuffisant</v>
      </c>
      <c r="M417" t="str">
        <f t="shared" si="25"/>
        <v>A surveiller</v>
      </c>
      <c r="N417" t="str">
        <f t="shared" si="26"/>
        <v>Autre filière</v>
      </c>
    </row>
    <row r="418" spans="1:14" x14ac:dyDescent="0.45">
      <c r="A418" t="s">
        <v>679</v>
      </c>
      <c r="B418" t="s">
        <v>340</v>
      </c>
      <c r="E418" t="s">
        <v>16</v>
      </c>
      <c r="F418">
        <v>13.37</v>
      </c>
      <c r="H418">
        <v>14.07</v>
      </c>
      <c r="J418">
        <v>0.88229999999999997</v>
      </c>
      <c r="K418" t="str">
        <f t="shared" si="24"/>
        <v>Admis</v>
      </c>
      <c r="L418" t="str" cm="1">
        <f t="array" ref="L418">_xlfn.IFS(H418&gt;=16,"Excellent",
               H418&gt;=14,"Très bien",
               H418&gt;=12,"Bien",
               H418&gt;=10,"Passable",
               TRUE,"Insuffisant")</f>
        <v>Très bien</v>
      </c>
      <c r="M418" t="str">
        <f t="shared" si="25"/>
        <v>RAS</v>
      </c>
      <c r="N418" t="str">
        <f t="shared" si="26"/>
        <v>Data</v>
      </c>
    </row>
    <row r="419" spans="1:14" x14ac:dyDescent="0.45">
      <c r="A419" t="s">
        <v>680</v>
      </c>
      <c r="B419" t="s">
        <v>245</v>
      </c>
      <c r="E419" t="s">
        <v>42</v>
      </c>
      <c r="F419">
        <v>7.56</v>
      </c>
      <c r="H419">
        <v>5.8</v>
      </c>
      <c r="J419">
        <v>0.61419999999999997</v>
      </c>
      <c r="K419" t="str">
        <f t="shared" si="24"/>
        <v>Refusé</v>
      </c>
      <c r="L419" t="str" cm="1">
        <f t="array" ref="L419">_xlfn.IFS(H419&gt;=16,"Excellent",
               H419&gt;=14,"Très bien",
               H419&gt;=12,"Bien",
               H419&gt;=10,"Passable",
               TRUE,"Insuffisant")</f>
        <v>Insuffisant</v>
      </c>
      <c r="M419" t="str">
        <f t="shared" si="25"/>
        <v>A surveiller</v>
      </c>
      <c r="N419" t="str">
        <f t="shared" si="26"/>
        <v>Autre filière</v>
      </c>
    </row>
    <row r="420" spans="1:14" x14ac:dyDescent="0.45">
      <c r="A420" t="s">
        <v>681</v>
      </c>
      <c r="B420" t="s">
        <v>366</v>
      </c>
      <c r="E420" t="s">
        <v>42</v>
      </c>
      <c r="F420">
        <v>13.83</v>
      </c>
      <c r="H420">
        <v>16.73</v>
      </c>
      <c r="J420">
        <v>0.75819999999999999</v>
      </c>
      <c r="K420" t="str">
        <f t="shared" si="24"/>
        <v>Admis sous condition</v>
      </c>
      <c r="L420" t="str" cm="1">
        <f t="array" ref="L420">_xlfn.IFS(H420&gt;=16,"Excellent",
               H420&gt;=14,"Très bien",
               H420&gt;=12,"Bien",
               H420&gt;=10,"Passable",
               TRUE,"Insuffisant")</f>
        <v>Excellent</v>
      </c>
      <c r="M420" t="str">
        <f t="shared" si="25"/>
        <v>RAS</v>
      </c>
      <c r="N420" t="str">
        <f t="shared" si="26"/>
        <v>Autre filière</v>
      </c>
    </row>
    <row r="421" spans="1:14" x14ac:dyDescent="0.45">
      <c r="A421" t="s">
        <v>682</v>
      </c>
      <c r="B421" t="s">
        <v>264</v>
      </c>
      <c r="E421" t="s">
        <v>42</v>
      </c>
      <c r="F421">
        <v>16.45</v>
      </c>
      <c r="H421">
        <v>17.260000000000002</v>
      </c>
      <c r="J421">
        <v>0.89410000000000001</v>
      </c>
      <c r="K421" t="str">
        <f t="shared" si="24"/>
        <v>Admis</v>
      </c>
      <c r="L421" t="str" cm="1">
        <f t="array" ref="L421">_xlfn.IFS(H421&gt;=16,"Excellent",
               H421&gt;=14,"Très bien",
               H421&gt;=12,"Bien",
               H421&gt;=10,"Passable",
               TRUE,"Insuffisant")</f>
        <v>Excellent</v>
      </c>
      <c r="M421" t="str">
        <f t="shared" si="25"/>
        <v>RAS</v>
      </c>
      <c r="N421" t="str">
        <f t="shared" si="26"/>
        <v>Autre filière</v>
      </c>
    </row>
    <row r="422" spans="1:14" x14ac:dyDescent="0.45">
      <c r="A422" t="s">
        <v>683</v>
      </c>
      <c r="B422" t="s">
        <v>684</v>
      </c>
      <c r="E422" t="s">
        <v>42</v>
      </c>
      <c r="F422">
        <v>5.97</v>
      </c>
      <c r="H422">
        <v>10.119999999999999</v>
      </c>
      <c r="J422">
        <v>0.6915</v>
      </c>
      <c r="K422" t="str">
        <f t="shared" si="24"/>
        <v>Refusé</v>
      </c>
      <c r="L422" t="str" cm="1">
        <f t="array" ref="L422">_xlfn.IFS(H422&gt;=16,"Excellent",
               H422&gt;=14,"Très bien",
               H422&gt;=12,"Bien",
               H422&gt;=10,"Passable",
               TRUE,"Insuffisant")</f>
        <v>Passable</v>
      </c>
      <c r="M422" t="str">
        <f t="shared" si="25"/>
        <v>A surveiller</v>
      </c>
      <c r="N422" t="str">
        <f t="shared" si="26"/>
        <v>Autre filière</v>
      </c>
    </row>
    <row r="423" spans="1:14" x14ac:dyDescent="0.45">
      <c r="A423" t="s">
        <v>685</v>
      </c>
      <c r="B423" t="s">
        <v>471</v>
      </c>
      <c r="E423" t="s">
        <v>21</v>
      </c>
      <c r="F423">
        <v>16.91</v>
      </c>
      <c r="H423">
        <v>12.79</v>
      </c>
      <c r="J423">
        <v>0.8911</v>
      </c>
      <c r="K423" t="str">
        <f t="shared" si="24"/>
        <v>Admis</v>
      </c>
      <c r="L423" t="str" cm="1">
        <f t="array" ref="L423">_xlfn.IFS(H423&gt;=16,"Excellent",
               H423&gt;=14,"Très bien",
               H423&gt;=12,"Bien",
               H423&gt;=10,"Passable",
               TRUE,"Insuffisant")</f>
        <v>Bien</v>
      </c>
      <c r="M423" t="str">
        <f t="shared" si="25"/>
        <v>RAS</v>
      </c>
      <c r="N423" t="str">
        <f t="shared" si="26"/>
        <v>Autre filière</v>
      </c>
    </row>
    <row r="424" spans="1:14" x14ac:dyDescent="0.45">
      <c r="A424" t="s">
        <v>686</v>
      </c>
      <c r="B424" t="s">
        <v>649</v>
      </c>
      <c r="E424" t="s">
        <v>16</v>
      </c>
      <c r="F424">
        <v>10.76</v>
      </c>
      <c r="H424">
        <v>12.5</v>
      </c>
      <c r="J424">
        <v>0.83109999999999995</v>
      </c>
      <c r="K424" t="str">
        <f t="shared" si="24"/>
        <v>Admis sous condition</v>
      </c>
      <c r="L424" t="str" cm="1">
        <f t="array" ref="L424">_xlfn.IFS(H424&gt;=16,"Excellent",
               H424&gt;=14,"Très bien",
               H424&gt;=12,"Bien",
               H424&gt;=10,"Passable",
               TRUE,"Insuffisant")</f>
        <v>Bien</v>
      </c>
      <c r="M424" t="str">
        <f t="shared" si="25"/>
        <v>RAS</v>
      </c>
      <c r="N424" t="str">
        <f t="shared" si="26"/>
        <v>Data</v>
      </c>
    </row>
    <row r="425" spans="1:14" x14ac:dyDescent="0.45">
      <c r="A425" t="s">
        <v>687</v>
      </c>
      <c r="B425" t="s">
        <v>449</v>
      </c>
      <c r="E425" t="s">
        <v>29</v>
      </c>
      <c r="F425">
        <v>10.55</v>
      </c>
      <c r="H425">
        <v>10.050000000000001</v>
      </c>
      <c r="J425">
        <v>0.75629999999999997</v>
      </c>
      <c r="K425" t="str">
        <f t="shared" si="24"/>
        <v>Admis sous condition</v>
      </c>
      <c r="L425" t="str" cm="1">
        <f t="array" ref="L425">_xlfn.IFS(H425&gt;=16,"Excellent",
               H425&gt;=14,"Très bien",
               H425&gt;=12,"Bien",
               H425&gt;=10,"Passable",
               TRUE,"Insuffisant")</f>
        <v>Passable</v>
      </c>
      <c r="M425" t="str">
        <f t="shared" si="25"/>
        <v>RAS</v>
      </c>
      <c r="N425" t="str">
        <f t="shared" si="26"/>
        <v>Autre filière</v>
      </c>
    </row>
    <row r="426" spans="1:14" x14ac:dyDescent="0.45">
      <c r="A426" t="s">
        <v>688</v>
      </c>
      <c r="B426" t="s">
        <v>549</v>
      </c>
      <c r="E426" t="s">
        <v>42</v>
      </c>
      <c r="F426">
        <v>16.399999999999999</v>
      </c>
      <c r="H426">
        <v>15.67</v>
      </c>
      <c r="J426">
        <v>0.61680000000000001</v>
      </c>
      <c r="K426" t="str">
        <f t="shared" si="24"/>
        <v>Admis sous condition</v>
      </c>
      <c r="L426" t="str" cm="1">
        <f t="array" ref="L426">_xlfn.IFS(H426&gt;=16,"Excellent",
               H426&gt;=14,"Très bien",
               H426&gt;=12,"Bien",
               H426&gt;=10,"Passable",
               TRUE,"Insuffisant")</f>
        <v>Très bien</v>
      </c>
      <c r="M426" t="str">
        <f t="shared" si="25"/>
        <v>A surveiller</v>
      </c>
      <c r="N426" t="str">
        <f t="shared" si="26"/>
        <v>Autre filière</v>
      </c>
    </row>
    <row r="427" spans="1:14" x14ac:dyDescent="0.45">
      <c r="A427" t="s">
        <v>689</v>
      </c>
      <c r="B427" t="s">
        <v>258</v>
      </c>
      <c r="E427" t="s">
        <v>21</v>
      </c>
      <c r="F427">
        <v>12.77</v>
      </c>
      <c r="H427">
        <v>14.8</v>
      </c>
      <c r="J427">
        <v>0.90069999999999995</v>
      </c>
      <c r="K427" t="str">
        <f t="shared" si="24"/>
        <v>Admis</v>
      </c>
      <c r="L427" t="str" cm="1">
        <f t="array" ref="L427">_xlfn.IFS(H427&gt;=16,"Excellent",
               H427&gt;=14,"Très bien",
               H427&gt;=12,"Bien",
               H427&gt;=10,"Passable",
               TRUE,"Insuffisant")</f>
        <v>Très bien</v>
      </c>
      <c r="M427" t="str">
        <f t="shared" si="25"/>
        <v>RAS</v>
      </c>
      <c r="N427" t="str">
        <f t="shared" si="26"/>
        <v>Autre filière</v>
      </c>
    </row>
    <row r="428" spans="1:14" x14ac:dyDescent="0.45">
      <c r="A428" t="s">
        <v>690</v>
      </c>
      <c r="B428" t="s">
        <v>691</v>
      </c>
      <c r="E428" t="s">
        <v>21</v>
      </c>
      <c r="F428">
        <v>12.83</v>
      </c>
      <c r="H428">
        <v>15.77</v>
      </c>
      <c r="J428">
        <v>0.89200000000000002</v>
      </c>
      <c r="K428" t="str">
        <f t="shared" si="24"/>
        <v>Admis</v>
      </c>
      <c r="L428" t="str" cm="1">
        <f t="array" ref="L428">_xlfn.IFS(H428&gt;=16,"Excellent",
               H428&gt;=14,"Très bien",
               H428&gt;=12,"Bien",
               H428&gt;=10,"Passable",
               TRUE,"Insuffisant")</f>
        <v>Très bien</v>
      </c>
      <c r="M428" t="str">
        <f t="shared" si="25"/>
        <v>RAS</v>
      </c>
      <c r="N428" t="str">
        <f t="shared" si="26"/>
        <v>Autre filière</v>
      </c>
    </row>
    <row r="429" spans="1:14" x14ac:dyDescent="0.45">
      <c r="A429" t="s">
        <v>692</v>
      </c>
      <c r="B429" t="s">
        <v>693</v>
      </c>
      <c r="E429" t="s">
        <v>21</v>
      </c>
      <c r="F429">
        <v>3.3</v>
      </c>
      <c r="H429">
        <v>7.94</v>
      </c>
      <c r="J429">
        <v>0.89590000000000003</v>
      </c>
      <c r="K429" t="str">
        <f t="shared" si="24"/>
        <v>Refusé</v>
      </c>
      <c r="L429" t="str" cm="1">
        <f t="array" ref="L429">_xlfn.IFS(H429&gt;=16,"Excellent",
               H429&gt;=14,"Très bien",
               H429&gt;=12,"Bien",
               H429&gt;=10,"Passable",
               TRUE,"Insuffisant")</f>
        <v>Insuffisant</v>
      </c>
      <c r="M429" t="str">
        <f t="shared" si="25"/>
        <v>A surveiller</v>
      </c>
      <c r="N429" t="str">
        <f t="shared" si="26"/>
        <v>Autre filière</v>
      </c>
    </row>
    <row r="430" spans="1:14" x14ac:dyDescent="0.45">
      <c r="A430" t="s">
        <v>694</v>
      </c>
      <c r="B430" t="s">
        <v>252</v>
      </c>
      <c r="E430" t="s">
        <v>21</v>
      </c>
      <c r="F430">
        <v>19.61</v>
      </c>
      <c r="H430">
        <v>20</v>
      </c>
      <c r="J430">
        <v>0.74160000000000004</v>
      </c>
      <c r="K430" t="str">
        <f t="shared" si="24"/>
        <v>Admis sous condition</v>
      </c>
      <c r="L430" t="str" cm="1">
        <f t="array" ref="L430">_xlfn.IFS(H430&gt;=16,"Excellent",
               H430&gt;=14,"Très bien",
               H430&gt;=12,"Bien",
               H430&gt;=10,"Passable",
               TRUE,"Insuffisant")</f>
        <v>Excellent</v>
      </c>
      <c r="M430" t="str">
        <f t="shared" si="25"/>
        <v>RAS</v>
      </c>
      <c r="N430" t="str">
        <f t="shared" si="26"/>
        <v>Autre filière</v>
      </c>
    </row>
    <row r="431" spans="1:14" x14ac:dyDescent="0.45">
      <c r="A431" t="s">
        <v>695</v>
      </c>
      <c r="B431" t="s">
        <v>374</v>
      </c>
      <c r="E431" t="s">
        <v>21</v>
      </c>
      <c r="F431">
        <v>16.329999999999998</v>
      </c>
      <c r="H431">
        <v>15.41</v>
      </c>
      <c r="J431">
        <v>0.626</v>
      </c>
      <c r="K431" t="str">
        <f t="shared" si="24"/>
        <v>Admis sous condition</v>
      </c>
      <c r="L431" t="str" cm="1">
        <f t="array" ref="L431">_xlfn.IFS(H431&gt;=16,"Excellent",
               H431&gt;=14,"Très bien",
               H431&gt;=12,"Bien",
               H431&gt;=10,"Passable",
               TRUE,"Insuffisant")</f>
        <v>Très bien</v>
      </c>
      <c r="M431" t="str">
        <f t="shared" si="25"/>
        <v>A surveiller</v>
      </c>
      <c r="N431" t="str">
        <f t="shared" si="26"/>
        <v>Autre filière</v>
      </c>
    </row>
    <row r="432" spans="1:14" x14ac:dyDescent="0.45">
      <c r="A432" t="s">
        <v>696</v>
      </c>
      <c r="B432" t="s">
        <v>461</v>
      </c>
      <c r="E432" t="s">
        <v>42</v>
      </c>
      <c r="F432">
        <v>12.55</v>
      </c>
      <c r="H432">
        <v>14.03</v>
      </c>
      <c r="J432">
        <v>0.67689999999999995</v>
      </c>
      <c r="K432" t="str">
        <f t="shared" si="24"/>
        <v>Admis sous condition</v>
      </c>
      <c r="L432" t="str" cm="1">
        <f t="array" ref="L432">_xlfn.IFS(H432&gt;=16,"Excellent",
               H432&gt;=14,"Très bien",
               H432&gt;=12,"Bien",
               H432&gt;=10,"Passable",
               TRUE,"Insuffisant")</f>
        <v>Très bien</v>
      </c>
      <c r="M432" t="str">
        <f t="shared" si="25"/>
        <v>A surveiller</v>
      </c>
      <c r="N432" t="str">
        <f t="shared" si="26"/>
        <v>Autre filière</v>
      </c>
    </row>
    <row r="433" spans="1:14" x14ac:dyDescent="0.45">
      <c r="A433" t="s">
        <v>697</v>
      </c>
      <c r="B433" t="s">
        <v>406</v>
      </c>
      <c r="E433" t="s">
        <v>16</v>
      </c>
      <c r="F433">
        <v>12.59</v>
      </c>
      <c r="H433">
        <v>13.51</v>
      </c>
      <c r="J433">
        <v>0.76980000000000004</v>
      </c>
      <c r="K433" t="str">
        <f t="shared" si="24"/>
        <v>Admis sous condition</v>
      </c>
      <c r="L433" t="str" cm="1">
        <f t="array" ref="L433">_xlfn.IFS(H433&gt;=16,"Excellent",
               H433&gt;=14,"Très bien",
               H433&gt;=12,"Bien",
               H433&gt;=10,"Passable",
               TRUE,"Insuffisant")</f>
        <v>Bien</v>
      </c>
      <c r="M433" t="str">
        <f t="shared" si="25"/>
        <v>RAS</v>
      </c>
      <c r="N433" t="str">
        <f t="shared" si="26"/>
        <v>Data</v>
      </c>
    </row>
    <row r="434" spans="1:14" x14ac:dyDescent="0.45">
      <c r="A434" t="s">
        <v>698</v>
      </c>
      <c r="B434" t="s">
        <v>406</v>
      </c>
      <c r="E434" t="s">
        <v>42</v>
      </c>
      <c r="F434">
        <v>9.75</v>
      </c>
      <c r="H434">
        <v>14.31</v>
      </c>
      <c r="J434">
        <v>0.55000000000000004</v>
      </c>
      <c r="K434" t="str">
        <f t="shared" si="24"/>
        <v>Refusé</v>
      </c>
      <c r="L434" t="str" cm="1">
        <f t="array" ref="L434">_xlfn.IFS(H434&gt;=16,"Excellent",
               H434&gt;=14,"Très bien",
               H434&gt;=12,"Bien",
               H434&gt;=10,"Passable",
               TRUE,"Insuffisant")</f>
        <v>Très bien</v>
      </c>
      <c r="M434" t="str">
        <f t="shared" si="25"/>
        <v>A surveiller</v>
      </c>
      <c r="N434" t="str">
        <f t="shared" si="26"/>
        <v>Autre filière</v>
      </c>
    </row>
    <row r="435" spans="1:14" x14ac:dyDescent="0.45">
      <c r="A435" t="s">
        <v>699</v>
      </c>
      <c r="B435" t="s">
        <v>677</v>
      </c>
      <c r="E435" t="s">
        <v>42</v>
      </c>
      <c r="F435">
        <v>13.59</v>
      </c>
      <c r="H435">
        <v>15.74</v>
      </c>
      <c r="J435">
        <v>0.877</v>
      </c>
      <c r="K435" t="str">
        <f t="shared" si="24"/>
        <v>Admis</v>
      </c>
      <c r="L435" t="str" cm="1">
        <f t="array" ref="L435">_xlfn.IFS(H435&gt;=16,"Excellent",
               H435&gt;=14,"Très bien",
               H435&gt;=12,"Bien",
               H435&gt;=10,"Passable",
               TRUE,"Insuffisant")</f>
        <v>Très bien</v>
      </c>
      <c r="M435" t="str">
        <f t="shared" si="25"/>
        <v>RAS</v>
      </c>
      <c r="N435" t="str">
        <f t="shared" si="26"/>
        <v>Autre filière</v>
      </c>
    </row>
    <row r="436" spans="1:14" x14ac:dyDescent="0.45">
      <c r="A436" t="s">
        <v>700</v>
      </c>
      <c r="B436" t="s">
        <v>151</v>
      </c>
      <c r="E436" t="s">
        <v>16</v>
      </c>
      <c r="F436">
        <v>10.33</v>
      </c>
      <c r="H436">
        <v>16.22</v>
      </c>
      <c r="J436">
        <v>0.77610000000000001</v>
      </c>
      <c r="K436" t="str">
        <f t="shared" si="24"/>
        <v>Admis sous condition</v>
      </c>
      <c r="L436" t="str" cm="1">
        <f t="array" ref="L436">_xlfn.IFS(H436&gt;=16,"Excellent",
               H436&gt;=14,"Très bien",
               H436&gt;=12,"Bien",
               H436&gt;=10,"Passable",
               TRUE,"Insuffisant")</f>
        <v>Excellent</v>
      </c>
      <c r="M436" t="str">
        <f t="shared" si="25"/>
        <v>RAS</v>
      </c>
      <c r="N436" t="str">
        <f t="shared" si="26"/>
        <v>Data</v>
      </c>
    </row>
    <row r="437" spans="1:14" x14ac:dyDescent="0.45">
      <c r="A437" t="s">
        <v>701</v>
      </c>
      <c r="B437" t="s">
        <v>86</v>
      </c>
      <c r="E437" t="s">
        <v>21</v>
      </c>
      <c r="F437">
        <v>11.28</v>
      </c>
      <c r="H437">
        <v>12.71</v>
      </c>
      <c r="J437">
        <v>0.7661</v>
      </c>
      <c r="K437" t="str">
        <f t="shared" si="24"/>
        <v>Admis sous condition</v>
      </c>
      <c r="L437" t="str" cm="1">
        <f t="array" ref="L437">_xlfn.IFS(H437&gt;=16,"Excellent",
               H437&gt;=14,"Très bien",
               H437&gt;=12,"Bien",
               H437&gt;=10,"Passable",
               TRUE,"Insuffisant")</f>
        <v>Bien</v>
      </c>
      <c r="M437" t="str">
        <f t="shared" si="25"/>
        <v>RAS</v>
      </c>
      <c r="N437" t="str">
        <f t="shared" si="26"/>
        <v>Autre filière</v>
      </c>
    </row>
    <row r="438" spans="1:14" x14ac:dyDescent="0.45">
      <c r="A438" t="s">
        <v>702</v>
      </c>
      <c r="B438" t="s">
        <v>402</v>
      </c>
      <c r="E438" t="s">
        <v>42</v>
      </c>
      <c r="F438">
        <v>13.98</v>
      </c>
      <c r="H438">
        <v>14.1</v>
      </c>
      <c r="J438">
        <v>0.55000000000000004</v>
      </c>
      <c r="K438" t="str">
        <f t="shared" si="24"/>
        <v>Admis sous condition</v>
      </c>
      <c r="L438" t="str" cm="1">
        <f t="array" ref="L438">_xlfn.IFS(H438&gt;=16,"Excellent",
               H438&gt;=14,"Très bien",
               H438&gt;=12,"Bien",
               H438&gt;=10,"Passable",
               TRUE,"Insuffisant")</f>
        <v>Très bien</v>
      </c>
      <c r="M438" t="str">
        <f t="shared" si="25"/>
        <v>A surveiller</v>
      </c>
      <c r="N438" t="str">
        <f t="shared" si="26"/>
        <v>Autre filière</v>
      </c>
    </row>
    <row r="439" spans="1:14" x14ac:dyDescent="0.45">
      <c r="A439" t="s">
        <v>703</v>
      </c>
      <c r="B439" t="s">
        <v>704</v>
      </c>
      <c r="E439" t="s">
        <v>21</v>
      </c>
      <c r="F439">
        <v>11.08</v>
      </c>
      <c r="H439">
        <v>13.69</v>
      </c>
      <c r="J439">
        <v>0.71079999999999999</v>
      </c>
      <c r="K439" t="str">
        <f t="shared" si="24"/>
        <v>Admis sous condition</v>
      </c>
      <c r="L439" t="str" cm="1">
        <f t="array" ref="L439">_xlfn.IFS(H439&gt;=16,"Excellent",
               H439&gt;=14,"Très bien",
               H439&gt;=12,"Bien",
               H439&gt;=10,"Passable",
               TRUE,"Insuffisant")</f>
        <v>Bien</v>
      </c>
      <c r="M439" t="str">
        <f t="shared" si="25"/>
        <v>RAS</v>
      </c>
      <c r="N439" t="str">
        <f t="shared" si="26"/>
        <v>Autre filière</v>
      </c>
    </row>
    <row r="440" spans="1:14" x14ac:dyDescent="0.45">
      <c r="A440" t="s">
        <v>705</v>
      </c>
      <c r="B440" t="s">
        <v>706</v>
      </c>
      <c r="E440" t="s">
        <v>16</v>
      </c>
      <c r="F440">
        <v>14.46</v>
      </c>
      <c r="H440">
        <v>18.170000000000002</v>
      </c>
      <c r="J440">
        <v>0.89910000000000001</v>
      </c>
      <c r="K440" t="str">
        <f t="shared" si="24"/>
        <v>Admis</v>
      </c>
      <c r="L440" t="str" cm="1">
        <f t="array" ref="L440">_xlfn.IFS(H440&gt;=16,"Excellent",
               H440&gt;=14,"Très bien",
               H440&gt;=12,"Bien",
               H440&gt;=10,"Passable",
               TRUE,"Insuffisant")</f>
        <v>Excellent</v>
      </c>
      <c r="M440" t="str">
        <f t="shared" si="25"/>
        <v>RAS</v>
      </c>
      <c r="N440" t="str">
        <f t="shared" si="26"/>
        <v>Data</v>
      </c>
    </row>
    <row r="441" spans="1:14" x14ac:dyDescent="0.45">
      <c r="A441" t="s">
        <v>707</v>
      </c>
      <c r="B441" t="s">
        <v>372</v>
      </c>
      <c r="E441" t="s">
        <v>21</v>
      </c>
      <c r="F441">
        <v>18.52</v>
      </c>
      <c r="H441">
        <v>12.57</v>
      </c>
      <c r="J441">
        <v>0.98099999999999998</v>
      </c>
      <c r="K441" t="str">
        <f t="shared" si="24"/>
        <v>Admis</v>
      </c>
      <c r="L441" t="str" cm="1">
        <f t="array" ref="L441">_xlfn.IFS(H441&gt;=16,"Excellent",
               H441&gt;=14,"Très bien",
               H441&gt;=12,"Bien",
               H441&gt;=10,"Passable",
               TRUE,"Insuffisant")</f>
        <v>Bien</v>
      </c>
      <c r="M441" t="str">
        <f t="shared" si="25"/>
        <v>RAS</v>
      </c>
      <c r="N441" t="str">
        <f t="shared" si="26"/>
        <v>Autre filière</v>
      </c>
    </row>
    <row r="442" spans="1:14" x14ac:dyDescent="0.45">
      <c r="A442" t="s">
        <v>708</v>
      </c>
      <c r="B442" t="s">
        <v>46</v>
      </c>
      <c r="E442" t="s">
        <v>29</v>
      </c>
      <c r="F442">
        <v>16.100000000000001</v>
      </c>
      <c r="H442">
        <v>17.89</v>
      </c>
      <c r="J442">
        <v>0.55000000000000004</v>
      </c>
      <c r="K442" t="str">
        <f t="shared" si="24"/>
        <v>Admis sous condition</v>
      </c>
      <c r="L442" t="str" cm="1">
        <f t="array" ref="L442">_xlfn.IFS(H442&gt;=16,"Excellent",
               H442&gt;=14,"Très bien",
               H442&gt;=12,"Bien",
               H442&gt;=10,"Passable",
               TRUE,"Insuffisant")</f>
        <v>Excellent</v>
      </c>
      <c r="M442" t="str">
        <f t="shared" si="25"/>
        <v>A surveiller</v>
      </c>
      <c r="N442" t="str">
        <f t="shared" si="26"/>
        <v>Autre filière</v>
      </c>
    </row>
    <row r="443" spans="1:14" x14ac:dyDescent="0.45">
      <c r="A443" t="s">
        <v>709</v>
      </c>
      <c r="B443" t="s">
        <v>626</v>
      </c>
      <c r="E443" t="s">
        <v>42</v>
      </c>
      <c r="F443">
        <v>14.22</v>
      </c>
      <c r="H443">
        <v>17.739999999999998</v>
      </c>
      <c r="J443">
        <v>0.84509999999999996</v>
      </c>
      <c r="K443" t="str">
        <f t="shared" si="24"/>
        <v>Admis</v>
      </c>
      <c r="L443" t="str" cm="1">
        <f t="array" ref="L443">_xlfn.IFS(H443&gt;=16,"Excellent",
               H443&gt;=14,"Très bien",
               H443&gt;=12,"Bien",
               H443&gt;=10,"Passable",
               TRUE,"Insuffisant")</f>
        <v>Excellent</v>
      </c>
      <c r="M443" t="str">
        <f t="shared" si="25"/>
        <v>RAS</v>
      </c>
      <c r="N443" t="str">
        <f t="shared" si="26"/>
        <v>Autre filière</v>
      </c>
    </row>
    <row r="444" spans="1:14" x14ac:dyDescent="0.45">
      <c r="A444" t="s">
        <v>710</v>
      </c>
      <c r="B444" t="s">
        <v>129</v>
      </c>
      <c r="E444" t="s">
        <v>42</v>
      </c>
      <c r="F444">
        <v>14.12</v>
      </c>
      <c r="H444">
        <v>14.57</v>
      </c>
      <c r="J444">
        <v>0.69399999999999995</v>
      </c>
      <c r="K444" t="str">
        <f t="shared" si="24"/>
        <v>Admis sous condition</v>
      </c>
      <c r="L444" t="str" cm="1">
        <f t="array" ref="L444">_xlfn.IFS(H444&gt;=16,"Excellent",
               H444&gt;=14,"Très bien",
               H444&gt;=12,"Bien",
               H444&gt;=10,"Passable",
               TRUE,"Insuffisant")</f>
        <v>Très bien</v>
      </c>
      <c r="M444" t="str">
        <f t="shared" si="25"/>
        <v>A surveiller</v>
      </c>
      <c r="N444" t="str">
        <f t="shared" si="26"/>
        <v>Autre filière</v>
      </c>
    </row>
    <row r="445" spans="1:14" x14ac:dyDescent="0.45">
      <c r="A445" t="s">
        <v>711</v>
      </c>
      <c r="B445" t="s">
        <v>712</v>
      </c>
      <c r="E445" t="s">
        <v>42</v>
      </c>
      <c r="F445">
        <v>11.02</v>
      </c>
      <c r="H445">
        <v>12.6</v>
      </c>
      <c r="J445">
        <v>0.89570000000000005</v>
      </c>
      <c r="K445" t="str">
        <f t="shared" si="24"/>
        <v>Admis sous condition</v>
      </c>
      <c r="L445" t="str" cm="1">
        <f t="array" ref="L445">_xlfn.IFS(H445&gt;=16,"Excellent",
               H445&gt;=14,"Très bien",
               H445&gt;=12,"Bien",
               H445&gt;=10,"Passable",
               TRUE,"Insuffisant")</f>
        <v>Bien</v>
      </c>
      <c r="M445" t="str">
        <f t="shared" si="25"/>
        <v>RAS</v>
      </c>
      <c r="N445" t="str">
        <f t="shared" si="26"/>
        <v>Autre filière</v>
      </c>
    </row>
    <row r="446" spans="1:14" x14ac:dyDescent="0.45">
      <c r="A446" t="s">
        <v>713</v>
      </c>
      <c r="B446" t="s">
        <v>714</v>
      </c>
      <c r="E446" t="s">
        <v>21</v>
      </c>
      <c r="F446">
        <v>14.93</v>
      </c>
      <c r="H446">
        <v>18.79</v>
      </c>
      <c r="J446">
        <v>0.87239999999999995</v>
      </c>
      <c r="K446" t="str">
        <f t="shared" si="24"/>
        <v>Admis</v>
      </c>
      <c r="L446" t="str" cm="1">
        <f t="array" ref="L446">_xlfn.IFS(H446&gt;=16,"Excellent",
               H446&gt;=14,"Très bien",
               H446&gt;=12,"Bien",
               H446&gt;=10,"Passable",
               TRUE,"Insuffisant")</f>
        <v>Excellent</v>
      </c>
      <c r="M446" t="str">
        <f t="shared" si="25"/>
        <v>RAS</v>
      </c>
      <c r="N446" t="str">
        <f t="shared" si="26"/>
        <v>Autre filière</v>
      </c>
    </row>
    <row r="447" spans="1:14" x14ac:dyDescent="0.45">
      <c r="A447" t="s">
        <v>715</v>
      </c>
      <c r="B447" t="s">
        <v>92</v>
      </c>
      <c r="E447" t="s">
        <v>16</v>
      </c>
      <c r="F447">
        <v>11.24</v>
      </c>
      <c r="H447">
        <v>8.5500000000000007</v>
      </c>
      <c r="J447">
        <v>0.71199999999999997</v>
      </c>
      <c r="K447" t="str">
        <f t="shared" si="24"/>
        <v>Refusé</v>
      </c>
      <c r="L447" t="str" cm="1">
        <f t="array" ref="L447">_xlfn.IFS(H447&gt;=16,"Excellent",
               H447&gt;=14,"Très bien",
               H447&gt;=12,"Bien",
               H447&gt;=10,"Passable",
               TRUE,"Insuffisant")</f>
        <v>Insuffisant</v>
      </c>
      <c r="M447" t="str">
        <f t="shared" si="25"/>
        <v>A surveiller</v>
      </c>
      <c r="N447" t="str">
        <f t="shared" si="26"/>
        <v>Data</v>
      </c>
    </row>
    <row r="448" spans="1:14" x14ac:dyDescent="0.45">
      <c r="A448" t="s">
        <v>716</v>
      </c>
      <c r="B448" t="s">
        <v>404</v>
      </c>
      <c r="E448" t="s">
        <v>42</v>
      </c>
      <c r="F448">
        <v>18.02</v>
      </c>
      <c r="H448">
        <v>20</v>
      </c>
      <c r="J448">
        <v>0.72119999999999995</v>
      </c>
      <c r="K448" t="str">
        <f t="shared" si="24"/>
        <v>Admis sous condition</v>
      </c>
      <c r="L448" t="str" cm="1">
        <f t="array" ref="L448">_xlfn.IFS(H448&gt;=16,"Excellent",
               H448&gt;=14,"Très bien",
               H448&gt;=12,"Bien",
               H448&gt;=10,"Passable",
               TRUE,"Insuffisant")</f>
        <v>Excellent</v>
      </c>
      <c r="M448" t="str">
        <f t="shared" si="25"/>
        <v>RAS</v>
      </c>
      <c r="N448" t="str">
        <f t="shared" si="26"/>
        <v>Autre filière</v>
      </c>
    </row>
    <row r="449" spans="1:14" x14ac:dyDescent="0.45">
      <c r="A449" t="s">
        <v>717</v>
      </c>
      <c r="B449" t="s">
        <v>718</v>
      </c>
      <c r="E449" t="s">
        <v>21</v>
      </c>
      <c r="F449">
        <v>16.940000000000001</v>
      </c>
      <c r="H449">
        <v>15.32</v>
      </c>
      <c r="J449">
        <v>0.82889999999999997</v>
      </c>
      <c r="K449" t="str">
        <f t="shared" si="24"/>
        <v>Admis</v>
      </c>
      <c r="L449" t="str" cm="1">
        <f t="array" ref="L449">_xlfn.IFS(H449&gt;=16,"Excellent",
               H449&gt;=14,"Très bien",
               H449&gt;=12,"Bien",
               H449&gt;=10,"Passable",
               TRUE,"Insuffisant")</f>
        <v>Très bien</v>
      </c>
      <c r="M449" t="str">
        <f t="shared" si="25"/>
        <v>RAS</v>
      </c>
      <c r="N449" t="str">
        <f t="shared" si="26"/>
        <v>Autre filière</v>
      </c>
    </row>
    <row r="450" spans="1:14" x14ac:dyDescent="0.45">
      <c r="A450" t="s">
        <v>719</v>
      </c>
      <c r="B450" t="s">
        <v>374</v>
      </c>
      <c r="E450" t="s">
        <v>16</v>
      </c>
      <c r="F450">
        <v>10.81</v>
      </c>
      <c r="H450">
        <v>9.24</v>
      </c>
      <c r="J450">
        <v>0.6764</v>
      </c>
      <c r="K450" t="str">
        <f t="shared" si="24"/>
        <v>Refusé</v>
      </c>
      <c r="L450" t="str" cm="1">
        <f t="array" ref="L450">_xlfn.IFS(H450&gt;=16,"Excellent",
               H450&gt;=14,"Très bien",
               H450&gt;=12,"Bien",
               H450&gt;=10,"Passable",
               TRUE,"Insuffisant")</f>
        <v>Insuffisant</v>
      </c>
      <c r="M450" t="str">
        <f t="shared" si="25"/>
        <v>A surveiller</v>
      </c>
      <c r="N450" t="str">
        <f t="shared" si="26"/>
        <v>Data</v>
      </c>
    </row>
    <row r="451" spans="1:14" x14ac:dyDescent="0.45">
      <c r="A451" t="s">
        <v>720</v>
      </c>
      <c r="B451" t="s">
        <v>575</v>
      </c>
      <c r="E451" t="s">
        <v>29</v>
      </c>
      <c r="F451">
        <v>20</v>
      </c>
      <c r="H451">
        <v>20</v>
      </c>
      <c r="J451">
        <v>0.55000000000000004</v>
      </c>
      <c r="K451" t="str">
        <f t="shared" si="24"/>
        <v>Admis sous condition</v>
      </c>
      <c r="L451" t="str" cm="1">
        <f t="array" ref="L451">_xlfn.IFS(H451&gt;=16,"Excellent",
               H451&gt;=14,"Très bien",
               H451&gt;=12,"Bien",
               H451&gt;=10,"Passable",
               TRUE,"Insuffisant")</f>
        <v>Excellent</v>
      </c>
      <c r="M451" t="str">
        <f t="shared" si="25"/>
        <v>A surveiller</v>
      </c>
      <c r="N451" t="str">
        <f t="shared" si="26"/>
        <v>Autre filière</v>
      </c>
    </row>
    <row r="452" spans="1:14" x14ac:dyDescent="0.45">
      <c r="A452" t="s">
        <v>721</v>
      </c>
      <c r="B452" t="s">
        <v>44</v>
      </c>
      <c r="E452" t="s">
        <v>29</v>
      </c>
      <c r="F452">
        <v>12.87</v>
      </c>
      <c r="H452">
        <v>17.86</v>
      </c>
      <c r="J452">
        <v>0.91100000000000003</v>
      </c>
      <c r="K452" t="str">
        <f t="shared" si="24"/>
        <v>Admis</v>
      </c>
      <c r="L452" t="str" cm="1">
        <f t="array" ref="L452">_xlfn.IFS(H452&gt;=16,"Excellent",
               H452&gt;=14,"Très bien",
               H452&gt;=12,"Bien",
               H452&gt;=10,"Passable",
               TRUE,"Insuffisant")</f>
        <v>Excellent</v>
      </c>
      <c r="M452" t="str">
        <f t="shared" si="25"/>
        <v>RAS</v>
      </c>
      <c r="N452" t="str">
        <f t="shared" si="26"/>
        <v>Autre filière</v>
      </c>
    </row>
    <row r="453" spans="1:14" x14ac:dyDescent="0.45">
      <c r="A453" t="s">
        <v>722</v>
      </c>
      <c r="B453" t="s">
        <v>723</v>
      </c>
      <c r="E453" t="s">
        <v>42</v>
      </c>
      <c r="F453">
        <v>14.92</v>
      </c>
      <c r="H453">
        <v>20</v>
      </c>
      <c r="J453">
        <v>0.9627</v>
      </c>
      <c r="K453" t="str">
        <f t="shared" si="24"/>
        <v>Admis</v>
      </c>
      <c r="L453" t="str" cm="1">
        <f t="array" ref="L453">_xlfn.IFS(H453&gt;=16,"Excellent",
               H453&gt;=14,"Très bien",
               H453&gt;=12,"Bien",
               H453&gt;=10,"Passable",
               TRUE,"Insuffisant")</f>
        <v>Excellent</v>
      </c>
      <c r="M453" t="str">
        <f t="shared" si="25"/>
        <v>RAS</v>
      </c>
      <c r="N453" t="str">
        <f t="shared" si="26"/>
        <v>Autre filière</v>
      </c>
    </row>
    <row r="454" spans="1:14" x14ac:dyDescent="0.45">
      <c r="A454" t="s">
        <v>724</v>
      </c>
      <c r="B454" t="s">
        <v>725</v>
      </c>
      <c r="E454" t="s">
        <v>21</v>
      </c>
      <c r="F454">
        <v>11.08</v>
      </c>
      <c r="H454">
        <v>12.79</v>
      </c>
      <c r="J454">
        <v>0.68140000000000001</v>
      </c>
      <c r="K454" t="str">
        <f t="shared" si="24"/>
        <v>Admis sous condition</v>
      </c>
      <c r="L454" t="str" cm="1">
        <f t="array" ref="L454">_xlfn.IFS(H454&gt;=16,"Excellent",
               H454&gt;=14,"Très bien",
               H454&gt;=12,"Bien",
               H454&gt;=10,"Passable",
               TRUE,"Insuffisant")</f>
        <v>Bien</v>
      </c>
      <c r="M454" t="str">
        <f t="shared" si="25"/>
        <v>A surveiller</v>
      </c>
      <c r="N454" t="str">
        <f t="shared" si="26"/>
        <v>Autre filière</v>
      </c>
    </row>
    <row r="455" spans="1:14" x14ac:dyDescent="0.45">
      <c r="A455" t="s">
        <v>726</v>
      </c>
      <c r="B455" t="s">
        <v>634</v>
      </c>
      <c r="E455" t="s">
        <v>21</v>
      </c>
      <c r="F455">
        <v>16.79</v>
      </c>
      <c r="H455">
        <v>13.37</v>
      </c>
      <c r="J455">
        <v>0.86570000000000003</v>
      </c>
      <c r="K455" t="str">
        <f t="shared" si="24"/>
        <v>Admis</v>
      </c>
      <c r="L455" t="str" cm="1">
        <f t="array" ref="L455">_xlfn.IFS(H455&gt;=16,"Excellent",
               H455&gt;=14,"Très bien",
               H455&gt;=12,"Bien",
               H455&gt;=10,"Passable",
               TRUE,"Insuffisant")</f>
        <v>Bien</v>
      </c>
      <c r="M455" t="str">
        <f t="shared" si="25"/>
        <v>RAS</v>
      </c>
      <c r="N455" t="str">
        <f t="shared" si="26"/>
        <v>Autre filière</v>
      </c>
    </row>
    <row r="456" spans="1:14" x14ac:dyDescent="0.45">
      <c r="A456" t="s">
        <v>727</v>
      </c>
      <c r="B456" t="s">
        <v>728</v>
      </c>
      <c r="E456" t="s">
        <v>21</v>
      </c>
      <c r="F456">
        <v>14.84</v>
      </c>
      <c r="H456">
        <v>11.66</v>
      </c>
      <c r="J456">
        <v>0.93779999999999997</v>
      </c>
      <c r="K456" t="str">
        <f t="shared" si="24"/>
        <v>Admis sous condition</v>
      </c>
      <c r="L456" t="str" cm="1">
        <f t="array" ref="L456">_xlfn.IFS(H456&gt;=16,"Excellent",
               H456&gt;=14,"Très bien",
               H456&gt;=12,"Bien",
               H456&gt;=10,"Passable",
               TRUE,"Insuffisant")</f>
        <v>Passable</v>
      </c>
      <c r="M456" t="str">
        <f t="shared" si="25"/>
        <v>RAS</v>
      </c>
      <c r="N456" t="str">
        <f t="shared" si="26"/>
        <v>Autre filière</v>
      </c>
    </row>
    <row r="457" spans="1:14" x14ac:dyDescent="0.45">
      <c r="A457" t="s">
        <v>729</v>
      </c>
      <c r="B457" t="s">
        <v>98</v>
      </c>
      <c r="E457" t="s">
        <v>29</v>
      </c>
      <c r="F457">
        <v>9.75</v>
      </c>
      <c r="H457">
        <v>15.11</v>
      </c>
      <c r="J457">
        <v>0.68189999999999995</v>
      </c>
      <c r="K457" t="str">
        <f t="shared" si="24"/>
        <v>Refusé</v>
      </c>
      <c r="L457" t="str" cm="1">
        <f t="array" ref="L457">_xlfn.IFS(H457&gt;=16,"Excellent",
               H457&gt;=14,"Très bien",
               H457&gt;=12,"Bien",
               H457&gt;=10,"Passable",
               TRUE,"Insuffisant")</f>
        <v>Très bien</v>
      </c>
      <c r="M457" t="str">
        <f t="shared" si="25"/>
        <v>A surveiller</v>
      </c>
      <c r="N457" t="str">
        <f t="shared" si="26"/>
        <v>Autre filière</v>
      </c>
    </row>
    <row r="458" spans="1:14" x14ac:dyDescent="0.45">
      <c r="A458" t="s">
        <v>730</v>
      </c>
      <c r="B458" t="s">
        <v>731</v>
      </c>
      <c r="E458" t="s">
        <v>42</v>
      </c>
      <c r="F458">
        <v>14.09</v>
      </c>
      <c r="H458">
        <v>13.72</v>
      </c>
      <c r="J458">
        <v>0.67410000000000003</v>
      </c>
      <c r="K458" t="str">
        <f t="shared" si="24"/>
        <v>Admis sous condition</v>
      </c>
      <c r="L458" t="str" cm="1">
        <f t="array" ref="L458">_xlfn.IFS(H458&gt;=16,"Excellent",
               H458&gt;=14,"Très bien",
               H458&gt;=12,"Bien",
               H458&gt;=10,"Passable",
               TRUE,"Insuffisant")</f>
        <v>Bien</v>
      </c>
      <c r="M458" t="str">
        <f t="shared" si="25"/>
        <v>A surveiller</v>
      </c>
      <c r="N458" t="str">
        <f t="shared" si="26"/>
        <v>Autre filière</v>
      </c>
    </row>
    <row r="459" spans="1:14" x14ac:dyDescent="0.45">
      <c r="A459" t="s">
        <v>732</v>
      </c>
      <c r="B459" t="s">
        <v>212</v>
      </c>
      <c r="E459" t="s">
        <v>16</v>
      </c>
      <c r="F459">
        <v>13.72</v>
      </c>
      <c r="H459">
        <v>15.71</v>
      </c>
      <c r="J459">
        <v>0.86150000000000004</v>
      </c>
      <c r="K459" t="str">
        <f t="shared" si="24"/>
        <v>Admis</v>
      </c>
      <c r="L459" t="str" cm="1">
        <f t="array" ref="L459">_xlfn.IFS(H459&gt;=16,"Excellent",
               H459&gt;=14,"Très bien",
               H459&gt;=12,"Bien",
               H459&gt;=10,"Passable",
               TRUE,"Insuffisant")</f>
        <v>Très bien</v>
      </c>
      <c r="M459" t="str">
        <f t="shared" si="25"/>
        <v>RAS</v>
      </c>
      <c r="N459" t="str">
        <f t="shared" si="26"/>
        <v>Data</v>
      </c>
    </row>
    <row r="460" spans="1:14" x14ac:dyDescent="0.45">
      <c r="A460" t="s">
        <v>733</v>
      </c>
      <c r="B460" t="s">
        <v>465</v>
      </c>
      <c r="E460" t="s">
        <v>29</v>
      </c>
      <c r="F460">
        <v>9.91</v>
      </c>
      <c r="H460">
        <v>11.86</v>
      </c>
      <c r="J460">
        <v>0.55000000000000004</v>
      </c>
      <c r="K460" t="str">
        <f t="shared" si="24"/>
        <v>Refusé</v>
      </c>
      <c r="L460" t="str" cm="1">
        <f t="array" ref="L460">_xlfn.IFS(H460&gt;=16,"Excellent",
               H460&gt;=14,"Très bien",
               H460&gt;=12,"Bien",
               H460&gt;=10,"Passable",
               TRUE,"Insuffisant")</f>
        <v>Passable</v>
      </c>
      <c r="M460" t="str">
        <f t="shared" si="25"/>
        <v>A surveiller</v>
      </c>
      <c r="N460" t="str">
        <f t="shared" si="26"/>
        <v>Autre filière</v>
      </c>
    </row>
    <row r="461" spans="1:14" x14ac:dyDescent="0.45">
      <c r="A461" t="s">
        <v>734</v>
      </c>
      <c r="B461" t="s">
        <v>279</v>
      </c>
      <c r="E461" t="s">
        <v>16</v>
      </c>
      <c r="F461">
        <v>12.89</v>
      </c>
      <c r="H461">
        <v>15.88</v>
      </c>
      <c r="J461">
        <v>0.99160000000000004</v>
      </c>
      <c r="K461" t="str">
        <f t="shared" si="24"/>
        <v>Admis</v>
      </c>
      <c r="L461" t="str" cm="1">
        <f t="array" ref="L461">_xlfn.IFS(H461&gt;=16,"Excellent",
               H461&gt;=14,"Très bien",
               H461&gt;=12,"Bien",
               H461&gt;=10,"Passable",
               TRUE,"Insuffisant")</f>
        <v>Très bien</v>
      </c>
      <c r="M461" t="str">
        <f t="shared" si="25"/>
        <v>RAS</v>
      </c>
      <c r="N461" t="str">
        <f t="shared" si="26"/>
        <v>Data</v>
      </c>
    </row>
    <row r="462" spans="1:14" x14ac:dyDescent="0.45">
      <c r="A462" t="s">
        <v>735</v>
      </c>
      <c r="B462" t="s">
        <v>142</v>
      </c>
      <c r="E462" t="s">
        <v>16</v>
      </c>
      <c r="F462">
        <v>20</v>
      </c>
      <c r="H462">
        <v>15.42</v>
      </c>
      <c r="J462">
        <v>0.55000000000000004</v>
      </c>
      <c r="K462" t="str">
        <f t="shared" si="24"/>
        <v>Admis sous condition</v>
      </c>
      <c r="L462" t="str" cm="1">
        <f t="array" ref="L462">_xlfn.IFS(H462&gt;=16,"Excellent",
               H462&gt;=14,"Très bien",
               H462&gt;=12,"Bien",
               H462&gt;=10,"Passable",
               TRUE,"Insuffisant")</f>
        <v>Très bien</v>
      </c>
      <c r="M462" t="str">
        <f t="shared" si="25"/>
        <v>A surveiller</v>
      </c>
      <c r="N462" t="str">
        <f t="shared" si="26"/>
        <v>Data</v>
      </c>
    </row>
    <row r="463" spans="1:14" x14ac:dyDescent="0.45">
      <c r="A463" t="s">
        <v>736</v>
      </c>
      <c r="B463" t="s">
        <v>594</v>
      </c>
      <c r="E463" t="s">
        <v>21</v>
      </c>
      <c r="F463">
        <v>16.02</v>
      </c>
      <c r="H463">
        <v>13.56</v>
      </c>
      <c r="J463">
        <v>0.83799999999999997</v>
      </c>
      <c r="K463" t="str">
        <f t="shared" si="24"/>
        <v>Admis</v>
      </c>
      <c r="L463" t="str" cm="1">
        <f t="array" ref="L463">_xlfn.IFS(H463&gt;=16,"Excellent",
               H463&gt;=14,"Très bien",
               H463&gt;=12,"Bien",
               H463&gt;=10,"Passable",
               TRUE,"Insuffisant")</f>
        <v>Bien</v>
      </c>
      <c r="M463" t="str">
        <f t="shared" si="25"/>
        <v>RAS</v>
      </c>
      <c r="N463" t="str">
        <f t="shared" si="26"/>
        <v>Autre filière</v>
      </c>
    </row>
    <row r="464" spans="1:14" x14ac:dyDescent="0.45">
      <c r="A464" t="s">
        <v>737</v>
      </c>
      <c r="B464" t="s">
        <v>738</v>
      </c>
      <c r="E464" t="s">
        <v>21</v>
      </c>
      <c r="F464">
        <v>16.63</v>
      </c>
      <c r="H464">
        <v>17.39</v>
      </c>
      <c r="J464">
        <v>0.98150000000000004</v>
      </c>
      <c r="K464" t="str">
        <f t="shared" si="24"/>
        <v>Admis</v>
      </c>
      <c r="L464" t="str" cm="1">
        <f t="array" ref="L464">_xlfn.IFS(H464&gt;=16,"Excellent",
               H464&gt;=14,"Très bien",
               H464&gt;=12,"Bien",
               H464&gt;=10,"Passable",
               TRUE,"Insuffisant")</f>
        <v>Excellent</v>
      </c>
      <c r="M464" t="str">
        <f t="shared" si="25"/>
        <v>RAS</v>
      </c>
      <c r="N464" t="str">
        <f t="shared" si="26"/>
        <v>Autre filière</v>
      </c>
    </row>
    <row r="465" spans="1:14" x14ac:dyDescent="0.45">
      <c r="A465" t="s">
        <v>739</v>
      </c>
      <c r="B465" t="s">
        <v>131</v>
      </c>
      <c r="E465" t="s">
        <v>42</v>
      </c>
      <c r="F465">
        <v>11.22</v>
      </c>
      <c r="H465">
        <v>10.37</v>
      </c>
      <c r="J465">
        <v>0.89729999999999999</v>
      </c>
      <c r="K465" t="str">
        <f t="shared" si="24"/>
        <v>Admis sous condition</v>
      </c>
      <c r="L465" t="str" cm="1">
        <f t="array" ref="L465">_xlfn.IFS(H465&gt;=16,"Excellent",
               H465&gt;=14,"Très bien",
               H465&gt;=12,"Bien",
               H465&gt;=10,"Passable",
               TRUE,"Insuffisant")</f>
        <v>Passable</v>
      </c>
      <c r="M465" t="str">
        <f t="shared" si="25"/>
        <v>RAS</v>
      </c>
      <c r="N465" t="str">
        <f t="shared" si="26"/>
        <v>Autre filière</v>
      </c>
    </row>
    <row r="466" spans="1:14" x14ac:dyDescent="0.45">
      <c r="A466" t="s">
        <v>740</v>
      </c>
      <c r="B466" t="s">
        <v>13</v>
      </c>
      <c r="E466" t="s">
        <v>16</v>
      </c>
      <c r="F466">
        <v>12.49</v>
      </c>
      <c r="H466">
        <v>12.23</v>
      </c>
      <c r="J466">
        <v>0.82530000000000003</v>
      </c>
      <c r="K466" t="str">
        <f t="shared" si="24"/>
        <v>Admis</v>
      </c>
      <c r="L466" t="str" cm="1">
        <f t="array" ref="L466">_xlfn.IFS(H466&gt;=16,"Excellent",
               H466&gt;=14,"Très bien",
               H466&gt;=12,"Bien",
               H466&gt;=10,"Passable",
               TRUE,"Insuffisant")</f>
        <v>Bien</v>
      </c>
      <c r="M466" t="str">
        <f t="shared" si="25"/>
        <v>RAS</v>
      </c>
      <c r="N466" t="str">
        <f t="shared" si="26"/>
        <v>Data</v>
      </c>
    </row>
    <row r="467" spans="1:14" x14ac:dyDescent="0.45">
      <c r="A467" t="s">
        <v>741</v>
      </c>
      <c r="B467" t="s">
        <v>742</v>
      </c>
      <c r="E467" t="s">
        <v>16</v>
      </c>
      <c r="F467">
        <v>10.23</v>
      </c>
      <c r="H467">
        <v>15.83</v>
      </c>
      <c r="J467">
        <v>0.78610000000000002</v>
      </c>
      <c r="K467" t="str">
        <f t="shared" si="24"/>
        <v>Admis sous condition</v>
      </c>
      <c r="L467" t="str" cm="1">
        <f t="array" ref="L467">_xlfn.IFS(H467&gt;=16,"Excellent",
               H467&gt;=14,"Très bien",
               H467&gt;=12,"Bien",
               H467&gt;=10,"Passable",
               TRUE,"Insuffisant")</f>
        <v>Très bien</v>
      </c>
      <c r="M467" t="str">
        <f t="shared" si="25"/>
        <v>RAS</v>
      </c>
      <c r="N467" t="str">
        <f t="shared" si="26"/>
        <v>Data</v>
      </c>
    </row>
    <row r="468" spans="1:14" x14ac:dyDescent="0.45">
      <c r="A468" t="s">
        <v>743</v>
      </c>
      <c r="B468" t="s">
        <v>526</v>
      </c>
      <c r="E468" t="s">
        <v>16</v>
      </c>
      <c r="F468">
        <v>8.3000000000000007</v>
      </c>
      <c r="H468">
        <v>12.39</v>
      </c>
      <c r="J468">
        <v>0.74929999999999997</v>
      </c>
      <c r="K468" t="str">
        <f t="shared" si="24"/>
        <v>Refusé</v>
      </c>
      <c r="L468" t="str" cm="1">
        <f t="array" ref="L468">_xlfn.IFS(H468&gt;=16,"Excellent",
               H468&gt;=14,"Très bien",
               H468&gt;=12,"Bien",
               H468&gt;=10,"Passable",
               TRUE,"Insuffisant")</f>
        <v>Bien</v>
      </c>
      <c r="M468" t="str">
        <f t="shared" si="25"/>
        <v>A surveiller</v>
      </c>
      <c r="N468" t="str">
        <f t="shared" si="26"/>
        <v>Data</v>
      </c>
    </row>
    <row r="469" spans="1:14" x14ac:dyDescent="0.45">
      <c r="A469" t="s">
        <v>744</v>
      </c>
      <c r="B469" t="s">
        <v>745</v>
      </c>
      <c r="E469" t="s">
        <v>42</v>
      </c>
      <c r="F469">
        <v>15.51</v>
      </c>
      <c r="H469">
        <v>11.05</v>
      </c>
      <c r="J469">
        <v>0.94889999999999997</v>
      </c>
      <c r="K469" t="str">
        <f t="shared" si="24"/>
        <v>Admis sous condition</v>
      </c>
      <c r="L469" t="str" cm="1">
        <f t="array" ref="L469">_xlfn.IFS(H469&gt;=16,"Excellent",
               H469&gt;=14,"Très bien",
               H469&gt;=12,"Bien",
               H469&gt;=10,"Passable",
               TRUE,"Insuffisant")</f>
        <v>Passable</v>
      </c>
      <c r="M469" t="str">
        <f t="shared" si="25"/>
        <v>RAS</v>
      </c>
      <c r="N469" t="str">
        <f t="shared" si="26"/>
        <v>Autre filière</v>
      </c>
    </row>
    <row r="470" spans="1:14" x14ac:dyDescent="0.45">
      <c r="A470" t="s">
        <v>746</v>
      </c>
      <c r="B470" t="s">
        <v>149</v>
      </c>
      <c r="E470" t="s">
        <v>16</v>
      </c>
      <c r="F470">
        <v>9.68</v>
      </c>
      <c r="H470">
        <v>12.29</v>
      </c>
      <c r="J470">
        <v>0.93579999999999997</v>
      </c>
      <c r="K470" t="str">
        <f t="shared" si="24"/>
        <v>Refusé</v>
      </c>
      <c r="L470" t="str" cm="1">
        <f t="array" ref="L470">_xlfn.IFS(H470&gt;=16,"Excellent",
               H470&gt;=14,"Très bien",
               H470&gt;=12,"Bien",
               H470&gt;=10,"Passable",
               TRUE,"Insuffisant")</f>
        <v>Bien</v>
      </c>
      <c r="M470" t="str">
        <f t="shared" si="25"/>
        <v>A surveiller</v>
      </c>
      <c r="N470" t="str">
        <f t="shared" si="26"/>
        <v>Data</v>
      </c>
    </row>
    <row r="471" spans="1:14" x14ac:dyDescent="0.45">
      <c r="A471" t="s">
        <v>747</v>
      </c>
      <c r="B471" t="s">
        <v>738</v>
      </c>
      <c r="E471" t="s">
        <v>29</v>
      </c>
      <c r="F471">
        <v>15.78</v>
      </c>
      <c r="H471">
        <v>13.4</v>
      </c>
      <c r="J471">
        <v>0.97750000000000004</v>
      </c>
      <c r="K471" t="str">
        <f t="shared" ref="K471:K534" si="27">IF(AND(F471&gt;=12,H471&gt;=12,J471&gt;=0.8),"Admis",
   IF(AND(F471&gt;=10,H471&gt;=10),"Admis sous condition","Refusé"))</f>
        <v>Admis</v>
      </c>
      <c r="L471" t="str" cm="1">
        <f t="array" ref="L471">_xlfn.IFS(H471&gt;=16,"Excellent",
               H471&gt;=14,"Très bien",
               H471&gt;=12,"Bien",
               H471&gt;=10,"Passable",
               TRUE,"Insuffisant")</f>
        <v>Bien</v>
      </c>
      <c r="M471" t="str">
        <f t="shared" ref="M471:M534" si="28">IF(OR(F471&lt;10,H471&lt;10,J471&lt;0.7),"A surveiller","RAS")</f>
        <v>RAS</v>
      </c>
      <c r="N471" t="str">
        <f t="shared" ref="N471:N534" si="29">IF(NOT(E471="Data"),"Autre filière","Data")</f>
        <v>Autre filière</v>
      </c>
    </row>
    <row r="472" spans="1:14" x14ac:dyDescent="0.45">
      <c r="A472" t="s">
        <v>748</v>
      </c>
      <c r="B472" t="s">
        <v>304</v>
      </c>
      <c r="E472" t="s">
        <v>21</v>
      </c>
      <c r="F472">
        <v>5.63</v>
      </c>
      <c r="H472">
        <v>5.27</v>
      </c>
      <c r="J472">
        <v>0.72319999999999995</v>
      </c>
      <c r="K472" t="str">
        <f t="shared" si="27"/>
        <v>Refusé</v>
      </c>
      <c r="L472" t="str" cm="1">
        <f t="array" ref="L472">_xlfn.IFS(H472&gt;=16,"Excellent",
               H472&gt;=14,"Très bien",
               H472&gt;=12,"Bien",
               H472&gt;=10,"Passable",
               TRUE,"Insuffisant")</f>
        <v>Insuffisant</v>
      </c>
      <c r="M472" t="str">
        <f t="shared" si="28"/>
        <v>A surveiller</v>
      </c>
      <c r="N472" t="str">
        <f t="shared" si="29"/>
        <v>Autre filière</v>
      </c>
    </row>
    <row r="473" spans="1:14" x14ac:dyDescent="0.45">
      <c r="A473" t="s">
        <v>749</v>
      </c>
      <c r="B473" t="s">
        <v>119</v>
      </c>
      <c r="E473" t="s">
        <v>21</v>
      </c>
      <c r="F473">
        <v>12.83</v>
      </c>
      <c r="H473">
        <v>7.13</v>
      </c>
      <c r="J473">
        <v>0.86040000000000005</v>
      </c>
      <c r="K473" t="str">
        <f t="shared" si="27"/>
        <v>Refusé</v>
      </c>
      <c r="L473" t="str" cm="1">
        <f t="array" ref="L473">_xlfn.IFS(H473&gt;=16,"Excellent",
               H473&gt;=14,"Très bien",
               H473&gt;=12,"Bien",
               H473&gt;=10,"Passable",
               TRUE,"Insuffisant")</f>
        <v>Insuffisant</v>
      </c>
      <c r="M473" t="str">
        <f t="shared" si="28"/>
        <v>A surveiller</v>
      </c>
      <c r="N473" t="str">
        <f t="shared" si="29"/>
        <v>Autre filière</v>
      </c>
    </row>
    <row r="474" spans="1:14" x14ac:dyDescent="0.45">
      <c r="A474" t="s">
        <v>750</v>
      </c>
      <c r="B474" t="s">
        <v>751</v>
      </c>
      <c r="E474" t="s">
        <v>21</v>
      </c>
      <c r="F474">
        <v>14.27</v>
      </c>
      <c r="H474">
        <v>17.690000000000001</v>
      </c>
      <c r="J474">
        <v>0.93049999999999999</v>
      </c>
      <c r="K474" t="str">
        <f t="shared" si="27"/>
        <v>Admis</v>
      </c>
      <c r="L474" t="str" cm="1">
        <f t="array" ref="L474">_xlfn.IFS(H474&gt;=16,"Excellent",
               H474&gt;=14,"Très bien",
               H474&gt;=12,"Bien",
               H474&gt;=10,"Passable",
               TRUE,"Insuffisant")</f>
        <v>Excellent</v>
      </c>
      <c r="M474" t="str">
        <f t="shared" si="28"/>
        <v>RAS</v>
      </c>
      <c r="N474" t="str">
        <f t="shared" si="29"/>
        <v>Autre filière</v>
      </c>
    </row>
    <row r="475" spans="1:14" x14ac:dyDescent="0.45">
      <c r="A475" t="s">
        <v>752</v>
      </c>
      <c r="B475" t="s">
        <v>753</v>
      </c>
      <c r="E475" t="s">
        <v>29</v>
      </c>
      <c r="F475">
        <v>9.61</v>
      </c>
      <c r="H475">
        <v>11.82</v>
      </c>
      <c r="J475">
        <v>0.85699999999999998</v>
      </c>
      <c r="K475" t="str">
        <f t="shared" si="27"/>
        <v>Refusé</v>
      </c>
      <c r="L475" t="str" cm="1">
        <f t="array" ref="L475">_xlfn.IFS(H475&gt;=16,"Excellent",
               H475&gt;=14,"Très bien",
               H475&gt;=12,"Bien",
               H475&gt;=10,"Passable",
               TRUE,"Insuffisant")</f>
        <v>Passable</v>
      </c>
      <c r="M475" t="str">
        <f t="shared" si="28"/>
        <v>A surveiller</v>
      </c>
      <c r="N475" t="str">
        <f t="shared" si="29"/>
        <v>Autre filière</v>
      </c>
    </row>
    <row r="476" spans="1:14" x14ac:dyDescent="0.45">
      <c r="A476" t="s">
        <v>754</v>
      </c>
      <c r="B476" t="s">
        <v>755</v>
      </c>
      <c r="E476" t="s">
        <v>42</v>
      </c>
      <c r="F476">
        <v>11.95</v>
      </c>
      <c r="H476">
        <v>18.920000000000002</v>
      </c>
      <c r="J476">
        <v>0.70750000000000002</v>
      </c>
      <c r="K476" t="str">
        <f t="shared" si="27"/>
        <v>Admis sous condition</v>
      </c>
      <c r="L476" t="str" cm="1">
        <f t="array" ref="L476">_xlfn.IFS(H476&gt;=16,"Excellent",
               H476&gt;=14,"Très bien",
               H476&gt;=12,"Bien",
               H476&gt;=10,"Passable",
               TRUE,"Insuffisant")</f>
        <v>Excellent</v>
      </c>
      <c r="M476" t="str">
        <f t="shared" si="28"/>
        <v>RAS</v>
      </c>
      <c r="N476" t="str">
        <f t="shared" si="29"/>
        <v>Autre filière</v>
      </c>
    </row>
    <row r="477" spans="1:14" x14ac:dyDescent="0.45">
      <c r="A477" t="s">
        <v>756</v>
      </c>
      <c r="B477" t="s">
        <v>612</v>
      </c>
      <c r="E477" t="s">
        <v>16</v>
      </c>
      <c r="F477">
        <v>10.16</v>
      </c>
      <c r="H477">
        <v>9.25</v>
      </c>
      <c r="J477">
        <v>0.9546</v>
      </c>
      <c r="K477" t="str">
        <f t="shared" si="27"/>
        <v>Refusé</v>
      </c>
      <c r="L477" t="str" cm="1">
        <f t="array" ref="L477">_xlfn.IFS(H477&gt;=16,"Excellent",
               H477&gt;=14,"Très bien",
               H477&gt;=12,"Bien",
               H477&gt;=10,"Passable",
               TRUE,"Insuffisant")</f>
        <v>Insuffisant</v>
      </c>
      <c r="M477" t="str">
        <f t="shared" si="28"/>
        <v>A surveiller</v>
      </c>
      <c r="N477" t="str">
        <f t="shared" si="29"/>
        <v>Data</v>
      </c>
    </row>
    <row r="478" spans="1:14" x14ac:dyDescent="0.45">
      <c r="A478" t="s">
        <v>757</v>
      </c>
      <c r="B478" t="s">
        <v>167</v>
      </c>
      <c r="E478" t="s">
        <v>21</v>
      </c>
      <c r="F478">
        <v>17.670000000000002</v>
      </c>
      <c r="H478">
        <v>20</v>
      </c>
      <c r="J478">
        <v>0.74709999999999999</v>
      </c>
      <c r="K478" t="str">
        <f t="shared" si="27"/>
        <v>Admis sous condition</v>
      </c>
      <c r="L478" t="str" cm="1">
        <f t="array" ref="L478">_xlfn.IFS(H478&gt;=16,"Excellent",
               H478&gt;=14,"Très bien",
               H478&gt;=12,"Bien",
               H478&gt;=10,"Passable",
               TRUE,"Insuffisant")</f>
        <v>Excellent</v>
      </c>
      <c r="M478" t="str">
        <f t="shared" si="28"/>
        <v>RAS</v>
      </c>
      <c r="N478" t="str">
        <f t="shared" si="29"/>
        <v>Autre filière</v>
      </c>
    </row>
    <row r="479" spans="1:14" x14ac:dyDescent="0.45">
      <c r="A479" t="s">
        <v>758</v>
      </c>
      <c r="B479" t="s">
        <v>601</v>
      </c>
      <c r="E479" t="s">
        <v>16</v>
      </c>
      <c r="F479">
        <v>12.08</v>
      </c>
      <c r="H479">
        <v>10.51</v>
      </c>
      <c r="J479">
        <v>0.75880000000000003</v>
      </c>
      <c r="K479" t="str">
        <f t="shared" si="27"/>
        <v>Admis sous condition</v>
      </c>
      <c r="L479" t="str" cm="1">
        <f t="array" ref="L479">_xlfn.IFS(H479&gt;=16,"Excellent",
               H479&gt;=14,"Très bien",
               H479&gt;=12,"Bien",
               H479&gt;=10,"Passable",
               TRUE,"Insuffisant")</f>
        <v>Passable</v>
      </c>
      <c r="M479" t="str">
        <f t="shared" si="28"/>
        <v>RAS</v>
      </c>
      <c r="N479" t="str">
        <f t="shared" si="29"/>
        <v>Data</v>
      </c>
    </row>
    <row r="480" spans="1:14" x14ac:dyDescent="0.45">
      <c r="A480" t="s">
        <v>759</v>
      </c>
      <c r="B480" t="s">
        <v>44</v>
      </c>
      <c r="E480" t="s">
        <v>42</v>
      </c>
      <c r="F480">
        <v>12.08</v>
      </c>
      <c r="H480">
        <v>12.25</v>
      </c>
      <c r="J480">
        <v>0.8881</v>
      </c>
      <c r="K480" t="str">
        <f t="shared" si="27"/>
        <v>Admis</v>
      </c>
      <c r="L480" t="str" cm="1">
        <f t="array" ref="L480">_xlfn.IFS(H480&gt;=16,"Excellent",
               H480&gt;=14,"Très bien",
               H480&gt;=12,"Bien",
               H480&gt;=10,"Passable",
               TRUE,"Insuffisant")</f>
        <v>Bien</v>
      </c>
      <c r="M480" t="str">
        <f t="shared" si="28"/>
        <v>RAS</v>
      </c>
      <c r="N480" t="str">
        <f t="shared" si="29"/>
        <v>Autre filière</v>
      </c>
    </row>
    <row r="481" spans="1:14" x14ac:dyDescent="0.45">
      <c r="A481" t="s">
        <v>760</v>
      </c>
      <c r="B481" t="s">
        <v>214</v>
      </c>
      <c r="E481" t="s">
        <v>42</v>
      </c>
      <c r="F481">
        <v>17.23</v>
      </c>
      <c r="H481">
        <v>20</v>
      </c>
      <c r="J481">
        <v>0.87219999999999998</v>
      </c>
      <c r="K481" t="str">
        <f t="shared" si="27"/>
        <v>Admis</v>
      </c>
      <c r="L481" t="str" cm="1">
        <f t="array" ref="L481">_xlfn.IFS(H481&gt;=16,"Excellent",
               H481&gt;=14,"Très bien",
               H481&gt;=12,"Bien",
               H481&gt;=10,"Passable",
               TRUE,"Insuffisant")</f>
        <v>Excellent</v>
      </c>
      <c r="M481" t="str">
        <f t="shared" si="28"/>
        <v>RAS</v>
      </c>
      <c r="N481" t="str">
        <f t="shared" si="29"/>
        <v>Autre filière</v>
      </c>
    </row>
    <row r="482" spans="1:14" x14ac:dyDescent="0.45">
      <c r="A482" t="s">
        <v>761</v>
      </c>
      <c r="B482" t="s">
        <v>172</v>
      </c>
      <c r="E482" t="s">
        <v>21</v>
      </c>
      <c r="F482">
        <v>17.64</v>
      </c>
      <c r="H482">
        <v>20</v>
      </c>
      <c r="J482">
        <v>0.89580000000000004</v>
      </c>
      <c r="K482" t="str">
        <f t="shared" si="27"/>
        <v>Admis</v>
      </c>
      <c r="L482" t="str" cm="1">
        <f t="array" ref="L482">_xlfn.IFS(H482&gt;=16,"Excellent",
               H482&gt;=14,"Très bien",
               H482&gt;=12,"Bien",
               H482&gt;=10,"Passable",
               TRUE,"Insuffisant")</f>
        <v>Excellent</v>
      </c>
      <c r="M482" t="str">
        <f t="shared" si="28"/>
        <v>RAS</v>
      </c>
      <c r="N482" t="str">
        <f t="shared" si="29"/>
        <v>Autre filière</v>
      </c>
    </row>
    <row r="483" spans="1:14" x14ac:dyDescent="0.45">
      <c r="A483" t="s">
        <v>762</v>
      </c>
      <c r="B483" t="s">
        <v>605</v>
      </c>
      <c r="E483" t="s">
        <v>29</v>
      </c>
      <c r="F483">
        <v>11.62</v>
      </c>
      <c r="H483">
        <v>10.74</v>
      </c>
      <c r="J483">
        <v>0.83789999999999998</v>
      </c>
      <c r="K483" t="str">
        <f t="shared" si="27"/>
        <v>Admis sous condition</v>
      </c>
      <c r="L483" t="str" cm="1">
        <f t="array" ref="L483">_xlfn.IFS(H483&gt;=16,"Excellent",
               H483&gt;=14,"Très bien",
               H483&gt;=12,"Bien",
               H483&gt;=10,"Passable",
               TRUE,"Insuffisant")</f>
        <v>Passable</v>
      </c>
      <c r="M483" t="str">
        <f t="shared" si="28"/>
        <v>RAS</v>
      </c>
      <c r="N483" t="str">
        <f t="shared" si="29"/>
        <v>Autre filière</v>
      </c>
    </row>
    <row r="484" spans="1:14" x14ac:dyDescent="0.45">
      <c r="A484" t="s">
        <v>763</v>
      </c>
      <c r="B484" t="s">
        <v>764</v>
      </c>
      <c r="E484" t="s">
        <v>16</v>
      </c>
      <c r="F484">
        <v>10.33</v>
      </c>
      <c r="H484">
        <v>12.09</v>
      </c>
      <c r="J484">
        <v>0.61839999999999995</v>
      </c>
      <c r="K484" t="str">
        <f t="shared" si="27"/>
        <v>Admis sous condition</v>
      </c>
      <c r="L484" t="str" cm="1">
        <f t="array" ref="L484">_xlfn.IFS(H484&gt;=16,"Excellent",
               H484&gt;=14,"Très bien",
               H484&gt;=12,"Bien",
               H484&gt;=10,"Passable",
               TRUE,"Insuffisant")</f>
        <v>Bien</v>
      </c>
      <c r="M484" t="str">
        <f t="shared" si="28"/>
        <v>A surveiller</v>
      </c>
      <c r="N484" t="str">
        <f t="shared" si="29"/>
        <v>Data</v>
      </c>
    </row>
    <row r="485" spans="1:14" x14ac:dyDescent="0.45">
      <c r="A485" t="s">
        <v>765</v>
      </c>
      <c r="B485" t="s">
        <v>237</v>
      </c>
      <c r="E485" t="s">
        <v>21</v>
      </c>
      <c r="F485">
        <v>15.99</v>
      </c>
      <c r="H485">
        <v>9.75</v>
      </c>
      <c r="J485">
        <v>0.68830000000000002</v>
      </c>
      <c r="K485" t="str">
        <f t="shared" si="27"/>
        <v>Refusé</v>
      </c>
      <c r="L485" t="str" cm="1">
        <f t="array" ref="L485">_xlfn.IFS(H485&gt;=16,"Excellent",
               H485&gt;=14,"Très bien",
               H485&gt;=12,"Bien",
               H485&gt;=10,"Passable",
               TRUE,"Insuffisant")</f>
        <v>Insuffisant</v>
      </c>
      <c r="M485" t="str">
        <f t="shared" si="28"/>
        <v>A surveiller</v>
      </c>
      <c r="N485" t="str">
        <f t="shared" si="29"/>
        <v>Autre filière</v>
      </c>
    </row>
    <row r="486" spans="1:14" x14ac:dyDescent="0.45">
      <c r="A486" t="s">
        <v>766</v>
      </c>
      <c r="B486" t="s">
        <v>100</v>
      </c>
      <c r="E486" t="s">
        <v>42</v>
      </c>
      <c r="F486">
        <v>14.75</v>
      </c>
      <c r="H486">
        <v>14.73</v>
      </c>
      <c r="J486">
        <v>0.73089999999999999</v>
      </c>
      <c r="K486" t="str">
        <f t="shared" si="27"/>
        <v>Admis sous condition</v>
      </c>
      <c r="L486" t="str" cm="1">
        <f t="array" ref="L486">_xlfn.IFS(H486&gt;=16,"Excellent",
               H486&gt;=14,"Très bien",
               H486&gt;=12,"Bien",
               H486&gt;=10,"Passable",
               TRUE,"Insuffisant")</f>
        <v>Très bien</v>
      </c>
      <c r="M486" t="str">
        <f t="shared" si="28"/>
        <v>RAS</v>
      </c>
      <c r="N486" t="str">
        <f t="shared" si="29"/>
        <v>Autre filière</v>
      </c>
    </row>
    <row r="487" spans="1:14" x14ac:dyDescent="0.45">
      <c r="A487" t="s">
        <v>767</v>
      </c>
      <c r="B487" t="s">
        <v>366</v>
      </c>
      <c r="E487" t="s">
        <v>29</v>
      </c>
      <c r="F487">
        <v>16</v>
      </c>
      <c r="H487">
        <v>15.25</v>
      </c>
      <c r="J487">
        <v>0.97099999999999997</v>
      </c>
      <c r="K487" t="str">
        <f t="shared" si="27"/>
        <v>Admis</v>
      </c>
      <c r="L487" t="str" cm="1">
        <f t="array" ref="L487">_xlfn.IFS(H487&gt;=16,"Excellent",
               H487&gt;=14,"Très bien",
               H487&gt;=12,"Bien",
               H487&gt;=10,"Passable",
               TRUE,"Insuffisant")</f>
        <v>Très bien</v>
      </c>
      <c r="M487" t="str">
        <f t="shared" si="28"/>
        <v>RAS</v>
      </c>
      <c r="N487" t="str">
        <f t="shared" si="29"/>
        <v>Autre filière</v>
      </c>
    </row>
    <row r="488" spans="1:14" x14ac:dyDescent="0.45">
      <c r="A488" t="s">
        <v>768</v>
      </c>
      <c r="B488" t="s">
        <v>334</v>
      </c>
      <c r="E488" t="s">
        <v>29</v>
      </c>
      <c r="F488">
        <v>11.22</v>
      </c>
      <c r="H488">
        <v>11.64</v>
      </c>
      <c r="J488">
        <v>0.55000000000000004</v>
      </c>
      <c r="K488" t="str">
        <f t="shared" si="27"/>
        <v>Admis sous condition</v>
      </c>
      <c r="L488" t="str" cm="1">
        <f t="array" ref="L488">_xlfn.IFS(H488&gt;=16,"Excellent",
               H488&gt;=14,"Très bien",
               H488&gt;=12,"Bien",
               H488&gt;=10,"Passable",
               TRUE,"Insuffisant")</f>
        <v>Passable</v>
      </c>
      <c r="M488" t="str">
        <f t="shared" si="28"/>
        <v>A surveiller</v>
      </c>
      <c r="N488" t="str">
        <f t="shared" si="29"/>
        <v>Autre filière</v>
      </c>
    </row>
    <row r="489" spans="1:14" x14ac:dyDescent="0.45">
      <c r="A489" t="s">
        <v>769</v>
      </c>
      <c r="B489" t="s">
        <v>65</v>
      </c>
      <c r="E489" t="s">
        <v>29</v>
      </c>
      <c r="F489">
        <v>18.149999999999999</v>
      </c>
      <c r="H489">
        <v>17.260000000000002</v>
      </c>
      <c r="J489">
        <v>0.87280000000000002</v>
      </c>
      <c r="K489" t="str">
        <f t="shared" si="27"/>
        <v>Admis</v>
      </c>
      <c r="L489" t="str" cm="1">
        <f t="array" ref="L489">_xlfn.IFS(H489&gt;=16,"Excellent",
               H489&gt;=14,"Très bien",
               H489&gt;=12,"Bien",
               H489&gt;=10,"Passable",
               TRUE,"Insuffisant")</f>
        <v>Excellent</v>
      </c>
      <c r="M489" t="str">
        <f t="shared" si="28"/>
        <v>RAS</v>
      </c>
      <c r="N489" t="str">
        <f t="shared" si="29"/>
        <v>Autre filière</v>
      </c>
    </row>
    <row r="490" spans="1:14" x14ac:dyDescent="0.45">
      <c r="A490" t="s">
        <v>770</v>
      </c>
      <c r="B490" t="s">
        <v>771</v>
      </c>
      <c r="E490" t="s">
        <v>29</v>
      </c>
      <c r="F490">
        <v>13.06</v>
      </c>
      <c r="H490">
        <v>10.89</v>
      </c>
      <c r="J490">
        <v>0.55000000000000004</v>
      </c>
      <c r="K490" t="str">
        <f t="shared" si="27"/>
        <v>Admis sous condition</v>
      </c>
      <c r="L490" t="str" cm="1">
        <f t="array" ref="L490">_xlfn.IFS(H490&gt;=16,"Excellent",
               H490&gt;=14,"Très bien",
               H490&gt;=12,"Bien",
               H490&gt;=10,"Passable",
               TRUE,"Insuffisant")</f>
        <v>Passable</v>
      </c>
      <c r="M490" t="str">
        <f t="shared" si="28"/>
        <v>A surveiller</v>
      </c>
      <c r="N490" t="str">
        <f t="shared" si="29"/>
        <v>Autre filière</v>
      </c>
    </row>
    <row r="491" spans="1:14" x14ac:dyDescent="0.45">
      <c r="A491" t="s">
        <v>772</v>
      </c>
      <c r="B491" t="s">
        <v>37</v>
      </c>
      <c r="E491" t="s">
        <v>29</v>
      </c>
      <c r="F491">
        <v>16.2</v>
      </c>
      <c r="H491">
        <v>18.71</v>
      </c>
      <c r="J491">
        <v>0.75860000000000005</v>
      </c>
      <c r="K491" t="str">
        <f t="shared" si="27"/>
        <v>Admis sous condition</v>
      </c>
      <c r="L491" t="str" cm="1">
        <f t="array" ref="L491">_xlfn.IFS(H491&gt;=16,"Excellent",
               H491&gt;=14,"Très bien",
               H491&gt;=12,"Bien",
               H491&gt;=10,"Passable",
               TRUE,"Insuffisant")</f>
        <v>Excellent</v>
      </c>
      <c r="M491" t="str">
        <f t="shared" si="28"/>
        <v>RAS</v>
      </c>
      <c r="N491" t="str">
        <f t="shared" si="29"/>
        <v>Autre filière</v>
      </c>
    </row>
    <row r="492" spans="1:14" x14ac:dyDescent="0.45">
      <c r="A492" t="s">
        <v>773</v>
      </c>
      <c r="B492" t="s">
        <v>647</v>
      </c>
      <c r="E492" t="s">
        <v>29</v>
      </c>
      <c r="F492">
        <v>16.899999999999999</v>
      </c>
      <c r="H492">
        <v>17.82</v>
      </c>
      <c r="J492">
        <v>0.59540000000000004</v>
      </c>
      <c r="K492" t="str">
        <f t="shared" si="27"/>
        <v>Admis sous condition</v>
      </c>
      <c r="L492" t="str" cm="1">
        <f t="array" ref="L492">_xlfn.IFS(H492&gt;=16,"Excellent",
               H492&gt;=14,"Très bien",
               H492&gt;=12,"Bien",
               H492&gt;=10,"Passable",
               TRUE,"Insuffisant")</f>
        <v>Excellent</v>
      </c>
      <c r="M492" t="str">
        <f t="shared" si="28"/>
        <v>A surveiller</v>
      </c>
      <c r="N492" t="str">
        <f t="shared" si="29"/>
        <v>Autre filière</v>
      </c>
    </row>
    <row r="493" spans="1:14" x14ac:dyDescent="0.45">
      <c r="A493" t="s">
        <v>774</v>
      </c>
      <c r="B493" t="s">
        <v>775</v>
      </c>
      <c r="E493" t="s">
        <v>29</v>
      </c>
      <c r="F493">
        <v>18.2</v>
      </c>
      <c r="H493">
        <v>18.86</v>
      </c>
      <c r="J493">
        <v>0.89380000000000004</v>
      </c>
      <c r="K493" t="str">
        <f t="shared" si="27"/>
        <v>Admis</v>
      </c>
      <c r="L493" t="str" cm="1">
        <f t="array" ref="L493">_xlfn.IFS(H493&gt;=16,"Excellent",
               H493&gt;=14,"Très bien",
               H493&gt;=12,"Bien",
               H493&gt;=10,"Passable",
               TRUE,"Insuffisant")</f>
        <v>Excellent</v>
      </c>
      <c r="M493" t="str">
        <f t="shared" si="28"/>
        <v>RAS</v>
      </c>
      <c r="N493" t="str">
        <f t="shared" si="29"/>
        <v>Autre filière</v>
      </c>
    </row>
    <row r="494" spans="1:14" x14ac:dyDescent="0.45">
      <c r="A494" t="s">
        <v>776</v>
      </c>
      <c r="B494" t="s">
        <v>723</v>
      </c>
      <c r="E494" t="s">
        <v>16</v>
      </c>
      <c r="F494">
        <v>16.14</v>
      </c>
      <c r="H494">
        <v>12.5</v>
      </c>
      <c r="J494">
        <v>0.81130000000000002</v>
      </c>
      <c r="K494" t="str">
        <f t="shared" si="27"/>
        <v>Admis</v>
      </c>
      <c r="L494" t="str" cm="1">
        <f t="array" ref="L494">_xlfn.IFS(H494&gt;=16,"Excellent",
               H494&gt;=14,"Très bien",
               H494&gt;=12,"Bien",
               H494&gt;=10,"Passable",
               TRUE,"Insuffisant")</f>
        <v>Bien</v>
      </c>
      <c r="M494" t="str">
        <f t="shared" si="28"/>
        <v>RAS</v>
      </c>
      <c r="N494" t="str">
        <f t="shared" si="29"/>
        <v>Data</v>
      </c>
    </row>
    <row r="495" spans="1:14" x14ac:dyDescent="0.45">
      <c r="A495" t="s">
        <v>777</v>
      </c>
      <c r="B495" t="s">
        <v>218</v>
      </c>
      <c r="E495" t="s">
        <v>21</v>
      </c>
      <c r="F495">
        <v>14.54</v>
      </c>
      <c r="H495">
        <v>15.7</v>
      </c>
      <c r="J495">
        <v>0.92859999999999998</v>
      </c>
      <c r="K495" t="str">
        <f t="shared" si="27"/>
        <v>Admis</v>
      </c>
      <c r="L495" t="str" cm="1">
        <f t="array" ref="L495">_xlfn.IFS(H495&gt;=16,"Excellent",
               H495&gt;=14,"Très bien",
               H495&gt;=12,"Bien",
               H495&gt;=10,"Passable",
               TRUE,"Insuffisant")</f>
        <v>Très bien</v>
      </c>
      <c r="M495" t="str">
        <f t="shared" si="28"/>
        <v>RAS</v>
      </c>
      <c r="N495" t="str">
        <f t="shared" si="29"/>
        <v>Autre filière</v>
      </c>
    </row>
    <row r="496" spans="1:14" x14ac:dyDescent="0.45">
      <c r="A496" t="s">
        <v>778</v>
      </c>
      <c r="B496" t="s">
        <v>100</v>
      </c>
      <c r="E496" t="s">
        <v>16</v>
      </c>
      <c r="F496">
        <v>11.11</v>
      </c>
      <c r="H496">
        <v>8.16</v>
      </c>
      <c r="J496">
        <v>0.81899999999999995</v>
      </c>
      <c r="K496" t="str">
        <f t="shared" si="27"/>
        <v>Refusé</v>
      </c>
      <c r="L496" t="str" cm="1">
        <f t="array" ref="L496">_xlfn.IFS(H496&gt;=16,"Excellent",
               H496&gt;=14,"Très bien",
               H496&gt;=12,"Bien",
               H496&gt;=10,"Passable",
               TRUE,"Insuffisant")</f>
        <v>Insuffisant</v>
      </c>
      <c r="M496" t="str">
        <f t="shared" si="28"/>
        <v>A surveiller</v>
      </c>
      <c r="N496" t="str">
        <f t="shared" si="29"/>
        <v>Data</v>
      </c>
    </row>
    <row r="497" spans="1:14" x14ac:dyDescent="0.45">
      <c r="A497" t="s">
        <v>779</v>
      </c>
      <c r="B497" t="s">
        <v>245</v>
      </c>
      <c r="E497" t="s">
        <v>16</v>
      </c>
      <c r="F497">
        <v>9.1999999999999993</v>
      </c>
      <c r="H497">
        <v>9.08</v>
      </c>
      <c r="J497">
        <v>0.80289999999999995</v>
      </c>
      <c r="K497" t="str">
        <f t="shared" si="27"/>
        <v>Refusé</v>
      </c>
      <c r="L497" t="str" cm="1">
        <f t="array" ref="L497">_xlfn.IFS(H497&gt;=16,"Excellent",
               H497&gt;=14,"Très bien",
               H497&gt;=12,"Bien",
               H497&gt;=10,"Passable",
               TRUE,"Insuffisant")</f>
        <v>Insuffisant</v>
      </c>
      <c r="M497" t="str">
        <f t="shared" si="28"/>
        <v>A surveiller</v>
      </c>
      <c r="N497" t="str">
        <f t="shared" si="29"/>
        <v>Data</v>
      </c>
    </row>
    <row r="498" spans="1:14" x14ac:dyDescent="0.45">
      <c r="A498" t="s">
        <v>780</v>
      </c>
      <c r="B498" t="s">
        <v>677</v>
      </c>
      <c r="E498" t="s">
        <v>16</v>
      </c>
      <c r="F498">
        <v>17.510000000000002</v>
      </c>
      <c r="H498">
        <v>17.98</v>
      </c>
      <c r="J498">
        <v>0.80859999999999999</v>
      </c>
      <c r="K498" t="str">
        <f t="shared" si="27"/>
        <v>Admis</v>
      </c>
      <c r="L498" t="str" cm="1">
        <f t="array" ref="L498">_xlfn.IFS(H498&gt;=16,"Excellent",
               H498&gt;=14,"Très bien",
               H498&gt;=12,"Bien",
               H498&gt;=10,"Passable",
               TRUE,"Insuffisant")</f>
        <v>Excellent</v>
      </c>
      <c r="M498" t="str">
        <f t="shared" si="28"/>
        <v>RAS</v>
      </c>
      <c r="N498" t="str">
        <f t="shared" si="29"/>
        <v>Data</v>
      </c>
    </row>
    <row r="499" spans="1:14" x14ac:dyDescent="0.45">
      <c r="A499" t="s">
        <v>781</v>
      </c>
      <c r="B499" t="s">
        <v>94</v>
      </c>
      <c r="E499" t="s">
        <v>21</v>
      </c>
      <c r="F499">
        <v>16.95</v>
      </c>
      <c r="H499">
        <v>16.149999999999999</v>
      </c>
      <c r="J499">
        <v>0.95950000000000002</v>
      </c>
      <c r="K499" t="str">
        <f t="shared" si="27"/>
        <v>Admis</v>
      </c>
      <c r="L499" t="str" cm="1">
        <f t="array" ref="L499">_xlfn.IFS(H499&gt;=16,"Excellent",
               H499&gt;=14,"Très bien",
               H499&gt;=12,"Bien",
               H499&gt;=10,"Passable",
               TRUE,"Insuffisant")</f>
        <v>Excellent</v>
      </c>
      <c r="M499" t="str">
        <f t="shared" si="28"/>
        <v>RAS</v>
      </c>
      <c r="N499" t="str">
        <f t="shared" si="29"/>
        <v>Autre filière</v>
      </c>
    </row>
    <row r="500" spans="1:14" x14ac:dyDescent="0.45">
      <c r="A500" t="s">
        <v>782</v>
      </c>
      <c r="B500" t="s">
        <v>264</v>
      </c>
      <c r="E500" t="s">
        <v>29</v>
      </c>
      <c r="F500">
        <v>14.42</v>
      </c>
      <c r="H500">
        <v>17.97</v>
      </c>
      <c r="J500">
        <v>0.90559999999999996</v>
      </c>
      <c r="K500" t="str">
        <f t="shared" si="27"/>
        <v>Admis</v>
      </c>
      <c r="L500" t="str" cm="1">
        <f t="array" ref="L500">_xlfn.IFS(H500&gt;=16,"Excellent",
               H500&gt;=14,"Très bien",
               H500&gt;=12,"Bien",
               H500&gt;=10,"Passable",
               TRUE,"Insuffisant")</f>
        <v>Excellent</v>
      </c>
      <c r="M500" t="str">
        <f t="shared" si="28"/>
        <v>RAS</v>
      </c>
      <c r="N500" t="str">
        <f t="shared" si="29"/>
        <v>Autre filière</v>
      </c>
    </row>
    <row r="501" spans="1:14" x14ac:dyDescent="0.45">
      <c r="A501" t="s">
        <v>783</v>
      </c>
      <c r="B501" t="s">
        <v>366</v>
      </c>
      <c r="E501" t="s">
        <v>29</v>
      </c>
      <c r="F501">
        <v>12.89</v>
      </c>
      <c r="H501">
        <v>9.89</v>
      </c>
      <c r="J501">
        <v>0.86729999999999996</v>
      </c>
      <c r="K501" t="str">
        <f t="shared" si="27"/>
        <v>Refusé</v>
      </c>
      <c r="L501" t="str" cm="1">
        <f t="array" ref="L501">_xlfn.IFS(H501&gt;=16,"Excellent",
               H501&gt;=14,"Très bien",
               H501&gt;=12,"Bien",
               H501&gt;=10,"Passable",
               TRUE,"Insuffisant")</f>
        <v>Insuffisant</v>
      </c>
      <c r="M501" t="str">
        <f t="shared" si="28"/>
        <v>A surveiller</v>
      </c>
      <c r="N501" t="str">
        <f t="shared" si="29"/>
        <v>Autre filière</v>
      </c>
    </row>
    <row r="502" spans="1:14" x14ac:dyDescent="0.45">
      <c r="A502" t="s">
        <v>784</v>
      </c>
      <c r="B502" t="s">
        <v>289</v>
      </c>
      <c r="E502" t="s">
        <v>29</v>
      </c>
      <c r="F502">
        <v>12.24</v>
      </c>
      <c r="H502">
        <v>9.81</v>
      </c>
      <c r="J502">
        <v>0.85519999999999996</v>
      </c>
      <c r="K502" t="str">
        <f t="shared" si="27"/>
        <v>Refusé</v>
      </c>
      <c r="L502" t="str" cm="1">
        <f t="array" ref="L502">_xlfn.IFS(H502&gt;=16,"Excellent",
               H502&gt;=14,"Très bien",
               H502&gt;=12,"Bien",
               H502&gt;=10,"Passable",
               TRUE,"Insuffisant")</f>
        <v>Insuffisant</v>
      </c>
      <c r="M502" t="str">
        <f t="shared" si="28"/>
        <v>A surveiller</v>
      </c>
      <c r="N502" t="str">
        <f t="shared" si="29"/>
        <v>Autre filière</v>
      </c>
    </row>
    <row r="503" spans="1:14" x14ac:dyDescent="0.45">
      <c r="A503" t="s">
        <v>785</v>
      </c>
      <c r="B503" t="s">
        <v>231</v>
      </c>
      <c r="E503" t="s">
        <v>16</v>
      </c>
      <c r="F503">
        <v>11.19</v>
      </c>
      <c r="H503">
        <v>11.11</v>
      </c>
      <c r="J503">
        <v>0.75849999999999995</v>
      </c>
      <c r="K503" t="str">
        <f t="shared" si="27"/>
        <v>Admis sous condition</v>
      </c>
      <c r="L503" t="str" cm="1">
        <f t="array" ref="L503">_xlfn.IFS(H503&gt;=16,"Excellent",
               H503&gt;=14,"Très bien",
               H503&gt;=12,"Bien",
               H503&gt;=10,"Passable",
               TRUE,"Insuffisant")</f>
        <v>Passable</v>
      </c>
      <c r="M503" t="str">
        <f t="shared" si="28"/>
        <v>RAS</v>
      </c>
      <c r="N503" t="str">
        <f t="shared" si="29"/>
        <v>Data</v>
      </c>
    </row>
    <row r="504" spans="1:14" x14ac:dyDescent="0.45">
      <c r="A504" t="s">
        <v>786</v>
      </c>
      <c r="B504" t="s">
        <v>787</v>
      </c>
      <c r="E504" t="s">
        <v>29</v>
      </c>
      <c r="F504">
        <v>5.42</v>
      </c>
      <c r="H504">
        <v>2.87</v>
      </c>
      <c r="J504">
        <v>0.71250000000000002</v>
      </c>
      <c r="K504" t="str">
        <f t="shared" si="27"/>
        <v>Refusé</v>
      </c>
      <c r="L504" t="str" cm="1">
        <f t="array" ref="L504">_xlfn.IFS(H504&gt;=16,"Excellent",
               H504&gt;=14,"Très bien",
               H504&gt;=12,"Bien",
               H504&gt;=10,"Passable",
               TRUE,"Insuffisant")</f>
        <v>Insuffisant</v>
      </c>
      <c r="M504" t="str">
        <f t="shared" si="28"/>
        <v>A surveiller</v>
      </c>
      <c r="N504" t="str">
        <f t="shared" si="29"/>
        <v>Autre filière</v>
      </c>
    </row>
    <row r="505" spans="1:14" x14ac:dyDescent="0.45">
      <c r="A505" t="s">
        <v>788</v>
      </c>
      <c r="B505" t="s">
        <v>57</v>
      </c>
      <c r="E505" t="s">
        <v>16</v>
      </c>
      <c r="F505">
        <v>12.28</v>
      </c>
      <c r="H505">
        <v>14.46</v>
      </c>
      <c r="J505">
        <v>0.55000000000000004</v>
      </c>
      <c r="K505" t="str">
        <f t="shared" si="27"/>
        <v>Admis sous condition</v>
      </c>
      <c r="L505" t="str" cm="1">
        <f t="array" ref="L505">_xlfn.IFS(H505&gt;=16,"Excellent",
               H505&gt;=14,"Très bien",
               H505&gt;=12,"Bien",
               H505&gt;=10,"Passable",
               TRUE,"Insuffisant")</f>
        <v>Très bien</v>
      </c>
      <c r="M505" t="str">
        <f t="shared" si="28"/>
        <v>A surveiller</v>
      </c>
      <c r="N505" t="str">
        <f t="shared" si="29"/>
        <v>Data</v>
      </c>
    </row>
    <row r="506" spans="1:14" x14ac:dyDescent="0.45">
      <c r="A506" t="s">
        <v>789</v>
      </c>
      <c r="B506" t="s">
        <v>242</v>
      </c>
      <c r="E506" t="s">
        <v>21</v>
      </c>
      <c r="F506">
        <v>14.44</v>
      </c>
      <c r="H506">
        <v>16.739999999999998</v>
      </c>
      <c r="J506">
        <v>0.73099999999999998</v>
      </c>
      <c r="K506" t="str">
        <f t="shared" si="27"/>
        <v>Admis sous condition</v>
      </c>
      <c r="L506" t="str" cm="1">
        <f t="array" ref="L506">_xlfn.IFS(H506&gt;=16,"Excellent",
               H506&gt;=14,"Très bien",
               H506&gt;=12,"Bien",
               H506&gt;=10,"Passable",
               TRUE,"Insuffisant")</f>
        <v>Excellent</v>
      </c>
      <c r="M506" t="str">
        <f t="shared" si="28"/>
        <v>RAS</v>
      </c>
      <c r="N506" t="str">
        <f t="shared" si="29"/>
        <v>Autre filière</v>
      </c>
    </row>
    <row r="507" spans="1:14" x14ac:dyDescent="0.45">
      <c r="A507" t="s">
        <v>790</v>
      </c>
      <c r="B507" t="s">
        <v>764</v>
      </c>
      <c r="E507" t="s">
        <v>16</v>
      </c>
      <c r="F507">
        <v>15.06</v>
      </c>
      <c r="H507">
        <v>16.93</v>
      </c>
      <c r="J507">
        <v>0.55000000000000004</v>
      </c>
      <c r="K507" t="str">
        <f t="shared" si="27"/>
        <v>Admis sous condition</v>
      </c>
      <c r="L507" t="str" cm="1">
        <f t="array" ref="L507">_xlfn.IFS(H507&gt;=16,"Excellent",
               H507&gt;=14,"Très bien",
               H507&gt;=12,"Bien",
               H507&gt;=10,"Passable",
               TRUE,"Insuffisant")</f>
        <v>Excellent</v>
      </c>
      <c r="M507" t="str">
        <f t="shared" si="28"/>
        <v>A surveiller</v>
      </c>
      <c r="N507" t="str">
        <f t="shared" si="29"/>
        <v>Data</v>
      </c>
    </row>
    <row r="508" spans="1:14" x14ac:dyDescent="0.45">
      <c r="A508" t="s">
        <v>791</v>
      </c>
      <c r="B508" t="s">
        <v>398</v>
      </c>
      <c r="E508" t="s">
        <v>29</v>
      </c>
      <c r="F508">
        <v>7.55</v>
      </c>
      <c r="H508">
        <v>9.49</v>
      </c>
      <c r="J508">
        <v>0.79430000000000001</v>
      </c>
      <c r="K508" t="str">
        <f t="shared" si="27"/>
        <v>Refusé</v>
      </c>
      <c r="L508" t="str" cm="1">
        <f t="array" ref="L508">_xlfn.IFS(H508&gt;=16,"Excellent",
               H508&gt;=14,"Très bien",
               H508&gt;=12,"Bien",
               H508&gt;=10,"Passable",
               TRUE,"Insuffisant")</f>
        <v>Insuffisant</v>
      </c>
      <c r="M508" t="str">
        <f t="shared" si="28"/>
        <v>A surveiller</v>
      </c>
      <c r="N508" t="str">
        <f t="shared" si="29"/>
        <v>Autre filière</v>
      </c>
    </row>
    <row r="509" spans="1:14" x14ac:dyDescent="0.45">
      <c r="A509" t="s">
        <v>792</v>
      </c>
      <c r="B509" t="s">
        <v>614</v>
      </c>
      <c r="E509" t="s">
        <v>21</v>
      </c>
      <c r="F509">
        <v>9.91</v>
      </c>
      <c r="H509">
        <v>10.67</v>
      </c>
      <c r="J509">
        <v>0.87590000000000001</v>
      </c>
      <c r="K509" t="str">
        <f t="shared" si="27"/>
        <v>Refusé</v>
      </c>
      <c r="L509" t="str" cm="1">
        <f t="array" ref="L509">_xlfn.IFS(H509&gt;=16,"Excellent",
               H509&gt;=14,"Très bien",
               H509&gt;=12,"Bien",
               H509&gt;=10,"Passable",
               TRUE,"Insuffisant")</f>
        <v>Passable</v>
      </c>
      <c r="M509" t="str">
        <f t="shared" si="28"/>
        <v>A surveiller</v>
      </c>
      <c r="N509" t="str">
        <f t="shared" si="29"/>
        <v>Autre filière</v>
      </c>
    </row>
    <row r="510" spans="1:14" x14ac:dyDescent="0.45">
      <c r="A510" t="s">
        <v>793</v>
      </c>
      <c r="B510" t="s">
        <v>188</v>
      </c>
      <c r="E510" t="s">
        <v>21</v>
      </c>
      <c r="F510">
        <v>12.63</v>
      </c>
      <c r="H510">
        <v>15.98</v>
      </c>
      <c r="J510">
        <v>0.89390000000000003</v>
      </c>
      <c r="K510" t="str">
        <f t="shared" si="27"/>
        <v>Admis</v>
      </c>
      <c r="L510" t="str" cm="1">
        <f t="array" ref="L510">_xlfn.IFS(H510&gt;=16,"Excellent",
               H510&gt;=14,"Très bien",
               H510&gt;=12,"Bien",
               H510&gt;=10,"Passable",
               TRUE,"Insuffisant")</f>
        <v>Très bien</v>
      </c>
      <c r="M510" t="str">
        <f t="shared" si="28"/>
        <v>RAS</v>
      </c>
      <c r="N510" t="str">
        <f t="shared" si="29"/>
        <v>Autre filière</v>
      </c>
    </row>
    <row r="511" spans="1:14" x14ac:dyDescent="0.45">
      <c r="A511" t="s">
        <v>794</v>
      </c>
      <c r="B511" t="s">
        <v>526</v>
      </c>
      <c r="E511" t="s">
        <v>42</v>
      </c>
      <c r="F511">
        <v>16.079999999999998</v>
      </c>
      <c r="H511">
        <v>18.989999999999998</v>
      </c>
      <c r="J511">
        <v>0.90200000000000002</v>
      </c>
      <c r="K511" t="str">
        <f t="shared" si="27"/>
        <v>Admis</v>
      </c>
      <c r="L511" t="str" cm="1">
        <f t="array" ref="L511">_xlfn.IFS(H511&gt;=16,"Excellent",
               H511&gt;=14,"Très bien",
               H511&gt;=12,"Bien",
               H511&gt;=10,"Passable",
               TRUE,"Insuffisant")</f>
        <v>Excellent</v>
      </c>
      <c r="M511" t="str">
        <f t="shared" si="28"/>
        <v>RAS</v>
      </c>
      <c r="N511" t="str">
        <f t="shared" si="29"/>
        <v>Autre filière</v>
      </c>
    </row>
    <row r="512" spans="1:14" x14ac:dyDescent="0.45">
      <c r="A512" t="s">
        <v>795</v>
      </c>
      <c r="B512" t="s">
        <v>535</v>
      </c>
      <c r="E512" t="s">
        <v>16</v>
      </c>
      <c r="F512">
        <v>9.3000000000000007</v>
      </c>
      <c r="H512">
        <v>7.63</v>
      </c>
      <c r="J512">
        <v>0.84670000000000001</v>
      </c>
      <c r="K512" t="str">
        <f t="shared" si="27"/>
        <v>Refusé</v>
      </c>
      <c r="L512" t="str" cm="1">
        <f t="array" ref="L512">_xlfn.IFS(H512&gt;=16,"Excellent",
               H512&gt;=14,"Très bien",
               H512&gt;=12,"Bien",
               H512&gt;=10,"Passable",
               TRUE,"Insuffisant")</f>
        <v>Insuffisant</v>
      </c>
      <c r="M512" t="str">
        <f t="shared" si="28"/>
        <v>A surveiller</v>
      </c>
      <c r="N512" t="str">
        <f t="shared" si="29"/>
        <v>Data</v>
      </c>
    </row>
    <row r="513" spans="1:14" x14ac:dyDescent="0.45">
      <c r="A513" t="s">
        <v>796</v>
      </c>
      <c r="B513" t="s">
        <v>797</v>
      </c>
      <c r="E513" t="s">
        <v>29</v>
      </c>
      <c r="F513">
        <v>8.76</v>
      </c>
      <c r="H513">
        <v>13.04</v>
      </c>
      <c r="J513">
        <v>0.95030000000000003</v>
      </c>
      <c r="K513" t="str">
        <f t="shared" si="27"/>
        <v>Refusé</v>
      </c>
      <c r="L513" t="str" cm="1">
        <f t="array" ref="L513">_xlfn.IFS(H513&gt;=16,"Excellent",
               H513&gt;=14,"Très bien",
               H513&gt;=12,"Bien",
               H513&gt;=10,"Passable",
               TRUE,"Insuffisant")</f>
        <v>Bien</v>
      </c>
      <c r="M513" t="str">
        <f t="shared" si="28"/>
        <v>A surveiller</v>
      </c>
      <c r="N513" t="str">
        <f t="shared" si="29"/>
        <v>Autre filière</v>
      </c>
    </row>
    <row r="514" spans="1:14" x14ac:dyDescent="0.45">
      <c r="A514" t="s">
        <v>798</v>
      </c>
      <c r="B514" t="s">
        <v>799</v>
      </c>
      <c r="E514" t="s">
        <v>16</v>
      </c>
      <c r="F514">
        <v>19.440000000000001</v>
      </c>
      <c r="H514">
        <v>18.03</v>
      </c>
      <c r="J514">
        <v>0.64149999999999996</v>
      </c>
      <c r="K514" t="str">
        <f t="shared" si="27"/>
        <v>Admis sous condition</v>
      </c>
      <c r="L514" t="str" cm="1">
        <f t="array" ref="L514">_xlfn.IFS(H514&gt;=16,"Excellent",
               H514&gt;=14,"Très bien",
               H514&gt;=12,"Bien",
               H514&gt;=10,"Passable",
               TRUE,"Insuffisant")</f>
        <v>Excellent</v>
      </c>
      <c r="M514" t="str">
        <f t="shared" si="28"/>
        <v>A surveiller</v>
      </c>
      <c r="N514" t="str">
        <f t="shared" si="29"/>
        <v>Data</v>
      </c>
    </row>
    <row r="515" spans="1:14" x14ac:dyDescent="0.45">
      <c r="A515" t="s">
        <v>800</v>
      </c>
      <c r="B515" t="s">
        <v>90</v>
      </c>
      <c r="E515" t="s">
        <v>42</v>
      </c>
      <c r="F515">
        <v>15.59</v>
      </c>
      <c r="H515">
        <v>18.34</v>
      </c>
      <c r="J515">
        <v>0.79949999999999999</v>
      </c>
      <c r="K515" t="str">
        <f t="shared" si="27"/>
        <v>Admis sous condition</v>
      </c>
      <c r="L515" t="str" cm="1">
        <f t="array" ref="L515">_xlfn.IFS(H515&gt;=16,"Excellent",
               H515&gt;=14,"Très bien",
               H515&gt;=12,"Bien",
               H515&gt;=10,"Passable",
               TRUE,"Insuffisant")</f>
        <v>Excellent</v>
      </c>
      <c r="M515" t="str">
        <f t="shared" si="28"/>
        <v>RAS</v>
      </c>
      <c r="N515" t="str">
        <f t="shared" si="29"/>
        <v>Autre filière</v>
      </c>
    </row>
    <row r="516" spans="1:14" x14ac:dyDescent="0.45">
      <c r="A516" t="s">
        <v>801</v>
      </c>
      <c r="B516" t="s">
        <v>336</v>
      </c>
      <c r="E516" t="s">
        <v>29</v>
      </c>
      <c r="F516">
        <v>19.27</v>
      </c>
      <c r="H516">
        <v>16.03</v>
      </c>
      <c r="J516">
        <v>0.90680000000000005</v>
      </c>
      <c r="K516" t="str">
        <f t="shared" si="27"/>
        <v>Admis</v>
      </c>
      <c r="L516" t="str" cm="1">
        <f t="array" ref="L516">_xlfn.IFS(H516&gt;=16,"Excellent",
               H516&gt;=14,"Très bien",
               H516&gt;=12,"Bien",
               H516&gt;=10,"Passable",
               TRUE,"Insuffisant")</f>
        <v>Excellent</v>
      </c>
      <c r="M516" t="str">
        <f t="shared" si="28"/>
        <v>RAS</v>
      </c>
      <c r="N516" t="str">
        <f t="shared" si="29"/>
        <v>Autre filière</v>
      </c>
    </row>
    <row r="517" spans="1:14" x14ac:dyDescent="0.45">
      <c r="A517" t="s">
        <v>802</v>
      </c>
      <c r="B517" t="s">
        <v>731</v>
      </c>
      <c r="E517" t="s">
        <v>42</v>
      </c>
      <c r="F517">
        <v>15.69</v>
      </c>
      <c r="H517">
        <v>14.47</v>
      </c>
      <c r="J517">
        <v>0.81320000000000003</v>
      </c>
      <c r="K517" t="str">
        <f t="shared" si="27"/>
        <v>Admis</v>
      </c>
      <c r="L517" t="str" cm="1">
        <f t="array" ref="L517">_xlfn.IFS(H517&gt;=16,"Excellent",
               H517&gt;=14,"Très bien",
               H517&gt;=12,"Bien",
               H517&gt;=10,"Passable",
               TRUE,"Insuffisant")</f>
        <v>Très bien</v>
      </c>
      <c r="M517" t="str">
        <f t="shared" si="28"/>
        <v>RAS</v>
      </c>
      <c r="N517" t="str">
        <f t="shared" si="29"/>
        <v>Autre filière</v>
      </c>
    </row>
    <row r="518" spans="1:14" x14ac:dyDescent="0.45">
      <c r="A518" t="s">
        <v>803</v>
      </c>
      <c r="B518" t="s">
        <v>198</v>
      </c>
      <c r="E518" t="s">
        <v>42</v>
      </c>
      <c r="F518">
        <v>13.49</v>
      </c>
      <c r="H518">
        <v>16.61</v>
      </c>
      <c r="J518">
        <v>0.86909999999999998</v>
      </c>
      <c r="K518" t="str">
        <f t="shared" si="27"/>
        <v>Admis</v>
      </c>
      <c r="L518" t="str" cm="1">
        <f t="array" ref="L518">_xlfn.IFS(H518&gt;=16,"Excellent",
               H518&gt;=14,"Très bien",
               H518&gt;=12,"Bien",
               H518&gt;=10,"Passable",
               TRUE,"Insuffisant")</f>
        <v>Excellent</v>
      </c>
      <c r="M518" t="str">
        <f t="shared" si="28"/>
        <v>RAS</v>
      </c>
      <c r="N518" t="str">
        <f t="shared" si="29"/>
        <v>Autre filière</v>
      </c>
    </row>
    <row r="519" spans="1:14" x14ac:dyDescent="0.45">
      <c r="A519" t="s">
        <v>804</v>
      </c>
      <c r="B519" t="s">
        <v>486</v>
      </c>
      <c r="E519" t="s">
        <v>21</v>
      </c>
      <c r="F519">
        <v>17.48</v>
      </c>
      <c r="H519">
        <v>18.28</v>
      </c>
      <c r="J519">
        <v>0.94379999999999997</v>
      </c>
      <c r="K519" t="str">
        <f t="shared" si="27"/>
        <v>Admis</v>
      </c>
      <c r="L519" t="str" cm="1">
        <f t="array" ref="L519">_xlfn.IFS(H519&gt;=16,"Excellent",
               H519&gt;=14,"Très bien",
               H519&gt;=12,"Bien",
               H519&gt;=10,"Passable",
               TRUE,"Insuffisant")</f>
        <v>Excellent</v>
      </c>
      <c r="M519" t="str">
        <f t="shared" si="28"/>
        <v>RAS</v>
      </c>
      <c r="N519" t="str">
        <f t="shared" si="29"/>
        <v>Autre filière</v>
      </c>
    </row>
    <row r="520" spans="1:14" x14ac:dyDescent="0.45">
      <c r="A520" t="s">
        <v>805</v>
      </c>
      <c r="B520" t="s">
        <v>461</v>
      </c>
      <c r="E520" t="s">
        <v>29</v>
      </c>
      <c r="F520">
        <v>8.16</v>
      </c>
      <c r="H520">
        <v>13.16</v>
      </c>
      <c r="J520">
        <v>0.71540000000000004</v>
      </c>
      <c r="K520" t="str">
        <f t="shared" si="27"/>
        <v>Refusé</v>
      </c>
      <c r="L520" t="str" cm="1">
        <f t="array" ref="L520">_xlfn.IFS(H520&gt;=16,"Excellent",
               H520&gt;=14,"Très bien",
               H520&gt;=12,"Bien",
               H520&gt;=10,"Passable",
               TRUE,"Insuffisant")</f>
        <v>Bien</v>
      </c>
      <c r="M520" t="str">
        <f t="shared" si="28"/>
        <v>A surveiller</v>
      </c>
      <c r="N520" t="str">
        <f t="shared" si="29"/>
        <v>Autre filière</v>
      </c>
    </row>
    <row r="521" spans="1:14" x14ac:dyDescent="0.45">
      <c r="A521" t="s">
        <v>806</v>
      </c>
      <c r="B521" t="s">
        <v>264</v>
      </c>
      <c r="E521" t="s">
        <v>21</v>
      </c>
      <c r="F521">
        <v>13.84</v>
      </c>
      <c r="H521">
        <v>19.28</v>
      </c>
      <c r="J521">
        <v>0.58179999999999998</v>
      </c>
      <c r="K521" t="str">
        <f t="shared" si="27"/>
        <v>Admis sous condition</v>
      </c>
      <c r="L521" t="str" cm="1">
        <f t="array" ref="L521">_xlfn.IFS(H521&gt;=16,"Excellent",
               H521&gt;=14,"Très bien",
               H521&gt;=12,"Bien",
               H521&gt;=10,"Passable",
               TRUE,"Insuffisant")</f>
        <v>Excellent</v>
      </c>
      <c r="M521" t="str">
        <f t="shared" si="28"/>
        <v>A surveiller</v>
      </c>
      <c r="N521" t="str">
        <f t="shared" si="29"/>
        <v>Autre filière</v>
      </c>
    </row>
    <row r="522" spans="1:14" x14ac:dyDescent="0.45">
      <c r="A522" t="s">
        <v>807</v>
      </c>
      <c r="B522" t="s">
        <v>285</v>
      </c>
      <c r="E522" t="s">
        <v>29</v>
      </c>
      <c r="F522">
        <v>10.39</v>
      </c>
      <c r="H522">
        <v>11.19</v>
      </c>
      <c r="J522">
        <v>0.92800000000000005</v>
      </c>
      <c r="K522" t="str">
        <f t="shared" si="27"/>
        <v>Admis sous condition</v>
      </c>
      <c r="L522" t="str" cm="1">
        <f t="array" ref="L522">_xlfn.IFS(H522&gt;=16,"Excellent",
               H522&gt;=14,"Très bien",
               H522&gt;=12,"Bien",
               H522&gt;=10,"Passable",
               TRUE,"Insuffisant")</f>
        <v>Passable</v>
      </c>
      <c r="M522" t="str">
        <f t="shared" si="28"/>
        <v>RAS</v>
      </c>
      <c r="N522" t="str">
        <f t="shared" si="29"/>
        <v>Autre filière</v>
      </c>
    </row>
    <row r="523" spans="1:14" x14ac:dyDescent="0.45">
      <c r="A523" t="s">
        <v>808</v>
      </c>
      <c r="B523" t="s">
        <v>268</v>
      </c>
      <c r="E523" t="s">
        <v>42</v>
      </c>
      <c r="F523">
        <v>9.67</v>
      </c>
      <c r="H523">
        <v>14.99</v>
      </c>
      <c r="J523">
        <v>0.94699999999999995</v>
      </c>
      <c r="K523" t="str">
        <f t="shared" si="27"/>
        <v>Refusé</v>
      </c>
      <c r="L523" t="str" cm="1">
        <f t="array" ref="L523">_xlfn.IFS(H523&gt;=16,"Excellent",
               H523&gt;=14,"Très bien",
               H523&gt;=12,"Bien",
               H523&gt;=10,"Passable",
               TRUE,"Insuffisant")</f>
        <v>Très bien</v>
      </c>
      <c r="M523" t="str">
        <f t="shared" si="28"/>
        <v>A surveiller</v>
      </c>
      <c r="N523" t="str">
        <f t="shared" si="29"/>
        <v>Autre filière</v>
      </c>
    </row>
    <row r="524" spans="1:14" x14ac:dyDescent="0.45">
      <c r="A524" t="s">
        <v>809</v>
      </c>
      <c r="B524" t="s">
        <v>575</v>
      </c>
      <c r="E524" t="s">
        <v>42</v>
      </c>
      <c r="F524">
        <v>13.92</v>
      </c>
      <c r="H524">
        <v>16.93</v>
      </c>
      <c r="J524">
        <v>0.82799999999999996</v>
      </c>
      <c r="K524" t="str">
        <f t="shared" si="27"/>
        <v>Admis</v>
      </c>
      <c r="L524" t="str" cm="1">
        <f t="array" ref="L524">_xlfn.IFS(H524&gt;=16,"Excellent",
               H524&gt;=14,"Très bien",
               H524&gt;=12,"Bien",
               H524&gt;=10,"Passable",
               TRUE,"Insuffisant")</f>
        <v>Excellent</v>
      </c>
      <c r="M524" t="str">
        <f t="shared" si="28"/>
        <v>RAS</v>
      </c>
      <c r="N524" t="str">
        <f t="shared" si="29"/>
        <v>Autre filière</v>
      </c>
    </row>
    <row r="525" spans="1:14" x14ac:dyDescent="0.45">
      <c r="A525" t="s">
        <v>810</v>
      </c>
      <c r="B525" t="s">
        <v>194</v>
      </c>
      <c r="E525" t="s">
        <v>21</v>
      </c>
      <c r="F525">
        <v>9.5299999999999994</v>
      </c>
      <c r="H525">
        <v>11.77</v>
      </c>
      <c r="J525">
        <v>0.91100000000000003</v>
      </c>
      <c r="K525" t="str">
        <f t="shared" si="27"/>
        <v>Refusé</v>
      </c>
      <c r="L525" t="str" cm="1">
        <f t="array" ref="L525">_xlfn.IFS(H525&gt;=16,"Excellent",
               H525&gt;=14,"Très bien",
               H525&gt;=12,"Bien",
               H525&gt;=10,"Passable",
               TRUE,"Insuffisant")</f>
        <v>Passable</v>
      </c>
      <c r="M525" t="str">
        <f t="shared" si="28"/>
        <v>A surveiller</v>
      </c>
      <c r="N525" t="str">
        <f t="shared" si="29"/>
        <v>Autre filière</v>
      </c>
    </row>
    <row r="526" spans="1:14" x14ac:dyDescent="0.45">
      <c r="A526" t="s">
        <v>811</v>
      </c>
      <c r="B526" t="s">
        <v>556</v>
      </c>
      <c r="E526" t="s">
        <v>29</v>
      </c>
      <c r="F526">
        <v>13.66</v>
      </c>
      <c r="H526">
        <v>13.71</v>
      </c>
      <c r="J526">
        <v>0.75600000000000001</v>
      </c>
      <c r="K526" t="str">
        <f t="shared" si="27"/>
        <v>Admis sous condition</v>
      </c>
      <c r="L526" t="str" cm="1">
        <f t="array" ref="L526">_xlfn.IFS(H526&gt;=16,"Excellent",
               H526&gt;=14,"Très bien",
               H526&gt;=12,"Bien",
               H526&gt;=10,"Passable",
               TRUE,"Insuffisant")</f>
        <v>Bien</v>
      </c>
      <c r="M526" t="str">
        <f t="shared" si="28"/>
        <v>RAS</v>
      </c>
      <c r="N526" t="str">
        <f t="shared" si="29"/>
        <v>Autre filière</v>
      </c>
    </row>
    <row r="527" spans="1:14" x14ac:dyDescent="0.45">
      <c r="A527" t="s">
        <v>812</v>
      </c>
      <c r="B527" t="s">
        <v>131</v>
      </c>
      <c r="E527" t="s">
        <v>21</v>
      </c>
      <c r="F527">
        <v>9.39</v>
      </c>
      <c r="H527">
        <v>15.74</v>
      </c>
      <c r="J527">
        <v>0.92679999999999996</v>
      </c>
      <c r="K527" t="str">
        <f t="shared" si="27"/>
        <v>Refusé</v>
      </c>
      <c r="L527" t="str" cm="1">
        <f t="array" ref="L527">_xlfn.IFS(H527&gt;=16,"Excellent",
               H527&gt;=14,"Très bien",
               H527&gt;=12,"Bien",
               H527&gt;=10,"Passable",
               TRUE,"Insuffisant")</f>
        <v>Très bien</v>
      </c>
      <c r="M527" t="str">
        <f t="shared" si="28"/>
        <v>A surveiller</v>
      </c>
      <c r="N527" t="str">
        <f t="shared" si="29"/>
        <v>Autre filière</v>
      </c>
    </row>
    <row r="528" spans="1:14" x14ac:dyDescent="0.45">
      <c r="A528" t="s">
        <v>813</v>
      </c>
      <c r="B528" t="s">
        <v>814</v>
      </c>
      <c r="E528" t="s">
        <v>29</v>
      </c>
      <c r="F528">
        <v>11.43</v>
      </c>
      <c r="H528">
        <v>14.27</v>
      </c>
      <c r="J528">
        <v>0.89890000000000003</v>
      </c>
      <c r="K528" t="str">
        <f t="shared" si="27"/>
        <v>Admis sous condition</v>
      </c>
      <c r="L528" t="str" cm="1">
        <f t="array" ref="L528">_xlfn.IFS(H528&gt;=16,"Excellent",
               H528&gt;=14,"Très bien",
               H528&gt;=12,"Bien",
               H528&gt;=10,"Passable",
               TRUE,"Insuffisant")</f>
        <v>Très bien</v>
      </c>
      <c r="M528" t="str">
        <f t="shared" si="28"/>
        <v>RAS</v>
      </c>
      <c r="N528" t="str">
        <f t="shared" si="29"/>
        <v>Autre filière</v>
      </c>
    </row>
    <row r="529" spans="1:14" x14ac:dyDescent="0.45">
      <c r="A529" t="s">
        <v>815</v>
      </c>
      <c r="B529" t="s">
        <v>816</v>
      </c>
      <c r="E529" t="s">
        <v>29</v>
      </c>
      <c r="F529">
        <v>12.55</v>
      </c>
      <c r="H529">
        <v>12.69</v>
      </c>
      <c r="J529">
        <v>0.84360000000000002</v>
      </c>
      <c r="K529" t="str">
        <f t="shared" si="27"/>
        <v>Admis</v>
      </c>
      <c r="L529" t="str" cm="1">
        <f t="array" ref="L529">_xlfn.IFS(H529&gt;=16,"Excellent",
               H529&gt;=14,"Très bien",
               H529&gt;=12,"Bien",
               H529&gt;=10,"Passable",
               TRUE,"Insuffisant")</f>
        <v>Bien</v>
      </c>
      <c r="M529" t="str">
        <f t="shared" si="28"/>
        <v>RAS</v>
      </c>
      <c r="N529" t="str">
        <f t="shared" si="29"/>
        <v>Autre filière</v>
      </c>
    </row>
    <row r="530" spans="1:14" x14ac:dyDescent="0.45">
      <c r="A530" t="s">
        <v>817</v>
      </c>
      <c r="B530" t="s">
        <v>338</v>
      </c>
      <c r="E530" t="s">
        <v>29</v>
      </c>
      <c r="F530">
        <v>13.49</v>
      </c>
      <c r="H530">
        <v>9.61</v>
      </c>
      <c r="J530">
        <v>0.68110000000000004</v>
      </c>
      <c r="K530" t="str">
        <f t="shared" si="27"/>
        <v>Refusé</v>
      </c>
      <c r="L530" t="str" cm="1">
        <f t="array" ref="L530">_xlfn.IFS(H530&gt;=16,"Excellent",
               H530&gt;=14,"Très bien",
               H530&gt;=12,"Bien",
               H530&gt;=10,"Passable",
               TRUE,"Insuffisant")</f>
        <v>Insuffisant</v>
      </c>
      <c r="M530" t="str">
        <f t="shared" si="28"/>
        <v>A surveiller</v>
      </c>
      <c r="N530" t="str">
        <f t="shared" si="29"/>
        <v>Autre filière</v>
      </c>
    </row>
    <row r="531" spans="1:14" x14ac:dyDescent="0.45">
      <c r="A531" t="s">
        <v>818</v>
      </c>
      <c r="B531" t="s">
        <v>819</v>
      </c>
      <c r="E531" t="s">
        <v>42</v>
      </c>
      <c r="F531">
        <v>14.42</v>
      </c>
      <c r="H531">
        <v>17.82</v>
      </c>
      <c r="J531">
        <v>0.81059999999999999</v>
      </c>
      <c r="K531" t="str">
        <f t="shared" si="27"/>
        <v>Admis</v>
      </c>
      <c r="L531" t="str" cm="1">
        <f t="array" ref="L531">_xlfn.IFS(H531&gt;=16,"Excellent",
               H531&gt;=14,"Très bien",
               H531&gt;=12,"Bien",
               H531&gt;=10,"Passable",
               TRUE,"Insuffisant")</f>
        <v>Excellent</v>
      </c>
      <c r="M531" t="str">
        <f t="shared" si="28"/>
        <v>RAS</v>
      </c>
      <c r="N531" t="str">
        <f t="shared" si="29"/>
        <v>Autre filière</v>
      </c>
    </row>
    <row r="532" spans="1:14" x14ac:dyDescent="0.45">
      <c r="A532" t="s">
        <v>820</v>
      </c>
      <c r="B532" t="s">
        <v>723</v>
      </c>
      <c r="E532" t="s">
        <v>42</v>
      </c>
      <c r="F532">
        <v>8.59</v>
      </c>
      <c r="H532">
        <v>12.24</v>
      </c>
      <c r="J532">
        <v>0.61350000000000005</v>
      </c>
      <c r="K532" t="str">
        <f t="shared" si="27"/>
        <v>Refusé</v>
      </c>
      <c r="L532" t="str" cm="1">
        <f t="array" ref="L532">_xlfn.IFS(H532&gt;=16,"Excellent",
               H532&gt;=14,"Très bien",
               H532&gt;=12,"Bien",
               H532&gt;=10,"Passable",
               TRUE,"Insuffisant")</f>
        <v>Bien</v>
      </c>
      <c r="M532" t="str">
        <f t="shared" si="28"/>
        <v>A surveiller</v>
      </c>
      <c r="N532" t="str">
        <f t="shared" si="29"/>
        <v>Autre filière</v>
      </c>
    </row>
    <row r="533" spans="1:14" x14ac:dyDescent="0.45">
      <c r="A533" t="s">
        <v>821</v>
      </c>
      <c r="B533" t="s">
        <v>558</v>
      </c>
      <c r="E533" t="s">
        <v>16</v>
      </c>
      <c r="F533">
        <v>14.95</v>
      </c>
      <c r="H533">
        <v>16.39</v>
      </c>
      <c r="J533">
        <v>0.89029999999999998</v>
      </c>
      <c r="K533" t="str">
        <f t="shared" si="27"/>
        <v>Admis</v>
      </c>
      <c r="L533" t="str" cm="1">
        <f t="array" ref="L533">_xlfn.IFS(H533&gt;=16,"Excellent",
               H533&gt;=14,"Très bien",
               H533&gt;=12,"Bien",
               H533&gt;=10,"Passable",
               TRUE,"Insuffisant")</f>
        <v>Excellent</v>
      </c>
      <c r="M533" t="str">
        <f t="shared" si="28"/>
        <v>RAS</v>
      </c>
      <c r="N533" t="str">
        <f t="shared" si="29"/>
        <v>Data</v>
      </c>
    </row>
    <row r="534" spans="1:14" x14ac:dyDescent="0.45">
      <c r="A534" t="s">
        <v>822</v>
      </c>
      <c r="B534" t="s">
        <v>323</v>
      </c>
      <c r="E534" t="s">
        <v>21</v>
      </c>
      <c r="F534">
        <v>7.23</v>
      </c>
      <c r="H534">
        <v>9.68</v>
      </c>
      <c r="J534">
        <v>0.9899</v>
      </c>
      <c r="K534" t="str">
        <f t="shared" si="27"/>
        <v>Refusé</v>
      </c>
      <c r="L534" t="str" cm="1">
        <f t="array" ref="L534">_xlfn.IFS(H534&gt;=16,"Excellent",
               H534&gt;=14,"Très bien",
               H534&gt;=12,"Bien",
               H534&gt;=10,"Passable",
               TRUE,"Insuffisant")</f>
        <v>Insuffisant</v>
      </c>
      <c r="M534" t="str">
        <f t="shared" si="28"/>
        <v>A surveiller</v>
      </c>
      <c r="N534" t="str">
        <f t="shared" si="29"/>
        <v>Autre filière</v>
      </c>
    </row>
    <row r="535" spans="1:14" x14ac:dyDescent="0.45">
      <c r="A535" t="s">
        <v>823</v>
      </c>
      <c r="B535" t="s">
        <v>169</v>
      </c>
      <c r="E535" t="s">
        <v>21</v>
      </c>
      <c r="F535">
        <v>12.81</v>
      </c>
      <c r="H535">
        <v>12.84</v>
      </c>
      <c r="J535">
        <v>0.64270000000000005</v>
      </c>
      <c r="K535" t="str">
        <f t="shared" ref="K535:K598" si="30">IF(AND(F535&gt;=12,H535&gt;=12,J535&gt;=0.8),"Admis",
   IF(AND(F535&gt;=10,H535&gt;=10),"Admis sous condition","Refusé"))</f>
        <v>Admis sous condition</v>
      </c>
      <c r="L535" t="str" cm="1">
        <f t="array" ref="L535">_xlfn.IFS(H535&gt;=16,"Excellent",
               H535&gt;=14,"Très bien",
               H535&gt;=12,"Bien",
               H535&gt;=10,"Passable",
               TRUE,"Insuffisant")</f>
        <v>Bien</v>
      </c>
      <c r="M535" t="str">
        <f t="shared" ref="M535:M598" si="31">IF(OR(F535&lt;10,H535&lt;10,J535&lt;0.7),"A surveiller","RAS")</f>
        <v>A surveiller</v>
      </c>
      <c r="N535" t="str">
        <f t="shared" ref="N535:N598" si="32">IF(NOT(E535="Data"),"Autre filière","Data")</f>
        <v>Autre filière</v>
      </c>
    </row>
    <row r="536" spans="1:14" x14ac:dyDescent="0.45">
      <c r="A536" t="s">
        <v>824</v>
      </c>
      <c r="B536" t="s">
        <v>256</v>
      </c>
      <c r="E536" t="s">
        <v>16</v>
      </c>
      <c r="F536">
        <v>13.05</v>
      </c>
      <c r="H536">
        <v>11.9</v>
      </c>
      <c r="J536">
        <v>0.55000000000000004</v>
      </c>
      <c r="K536" t="str">
        <f t="shared" si="30"/>
        <v>Admis sous condition</v>
      </c>
      <c r="L536" t="str" cm="1">
        <f t="array" ref="L536">_xlfn.IFS(H536&gt;=16,"Excellent",
               H536&gt;=14,"Très bien",
               H536&gt;=12,"Bien",
               H536&gt;=10,"Passable",
               TRUE,"Insuffisant")</f>
        <v>Passable</v>
      </c>
      <c r="M536" t="str">
        <f t="shared" si="31"/>
        <v>A surveiller</v>
      </c>
      <c r="N536" t="str">
        <f t="shared" si="32"/>
        <v>Data</v>
      </c>
    </row>
    <row r="537" spans="1:14" x14ac:dyDescent="0.45">
      <c r="A537" t="s">
        <v>825</v>
      </c>
      <c r="B537" t="s">
        <v>486</v>
      </c>
      <c r="E537" t="s">
        <v>21</v>
      </c>
      <c r="F537">
        <v>20</v>
      </c>
      <c r="H537">
        <v>15.95</v>
      </c>
      <c r="J537">
        <v>0.97529999999999994</v>
      </c>
      <c r="K537" t="str">
        <f t="shared" si="30"/>
        <v>Admis</v>
      </c>
      <c r="L537" t="str" cm="1">
        <f t="array" ref="L537">_xlfn.IFS(H537&gt;=16,"Excellent",
               H537&gt;=14,"Très bien",
               H537&gt;=12,"Bien",
               H537&gt;=10,"Passable",
               TRUE,"Insuffisant")</f>
        <v>Très bien</v>
      </c>
      <c r="M537" t="str">
        <f t="shared" si="31"/>
        <v>RAS</v>
      </c>
      <c r="N537" t="str">
        <f t="shared" si="32"/>
        <v>Autre filière</v>
      </c>
    </row>
    <row r="538" spans="1:14" x14ac:dyDescent="0.45">
      <c r="A538" t="s">
        <v>826</v>
      </c>
      <c r="B538" t="s">
        <v>827</v>
      </c>
      <c r="E538" t="s">
        <v>42</v>
      </c>
      <c r="F538">
        <v>13.06</v>
      </c>
      <c r="H538">
        <v>14.91</v>
      </c>
      <c r="J538">
        <v>0.55000000000000004</v>
      </c>
      <c r="K538" t="str">
        <f t="shared" si="30"/>
        <v>Admis sous condition</v>
      </c>
      <c r="L538" t="str" cm="1">
        <f t="array" ref="L538">_xlfn.IFS(H538&gt;=16,"Excellent",
               H538&gt;=14,"Très bien",
               H538&gt;=12,"Bien",
               H538&gt;=10,"Passable",
               TRUE,"Insuffisant")</f>
        <v>Très bien</v>
      </c>
      <c r="M538" t="str">
        <f t="shared" si="31"/>
        <v>A surveiller</v>
      </c>
      <c r="N538" t="str">
        <f t="shared" si="32"/>
        <v>Autre filière</v>
      </c>
    </row>
    <row r="539" spans="1:14" x14ac:dyDescent="0.45">
      <c r="A539" t="s">
        <v>828</v>
      </c>
      <c r="B539" t="s">
        <v>348</v>
      </c>
      <c r="E539" t="s">
        <v>16</v>
      </c>
      <c r="F539">
        <v>12.32</v>
      </c>
      <c r="H539">
        <v>13.69</v>
      </c>
      <c r="J539">
        <v>0.86860000000000004</v>
      </c>
      <c r="K539" t="str">
        <f t="shared" si="30"/>
        <v>Admis</v>
      </c>
      <c r="L539" t="str" cm="1">
        <f t="array" ref="L539">_xlfn.IFS(H539&gt;=16,"Excellent",
               H539&gt;=14,"Très bien",
               H539&gt;=12,"Bien",
               H539&gt;=10,"Passable",
               TRUE,"Insuffisant")</f>
        <v>Bien</v>
      </c>
      <c r="M539" t="str">
        <f t="shared" si="31"/>
        <v>RAS</v>
      </c>
      <c r="N539" t="str">
        <f t="shared" si="32"/>
        <v>Data</v>
      </c>
    </row>
    <row r="540" spans="1:14" x14ac:dyDescent="0.45">
      <c r="A540" t="s">
        <v>829</v>
      </c>
      <c r="B540" t="s">
        <v>374</v>
      </c>
      <c r="E540" t="s">
        <v>29</v>
      </c>
      <c r="F540">
        <v>13.63</v>
      </c>
      <c r="H540">
        <v>14.27</v>
      </c>
      <c r="J540">
        <v>0.97550000000000003</v>
      </c>
      <c r="K540" t="str">
        <f t="shared" si="30"/>
        <v>Admis</v>
      </c>
      <c r="L540" t="str" cm="1">
        <f t="array" ref="L540">_xlfn.IFS(H540&gt;=16,"Excellent",
               H540&gt;=14,"Très bien",
               H540&gt;=12,"Bien",
               H540&gt;=10,"Passable",
               TRUE,"Insuffisant")</f>
        <v>Très bien</v>
      </c>
      <c r="M540" t="str">
        <f t="shared" si="31"/>
        <v>RAS</v>
      </c>
      <c r="N540" t="str">
        <f t="shared" si="32"/>
        <v>Autre filière</v>
      </c>
    </row>
    <row r="541" spans="1:14" x14ac:dyDescent="0.45">
      <c r="A541" t="s">
        <v>830</v>
      </c>
      <c r="B541" t="s">
        <v>376</v>
      </c>
      <c r="E541" t="s">
        <v>21</v>
      </c>
      <c r="F541">
        <v>8.07</v>
      </c>
      <c r="H541">
        <v>9.7899999999999991</v>
      </c>
      <c r="J541">
        <v>0.92479999999999996</v>
      </c>
      <c r="K541" t="str">
        <f t="shared" si="30"/>
        <v>Refusé</v>
      </c>
      <c r="L541" t="str" cm="1">
        <f t="array" ref="L541">_xlfn.IFS(H541&gt;=16,"Excellent",
               H541&gt;=14,"Très bien",
               H541&gt;=12,"Bien",
               H541&gt;=10,"Passable",
               TRUE,"Insuffisant")</f>
        <v>Insuffisant</v>
      </c>
      <c r="M541" t="str">
        <f t="shared" si="31"/>
        <v>A surveiller</v>
      </c>
      <c r="N541" t="str">
        <f t="shared" si="32"/>
        <v>Autre filière</v>
      </c>
    </row>
    <row r="542" spans="1:14" x14ac:dyDescent="0.45">
      <c r="A542" t="s">
        <v>831</v>
      </c>
      <c r="B542" t="s">
        <v>212</v>
      </c>
      <c r="E542" t="s">
        <v>29</v>
      </c>
      <c r="F542">
        <v>14.22</v>
      </c>
      <c r="H542">
        <v>16.41</v>
      </c>
      <c r="J542">
        <v>0.88629999999999998</v>
      </c>
      <c r="K542" t="str">
        <f t="shared" si="30"/>
        <v>Admis</v>
      </c>
      <c r="L542" t="str" cm="1">
        <f t="array" ref="L542">_xlfn.IFS(H542&gt;=16,"Excellent",
               H542&gt;=14,"Très bien",
               H542&gt;=12,"Bien",
               H542&gt;=10,"Passable",
               TRUE,"Insuffisant")</f>
        <v>Excellent</v>
      </c>
      <c r="M542" t="str">
        <f t="shared" si="31"/>
        <v>RAS</v>
      </c>
      <c r="N542" t="str">
        <f t="shared" si="32"/>
        <v>Autre filière</v>
      </c>
    </row>
    <row r="543" spans="1:14" x14ac:dyDescent="0.45">
      <c r="A543" t="s">
        <v>832</v>
      </c>
      <c r="B543" t="s">
        <v>235</v>
      </c>
      <c r="E543" t="s">
        <v>21</v>
      </c>
      <c r="F543">
        <v>18.98</v>
      </c>
      <c r="H543">
        <v>20</v>
      </c>
      <c r="J543">
        <v>0.88</v>
      </c>
      <c r="K543" t="str">
        <f t="shared" si="30"/>
        <v>Admis</v>
      </c>
      <c r="L543" t="str" cm="1">
        <f t="array" ref="L543">_xlfn.IFS(H543&gt;=16,"Excellent",
               H543&gt;=14,"Très bien",
               H543&gt;=12,"Bien",
               H543&gt;=10,"Passable",
               TRUE,"Insuffisant")</f>
        <v>Excellent</v>
      </c>
      <c r="M543" t="str">
        <f t="shared" si="31"/>
        <v>RAS</v>
      </c>
      <c r="N543" t="str">
        <f t="shared" si="32"/>
        <v>Autre filière</v>
      </c>
    </row>
    <row r="544" spans="1:14" x14ac:dyDescent="0.45">
      <c r="A544" t="s">
        <v>833</v>
      </c>
      <c r="B544" t="s">
        <v>445</v>
      </c>
      <c r="E544" t="s">
        <v>29</v>
      </c>
      <c r="F544">
        <v>16.260000000000002</v>
      </c>
      <c r="H544">
        <v>13.46</v>
      </c>
      <c r="J544">
        <v>0.91969999999999996</v>
      </c>
      <c r="K544" t="str">
        <f t="shared" si="30"/>
        <v>Admis</v>
      </c>
      <c r="L544" t="str" cm="1">
        <f t="array" ref="L544">_xlfn.IFS(H544&gt;=16,"Excellent",
               H544&gt;=14,"Très bien",
               H544&gt;=12,"Bien",
               H544&gt;=10,"Passable",
               TRUE,"Insuffisant")</f>
        <v>Bien</v>
      </c>
      <c r="M544" t="str">
        <f t="shared" si="31"/>
        <v>RAS</v>
      </c>
      <c r="N544" t="str">
        <f t="shared" si="32"/>
        <v>Autre filière</v>
      </c>
    </row>
    <row r="545" spans="1:14" x14ac:dyDescent="0.45">
      <c r="A545" t="s">
        <v>834</v>
      </c>
      <c r="B545" t="s">
        <v>127</v>
      </c>
      <c r="E545" t="s">
        <v>16</v>
      </c>
      <c r="F545">
        <v>12.33</v>
      </c>
      <c r="H545">
        <v>15.55</v>
      </c>
      <c r="J545">
        <v>0.96040000000000003</v>
      </c>
      <c r="K545" t="str">
        <f t="shared" si="30"/>
        <v>Admis</v>
      </c>
      <c r="L545" t="str" cm="1">
        <f t="array" ref="L545">_xlfn.IFS(H545&gt;=16,"Excellent",
               H545&gt;=14,"Très bien",
               H545&gt;=12,"Bien",
               H545&gt;=10,"Passable",
               TRUE,"Insuffisant")</f>
        <v>Très bien</v>
      </c>
      <c r="M545" t="str">
        <f t="shared" si="31"/>
        <v>RAS</v>
      </c>
      <c r="N545" t="str">
        <f t="shared" si="32"/>
        <v>Data</v>
      </c>
    </row>
    <row r="546" spans="1:14" x14ac:dyDescent="0.45">
      <c r="A546" t="s">
        <v>835</v>
      </c>
      <c r="B546" t="s">
        <v>185</v>
      </c>
      <c r="E546" t="s">
        <v>29</v>
      </c>
      <c r="F546">
        <v>17.2</v>
      </c>
      <c r="H546">
        <v>15.41</v>
      </c>
      <c r="J546">
        <v>0.65920000000000001</v>
      </c>
      <c r="K546" t="str">
        <f t="shared" si="30"/>
        <v>Admis sous condition</v>
      </c>
      <c r="L546" t="str" cm="1">
        <f t="array" ref="L546">_xlfn.IFS(H546&gt;=16,"Excellent",
               H546&gt;=14,"Très bien",
               H546&gt;=12,"Bien",
               H546&gt;=10,"Passable",
               TRUE,"Insuffisant")</f>
        <v>Très bien</v>
      </c>
      <c r="M546" t="str">
        <f t="shared" si="31"/>
        <v>A surveiller</v>
      </c>
      <c r="N546" t="str">
        <f t="shared" si="32"/>
        <v>Autre filière</v>
      </c>
    </row>
    <row r="547" spans="1:14" x14ac:dyDescent="0.45">
      <c r="A547" t="s">
        <v>836</v>
      </c>
      <c r="B547" t="s">
        <v>196</v>
      </c>
      <c r="E547" t="s">
        <v>42</v>
      </c>
      <c r="F547">
        <v>17.190000000000001</v>
      </c>
      <c r="H547">
        <v>13.49</v>
      </c>
      <c r="J547">
        <v>0.87029999999999996</v>
      </c>
      <c r="K547" t="str">
        <f t="shared" si="30"/>
        <v>Admis</v>
      </c>
      <c r="L547" t="str" cm="1">
        <f t="array" ref="L547">_xlfn.IFS(H547&gt;=16,"Excellent",
               H547&gt;=14,"Très bien",
               H547&gt;=12,"Bien",
               H547&gt;=10,"Passable",
               TRUE,"Insuffisant")</f>
        <v>Bien</v>
      </c>
      <c r="M547" t="str">
        <f t="shared" si="31"/>
        <v>RAS</v>
      </c>
      <c r="N547" t="str">
        <f t="shared" si="32"/>
        <v>Autre filière</v>
      </c>
    </row>
    <row r="548" spans="1:14" x14ac:dyDescent="0.45">
      <c r="A548" t="s">
        <v>837</v>
      </c>
      <c r="B548" t="s">
        <v>651</v>
      </c>
      <c r="E548" t="s">
        <v>42</v>
      </c>
      <c r="F548">
        <v>7.88</v>
      </c>
      <c r="H548">
        <v>9.59</v>
      </c>
      <c r="J548">
        <v>0.86019999999999996</v>
      </c>
      <c r="K548" t="str">
        <f t="shared" si="30"/>
        <v>Refusé</v>
      </c>
      <c r="L548" t="str" cm="1">
        <f t="array" ref="L548">_xlfn.IFS(H548&gt;=16,"Excellent",
               H548&gt;=14,"Très bien",
               H548&gt;=12,"Bien",
               H548&gt;=10,"Passable",
               TRUE,"Insuffisant")</f>
        <v>Insuffisant</v>
      </c>
      <c r="M548" t="str">
        <f t="shared" si="31"/>
        <v>A surveiller</v>
      </c>
      <c r="N548" t="str">
        <f t="shared" si="32"/>
        <v>Autre filière</v>
      </c>
    </row>
    <row r="549" spans="1:14" x14ac:dyDescent="0.45">
      <c r="A549" t="s">
        <v>838</v>
      </c>
      <c r="B549" t="s">
        <v>105</v>
      </c>
      <c r="E549" t="s">
        <v>21</v>
      </c>
      <c r="F549">
        <v>8.1</v>
      </c>
      <c r="H549">
        <v>9.31</v>
      </c>
      <c r="J549">
        <v>0.89280000000000004</v>
      </c>
      <c r="K549" t="str">
        <f t="shared" si="30"/>
        <v>Refusé</v>
      </c>
      <c r="L549" t="str" cm="1">
        <f t="array" ref="L549">_xlfn.IFS(H549&gt;=16,"Excellent",
               H549&gt;=14,"Très bien",
               H549&gt;=12,"Bien",
               H549&gt;=10,"Passable",
               TRUE,"Insuffisant")</f>
        <v>Insuffisant</v>
      </c>
      <c r="M549" t="str">
        <f t="shared" si="31"/>
        <v>A surveiller</v>
      </c>
      <c r="N549" t="str">
        <f t="shared" si="32"/>
        <v>Autre filière</v>
      </c>
    </row>
    <row r="550" spans="1:14" x14ac:dyDescent="0.45">
      <c r="A550" t="s">
        <v>839</v>
      </c>
      <c r="B550" t="s">
        <v>174</v>
      </c>
      <c r="E550" t="s">
        <v>16</v>
      </c>
      <c r="F550">
        <v>19.43</v>
      </c>
      <c r="H550">
        <v>19.989999999999998</v>
      </c>
      <c r="J550">
        <v>0.96479999999999999</v>
      </c>
      <c r="K550" t="str">
        <f t="shared" si="30"/>
        <v>Admis</v>
      </c>
      <c r="L550" t="str" cm="1">
        <f t="array" ref="L550">_xlfn.IFS(H550&gt;=16,"Excellent",
               H550&gt;=14,"Très bien",
               H550&gt;=12,"Bien",
               H550&gt;=10,"Passable",
               TRUE,"Insuffisant")</f>
        <v>Excellent</v>
      </c>
      <c r="M550" t="str">
        <f t="shared" si="31"/>
        <v>RAS</v>
      </c>
      <c r="N550" t="str">
        <f t="shared" si="32"/>
        <v>Data</v>
      </c>
    </row>
    <row r="551" spans="1:14" x14ac:dyDescent="0.45">
      <c r="A551" t="s">
        <v>840</v>
      </c>
      <c r="B551" t="s">
        <v>338</v>
      </c>
      <c r="E551" t="s">
        <v>21</v>
      </c>
      <c r="F551">
        <v>9.6999999999999993</v>
      </c>
      <c r="H551">
        <v>14.9</v>
      </c>
      <c r="J551">
        <v>0.71599999999999997</v>
      </c>
      <c r="K551" t="str">
        <f t="shared" si="30"/>
        <v>Refusé</v>
      </c>
      <c r="L551" t="str" cm="1">
        <f t="array" ref="L551">_xlfn.IFS(H551&gt;=16,"Excellent",
               H551&gt;=14,"Très bien",
               H551&gt;=12,"Bien",
               H551&gt;=10,"Passable",
               TRUE,"Insuffisant")</f>
        <v>Très bien</v>
      </c>
      <c r="M551" t="str">
        <f t="shared" si="31"/>
        <v>A surveiller</v>
      </c>
      <c r="N551" t="str">
        <f t="shared" si="32"/>
        <v>Autre filière</v>
      </c>
    </row>
    <row r="552" spans="1:14" x14ac:dyDescent="0.45">
      <c r="A552" t="s">
        <v>841</v>
      </c>
      <c r="B552" t="s">
        <v>452</v>
      </c>
      <c r="E552" t="s">
        <v>42</v>
      </c>
      <c r="F552">
        <v>17.829999999999998</v>
      </c>
      <c r="H552">
        <v>18.940000000000001</v>
      </c>
      <c r="J552">
        <v>0.94040000000000001</v>
      </c>
      <c r="K552" t="str">
        <f t="shared" si="30"/>
        <v>Admis</v>
      </c>
      <c r="L552" t="str" cm="1">
        <f t="array" ref="L552">_xlfn.IFS(H552&gt;=16,"Excellent",
               H552&gt;=14,"Très bien",
               H552&gt;=12,"Bien",
               H552&gt;=10,"Passable",
               TRUE,"Insuffisant")</f>
        <v>Excellent</v>
      </c>
      <c r="M552" t="str">
        <f t="shared" si="31"/>
        <v>RAS</v>
      </c>
      <c r="N552" t="str">
        <f t="shared" si="32"/>
        <v>Autre filière</v>
      </c>
    </row>
    <row r="553" spans="1:14" x14ac:dyDescent="0.45">
      <c r="A553" t="s">
        <v>842</v>
      </c>
      <c r="B553" t="s">
        <v>188</v>
      </c>
      <c r="E553" t="s">
        <v>16</v>
      </c>
      <c r="F553">
        <v>10.97</v>
      </c>
      <c r="H553">
        <v>13.37</v>
      </c>
      <c r="J553">
        <v>0.86550000000000005</v>
      </c>
      <c r="K553" t="str">
        <f t="shared" si="30"/>
        <v>Admis sous condition</v>
      </c>
      <c r="L553" t="str" cm="1">
        <f t="array" ref="L553">_xlfn.IFS(H553&gt;=16,"Excellent",
               H553&gt;=14,"Très bien",
               H553&gt;=12,"Bien",
               H553&gt;=10,"Passable",
               TRUE,"Insuffisant")</f>
        <v>Bien</v>
      </c>
      <c r="M553" t="str">
        <f t="shared" si="31"/>
        <v>RAS</v>
      </c>
      <c r="N553" t="str">
        <f t="shared" si="32"/>
        <v>Data</v>
      </c>
    </row>
    <row r="554" spans="1:14" x14ac:dyDescent="0.45">
      <c r="A554" t="s">
        <v>843</v>
      </c>
      <c r="B554" t="s">
        <v>533</v>
      </c>
      <c r="E554" t="s">
        <v>21</v>
      </c>
      <c r="F554">
        <v>12.01</v>
      </c>
      <c r="H554">
        <v>8.64</v>
      </c>
      <c r="J554">
        <v>0.75460000000000005</v>
      </c>
      <c r="K554" t="str">
        <f t="shared" si="30"/>
        <v>Refusé</v>
      </c>
      <c r="L554" t="str" cm="1">
        <f t="array" ref="L554">_xlfn.IFS(H554&gt;=16,"Excellent",
               H554&gt;=14,"Très bien",
               H554&gt;=12,"Bien",
               H554&gt;=10,"Passable",
               TRUE,"Insuffisant")</f>
        <v>Insuffisant</v>
      </c>
      <c r="M554" t="str">
        <f t="shared" si="31"/>
        <v>A surveiller</v>
      </c>
      <c r="N554" t="str">
        <f t="shared" si="32"/>
        <v>Autre filière</v>
      </c>
    </row>
    <row r="555" spans="1:14" x14ac:dyDescent="0.45">
      <c r="A555" t="s">
        <v>844</v>
      </c>
      <c r="B555" t="s">
        <v>400</v>
      </c>
      <c r="E555" t="s">
        <v>29</v>
      </c>
      <c r="F555">
        <v>11.9</v>
      </c>
      <c r="H555">
        <v>7.94</v>
      </c>
      <c r="J555">
        <v>0.88370000000000004</v>
      </c>
      <c r="K555" t="str">
        <f t="shared" si="30"/>
        <v>Refusé</v>
      </c>
      <c r="L555" t="str" cm="1">
        <f t="array" ref="L555">_xlfn.IFS(H555&gt;=16,"Excellent",
               H555&gt;=14,"Très bien",
               H555&gt;=12,"Bien",
               H555&gt;=10,"Passable",
               TRUE,"Insuffisant")</f>
        <v>Insuffisant</v>
      </c>
      <c r="M555" t="str">
        <f t="shared" si="31"/>
        <v>A surveiller</v>
      </c>
      <c r="N555" t="str">
        <f t="shared" si="32"/>
        <v>Autre filière</v>
      </c>
    </row>
    <row r="556" spans="1:14" x14ac:dyDescent="0.45">
      <c r="A556" t="s">
        <v>845</v>
      </c>
      <c r="B556" t="s">
        <v>370</v>
      </c>
      <c r="E556" t="s">
        <v>42</v>
      </c>
      <c r="F556">
        <v>4.3099999999999996</v>
      </c>
      <c r="H556">
        <v>2.1800000000000002</v>
      </c>
      <c r="J556">
        <v>0.89329999999999998</v>
      </c>
      <c r="K556" t="str">
        <f t="shared" si="30"/>
        <v>Refusé</v>
      </c>
      <c r="L556" t="str" cm="1">
        <f t="array" ref="L556">_xlfn.IFS(H556&gt;=16,"Excellent",
               H556&gt;=14,"Très bien",
               H556&gt;=12,"Bien",
               H556&gt;=10,"Passable",
               TRUE,"Insuffisant")</f>
        <v>Insuffisant</v>
      </c>
      <c r="M556" t="str">
        <f t="shared" si="31"/>
        <v>A surveiller</v>
      </c>
      <c r="N556" t="str">
        <f t="shared" si="32"/>
        <v>Autre filière</v>
      </c>
    </row>
    <row r="557" spans="1:14" x14ac:dyDescent="0.45">
      <c r="A557" t="s">
        <v>846</v>
      </c>
      <c r="B557" t="s">
        <v>847</v>
      </c>
      <c r="E557" t="s">
        <v>42</v>
      </c>
      <c r="F557">
        <v>13.97</v>
      </c>
      <c r="H557">
        <v>11.12</v>
      </c>
      <c r="J557">
        <v>0.80640000000000001</v>
      </c>
      <c r="K557" t="str">
        <f t="shared" si="30"/>
        <v>Admis sous condition</v>
      </c>
      <c r="L557" t="str" cm="1">
        <f t="array" ref="L557">_xlfn.IFS(H557&gt;=16,"Excellent",
               H557&gt;=14,"Très bien",
               H557&gt;=12,"Bien",
               H557&gt;=10,"Passable",
               TRUE,"Insuffisant")</f>
        <v>Passable</v>
      </c>
      <c r="M557" t="str">
        <f t="shared" si="31"/>
        <v>RAS</v>
      </c>
      <c r="N557" t="str">
        <f t="shared" si="32"/>
        <v>Autre filière</v>
      </c>
    </row>
    <row r="558" spans="1:14" x14ac:dyDescent="0.45">
      <c r="A558" t="s">
        <v>848</v>
      </c>
      <c r="B558" t="s">
        <v>256</v>
      </c>
      <c r="E558" t="s">
        <v>16</v>
      </c>
      <c r="F558">
        <v>13.54</v>
      </c>
      <c r="H558">
        <v>13.07</v>
      </c>
      <c r="J558">
        <v>0.85580000000000001</v>
      </c>
      <c r="K558" t="str">
        <f t="shared" si="30"/>
        <v>Admis</v>
      </c>
      <c r="L558" t="str" cm="1">
        <f t="array" ref="L558">_xlfn.IFS(H558&gt;=16,"Excellent",
               H558&gt;=14,"Très bien",
               H558&gt;=12,"Bien",
               H558&gt;=10,"Passable",
               TRUE,"Insuffisant")</f>
        <v>Bien</v>
      </c>
      <c r="M558" t="str">
        <f t="shared" si="31"/>
        <v>RAS</v>
      </c>
      <c r="N558" t="str">
        <f t="shared" si="32"/>
        <v>Data</v>
      </c>
    </row>
    <row r="559" spans="1:14" x14ac:dyDescent="0.45">
      <c r="A559" t="s">
        <v>849</v>
      </c>
      <c r="B559" t="s">
        <v>386</v>
      </c>
      <c r="E559" t="s">
        <v>16</v>
      </c>
      <c r="F559">
        <v>11.17</v>
      </c>
      <c r="H559">
        <v>7.88</v>
      </c>
      <c r="J559">
        <v>0.93220000000000003</v>
      </c>
      <c r="K559" t="str">
        <f t="shared" si="30"/>
        <v>Refusé</v>
      </c>
      <c r="L559" t="str" cm="1">
        <f t="array" ref="L559">_xlfn.IFS(H559&gt;=16,"Excellent",
               H559&gt;=14,"Très bien",
               H559&gt;=12,"Bien",
               H559&gt;=10,"Passable",
               TRUE,"Insuffisant")</f>
        <v>Insuffisant</v>
      </c>
      <c r="M559" t="str">
        <f t="shared" si="31"/>
        <v>A surveiller</v>
      </c>
      <c r="N559" t="str">
        <f t="shared" si="32"/>
        <v>Data</v>
      </c>
    </row>
    <row r="560" spans="1:14" x14ac:dyDescent="0.45">
      <c r="A560" t="s">
        <v>850</v>
      </c>
      <c r="B560" t="s">
        <v>693</v>
      </c>
      <c r="E560" t="s">
        <v>42</v>
      </c>
      <c r="F560">
        <v>18.190000000000001</v>
      </c>
      <c r="H560">
        <v>15.52</v>
      </c>
      <c r="J560">
        <v>0.86670000000000003</v>
      </c>
      <c r="K560" t="str">
        <f t="shared" si="30"/>
        <v>Admis</v>
      </c>
      <c r="L560" t="str" cm="1">
        <f t="array" ref="L560">_xlfn.IFS(H560&gt;=16,"Excellent",
               H560&gt;=14,"Très bien",
               H560&gt;=12,"Bien",
               H560&gt;=10,"Passable",
               TRUE,"Insuffisant")</f>
        <v>Très bien</v>
      </c>
      <c r="M560" t="str">
        <f t="shared" si="31"/>
        <v>RAS</v>
      </c>
      <c r="N560" t="str">
        <f t="shared" si="32"/>
        <v>Autre filière</v>
      </c>
    </row>
    <row r="561" spans="1:14" x14ac:dyDescent="0.45">
      <c r="A561" t="s">
        <v>851</v>
      </c>
      <c r="B561" t="s">
        <v>852</v>
      </c>
      <c r="E561" t="s">
        <v>29</v>
      </c>
      <c r="F561">
        <v>17.71</v>
      </c>
      <c r="H561">
        <v>16.510000000000002</v>
      </c>
      <c r="J561">
        <v>0.8669</v>
      </c>
      <c r="K561" t="str">
        <f t="shared" si="30"/>
        <v>Admis</v>
      </c>
      <c r="L561" t="str" cm="1">
        <f t="array" ref="L561">_xlfn.IFS(H561&gt;=16,"Excellent",
               H561&gt;=14,"Très bien",
               H561&gt;=12,"Bien",
               H561&gt;=10,"Passable",
               TRUE,"Insuffisant")</f>
        <v>Excellent</v>
      </c>
      <c r="M561" t="str">
        <f t="shared" si="31"/>
        <v>RAS</v>
      </c>
      <c r="N561" t="str">
        <f t="shared" si="32"/>
        <v>Autre filière</v>
      </c>
    </row>
    <row r="562" spans="1:14" x14ac:dyDescent="0.45">
      <c r="A562" t="s">
        <v>853</v>
      </c>
      <c r="B562" t="s">
        <v>250</v>
      </c>
      <c r="E562" t="s">
        <v>16</v>
      </c>
      <c r="F562">
        <v>13.5</v>
      </c>
      <c r="H562">
        <v>12.75</v>
      </c>
      <c r="J562">
        <v>0.91290000000000004</v>
      </c>
      <c r="K562" t="str">
        <f t="shared" si="30"/>
        <v>Admis</v>
      </c>
      <c r="L562" t="str" cm="1">
        <f t="array" ref="L562">_xlfn.IFS(H562&gt;=16,"Excellent",
               H562&gt;=14,"Très bien",
               H562&gt;=12,"Bien",
               H562&gt;=10,"Passable",
               TRUE,"Insuffisant")</f>
        <v>Bien</v>
      </c>
      <c r="M562" t="str">
        <f t="shared" si="31"/>
        <v>RAS</v>
      </c>
      <c r="N562" t="str">
        <f t="shared" si="32"/>
        <v>Data</v>
      </c>
    </row>
    <row r="563" spans="1:14" x14ac:dyDescent="0.45">
      <c r="A563" t="s">
        <v>854</v>
      </c>
      <c r="B563" t="s">
        <v>634</v>
      </c>
      <c r="E563" t="s">
        <v>16</v>
      </c>
      <c r="F563">
        <v>7.43</v>
      </c>
      <c r="H563">
        <v>6.27</v>
      </c>
      <c r="J563">
        <v>0.7671</v>
      </c>
      <c r="K563" t="str">
        <f t="shared" si="30"/>
        <v>Refusé</v>
      </c>
      <c r="L563" t="str" cm="1">
        <f t="array" ref="L563">_xlfn.IFS(H563&gt;=16,"Excellent",
               H563&gt;=14,"Très bien",
               H563&gt;=12,"Bien",
               H563&gt;=10,"Passable",
               TRUE,"Insuffisant")</f>
        <v>Insuffisant</v>
      </c>
      <c r="M563" t="str">
        <f t="shared" si="31"/>
        <v>A surveiller</v>
      </c>
      <c r="N563" t="str">
        <f t="shared" si="32"/>
        <v>Data</v>
      </c>
    </row>
    <row r="564" spans="1:14" x14ac:dyDescent="0.45">
      <c r="A564" t="s">
        <v>855</v>
      </c>
      <c r="B564" t="s">
        <v>656</v>
      </c>
      <c r="E564" t="s">
        <v>21</v>
      </c>
      <c r="F564">
        <v>16.18</v>
      </c>
      <c r="H564">
        <v>14.68</v>
      </c>
      <c r="J564">
        <v>0.76170000000000004</v>
      </c>
      <c r="K564" t="str">
        <f t="shared" si="30"/>
        <v>Admis sous condition</v>
      </c>
      <c r="L564" t="str" cm="1">
        <f t="array" ref="L564">_xlfn.IFS(H564&gt;=16,"Excellent",
               H564&gt;=14,"Très bien",
               H564&gt;=12,"Bien",
               H564&gt;=10,"Passable",
               TRUE,"Insuffisant")</f>
        <v>Très bien</v>
      </c>
      <c r="M564" t="str">
        <f t="shared" si="31"/>
        <v>RAS</v>
      </c>
      <c r="N564" t="str">
        <f t="shared" si="32"/>
        <v>Autre filière</v>
      </c>
    </row>
    <row r="565" spans="1:14" x14ac:dyDescent="0.45">
      <c r="A565" t="s">
        <v>856</v>
      </c>
      <c r="B565" t="s">
        <v>731</v>
      </c>
      <c r="E565" t="s">
        <v>16</v>
      </c>
      <c r="F565">
        <v>15.56</v>
      </c>
      <c r="H565">
        <v>19.05</v>
      </c>
      <c r="J565">
        <v>0.90059999999999996</v>
      </c>
      <c r="K565" t="str">
        <f t="shared" si="30"/>
        <v>Admis</v>
      </c>
      <c r="L565" t="str" cm="1">
        <f t="array" ref="L565">_xlfn.IFS(H565&gt;=16,"Excellent",
               H565&gt;=14,"Très bien",
               H565&gt;=12,"Bien",
               H565&gt;=10,"Passable",
               TRUE,"Insuffisant")</f>
        <v>Excellent</v>
      </c>
      <c r="M565" t="str">
        <f t="shared" si="31"/>
        <v>RAS</v>
      </c>
      <c r="N565" t="str">
        <f t="shared" si="32"/>
        <v>Data</v>
      </c>
    </row>
    <row r="566" spans="1:14" x14ac:dyDescent="0.45">
      <c r="A566" t="s">
        <v>857</v>
      </c>
      <c r="B566" t="s">
        <v>309</v>
      </c>
      <c r="E566" t="s">
        <v>16</v>
      </c>
      <c r="F566">
        <v>14.5</v>
      </c>
      <c r="H566">
        <v>16.02</v>
      </c>
      <c r="J566">
        <v>0.76729999999999998</v>
      </c>
      <c r="K566" t="str">
        <f t="shared" si="30"/>
        <v>Admis sous condition</v>
      </c>
      <c r="L566" t="str" cm="1">
        <f t="array" ref="L566">_xlfn.IFS(H566&gt;=16,"Excellent",
               H566&gt;=14,"Très bien",
               H566&gt;=12,"Bien",
               H566&gt;=10,"Passable",
               TRUE,"Insuffisant")</f>
        <v>Excellent</v>
      </c>
      <c r="M566" t="str">
        <f t="shared" si="31"/>
        <v>RAS</v>
      </c>
      <c r="N566" t="str">
        <f t="shared" si="32"/>
        <v>Data</v>
      </c>
    </row>
    <row r="567" spans="1:14" x14ac:dyDescent="0.45">
      <c r="A567" t="s">
        <v>858</v>
      </c>
      <c r="B567" t="s">
        <v>859</v>
      </c>
      <c r="E567" t="s">
        <v>42</v>
      </c>
      <c r="F567">
        <v>14.84</v>
      </c>
      <c r="H567">
        <v>15.22</v>
      </c>
      <c r="J567">
        <v>0.89539999999999997</v>
      </c>
      <c r="K567" t="str">
        <f t="shared" si="30"/>
        <v>Admis</v>
      </c>
      <c r="L567" t="str" cm="1">
        <f t="array" ref="L567">_xlfn.IFS(H567&gt;=16,"Excellent",
               H567&gt;=14,"Très bien",
               H567&gt;=12,"Bien",
               H567&gt;=10,"Passable",
               TRUE,"Insuffisant")</f>
        <v>Très bien</v>
      </c>
      <c r="M567" t="str">
        <f t="shared" si="31"/>
        <v>RAS</v>
      </c>
      <c r="N567" t="str">
        <f t="shared" si="32"/>
        <v>Autre filière</v>
      </c>
    </row>
    <row r="568" spans="1:14" x14ac:dyDescent="0.45">
      <c r="A568" t="s">
        <v>860</v>
      </c>
      <c r="B568" t="s">
        <v>323</v>
      </c>
      <c r="E568" t="s">
        <v>16</v>
      </c>
      <c r="F568">
        <v>13.96</v>
      </c>
      <c r="H568">
        <v>10.29</v>
      </c>
      <c r="J568">
        <v>0.91439999999999999</v>
      </c>
      <c r="K568" t="str">
        <f t="shared" si="30"/>
        <v>Admis sous condition</v>
      </c>
      <c r="L568" t="str" cm="1">
        <f t="array" ref="L568">_xlfn.IFS(H568&gt;=16,"Excellent",
               H568&gt;=14,"Très bien",
               H568&gt;=12,"Bien",
               H568&gt;=10,"Passable",
               TRUE,"Insuffisant")</f>
        <v>Passable</v>
      </c>
      <c r="M568" t="str">
        <f t="shared" si="31"/>
        <v>RAS</v>
      </c>
      <c r="N568" t="str">
        <f t="shared" si="32"/>
        <v>Data</v>
      </c>
    </row>
    <row r="569" spans="1:14" x14ac:dyDescent="0.45">
      <c r="A569" t="s">
        <v>861</v>
      </c>
      <c r="B569" t="s">
        <v>522</v>
      </c>
      <c r="E569" t="s">
        <v>42</v>
      </c>
      <c r="F569">
        <v>16.809999999999999</v>
      </c>
      <c r="H569">
        <v>19.260000000000002</v>
      </c>
      <c r="J569">
        <v>0.6361</v>
      </c>
      <c r="K569" t="str">
        <f t="shared" si="30"/>
        <v>Admis sous condition</v>
      </c>
      <c r="L569" t="str" cm="1">
        <f t="array" ref="L569">_xlfn.IFS(H569&gt;=16,"Excellent",
               H569&gt;=14,"Très bien",
               H569&gt;=12,"Bien",
               H569&gt;=10,"Passable",
               TRUE,"Insuffisant")</f>
        <v>Excellent</v>
      </c>
      <c r="M569" t="str">
        <f t="shared" si="31"/>
        <v>A surveiller</v>
      </c>
      <c r="N569" t="str">
        <f t="shared" si="32"/>
        <v>Autre filière</v>
      </c>
    </row>
    <row r="570" spans="1:14" x14ac:dyDescent="0.45">
      <c r="A570" t="s">
        <v>862</v>
      </c>
      <c r="B570" t="s">
        <v>96</v>
      </c>
      <c r="E570" t="s">
        <v>42</v>
      </c>
      <c r="F570">
        <v>11.75</v>
      </c>
      <c r="H570">
        <v>9.32</v>
      </c>
      <c r="J570">
        <v>0.79779999999999995</v>
      </c>
      <c r="K570" t="str">
        <f t="shared" si="30"/>
        <v>Refusé</v>
      </c>
      <c r="L570" t="str" cm="1">
        <f t="array" ref="L570">_xlfn.IFS(H570&gt;=16,"Excellent",
               H570&gt;=14,"Très bien",
               H570&gt;=12,"Bien",
               H570&gt;=10,"Passable",
               TRUE,"Insuffisant")</f>
        <v>Insuffisant</v>
      </c>
      <c r="M570" t="str">
        <f t="shared" si="31"/>
        <v>A surveiller</v>
      </c>
      <c r="N570" t="str">
        <f t="shared" si="32"/>
        <v>Autre filière</v>
      </c>
    </row>
    <row r="571" spans="1:14" x14ac:dyDescent="0.45">
      <c r="A571" t="s">
        <v>863</v>
      </c>
      <c r="B571" t="s">
        <v>819</v>
      </c>
      <c r="E571" t="s">
        <v>42</v>
      </c>
      <c r="F571">
        <v>14.89</v>
      </c>
      <c r="H571">
        <v>14.11</v>
      </c>
      <c r="J571">
        <v>0.91149999999999998</v>
      </c>
      <c r="K571" t="str">
        <f t="shared" si="30"/>
        <v>Admis</v>
      </c>
      <c r="L571" t="str" cm="1">
        <f t="array" ref="L571">_xlfn.IFS(H571&gt;=16,"Excellent",
               H571&gt;=14,"Très bien",
               H571&gt;=12,"Bien",
               H571&gt;=10,"Passable",
               TRUE,"Insuffisant")</f>
        <v>Très bien</v>
      </c>
      <c r="M571" t="str">
        <f t="shared" si="31"/>
        <v>RAS</v>
      </c>
      <c r="N571" t="str">
        <f t="shared" si="32"/>
        <v>Autre filière</v>
      </c>
    </row>
    <row r="572" spans="1:14" x14ac:dyDescent="0.45">
      <c r="A572" t="s">
        <v>864</v>
      </c>
      <c r="B572" t="s">
        <v>605</v>
      </c>
      <c r="E572" t="s">
        <v>29</v>
      </c>
      <c r="F572">
        <v>12.65</v>
      </c>
      <c r="H572">
        <v>11.2</v>
      </c>
      <c r="J572">
        <v>0.67059999999999997</v>
      </c>
      <c r="K572" t="str">
        <f t="shared" si="30"/>
        <v>Admis sous condition</v>
      </c>
      <c r="L572" t="str" cm="1">
        <f t="array" ref="L572">_xlfn.IFS(H572&gt;=16,"Excellent",
               H572&gt;=14,"Très bien",
               H572&gt;=12,"Bien",
               H572&gt;=10,"Passable",
               TRUE,"Insuffisant")</f>
        <v>Passable</v>
      </c>
      <c r="M572" t="str">
        <f t="shared" si="31"/>
        <v>A surveiller</v>
      </c>
      <c r="N572" t="str">
        <f t="shared" si="32"/>
        <v>Autre filière</v>
      </c>
    </row>
    <row r="573" spans="1:14" x14ac:dyDescent="0.45">
      <c r="A573" t="s">
        <v>865</v>
      </c>
      <c r="B573" t="s">
        <v>866</v>
      </c>
      <c r="E573" t="s">
        <v>21</v>
      </c>
      <c r="F573">
        <v>8.91</v>
      </c>
      <c r="H573">
        <v>10.17</v>
      </c>
      <c r="J573">
        <v>0.97309999999999997</v>
      </c>
      <c r="K573" t="str">
        <f t="shared" si="30"/>
        <v>Refusé</v>
      </c>
      <c r="L573" t="str" cm="1">
        <f t="array" ref="L573">_xlfn.IFS(H573&gt;=16,"Excellent",
               H573&gt;=14,"Très bien",
               H573&gt;=12,"Bien",
               H573&gt;=10,"Passable",
               TRUE,"Insuffisant")</f>
        <v>Passable</v>
      </c>
      <c r="M573" t="str">
        <f t="shared" si="31"/>
        <v>A surveiller</v>
      </c>
      <c r="N573" t="str">
        <f t="shared" si="32"/>
        <v>Autre filière</v>
      </c>
    </row>
    <row r="574" spans="1:14" x14ac:dyDescent="0.45">
      <c r="A574" t="s">
        <v>867</v>
      </c>
      <c r="B574" t="s">
        <v>103</v>
      </c>
      <c r="E574" t="s">
        <v>42</v>
      </c>
      <c r="F574">
        <v>16.13</v>
      </c>
      <c r="H574">
        <v>15.54</v>
      </c>
      <c r="J574">
        <v>0.84619999999999995</v>
      </c>
      <c r="K574" t="str">
        <f t="shared" si="30"/>
        <v>Admis</v>
      </c>
      <c r="L574" t="str" cm="1">
        <f t="array" ref="L574">_xlfn.IFS(H574&gt;=16,"Excellent",
               H574&gt;=14,"Très bien",
               H574&gt;=12,"Bien",
               H574&gt;=10,"Passable",
               TRUE,"Insuffisant")</f>
        <v>Très bien</v>
      </c>
      <c r="M574" t="str">
        <f t="shared" si="31"/>
        <v>RAS</v>
      </c>
      <c r="N574" t="str">
        <f t="shared" si="32"/>
        <v>Autre filière</v>
      </c>
    </row>
    <row r="575" spans="1:14" x14ac:dyDescent="0.45">
      <c r="A575" t="s">
        <v>868</v>
      </c>
      <c r="B575" t="s">
        <v>869</v>
      </c>
      <c r="E575" t="s">
        <v>29</v>
      </c>
      <c r="F575">
        <v>10.64</v>
      </c>
      <c r="H575">
        <v>12.87</v>
      </c>
      <c r="J575">
        <v>0.78520000000000001</v>
      </c>
      <c r="K575" t="str">
        <f t="shared" si="30"/>
        <v>Admis sous condition</v>
      </c>
      <c r="L575" t="str" cm="1">
        <f t="array" ref="L575">_xlfn.IFS(H575&gt;=16,"Excellent",
               H575&gt;=14,"Très bien",
               H575&gt;=12,"Bien",
               H575&gt;=10,"Passable",
               TRUE,"Insuffisant")</f>
        <v>Bien</v>
      </c>
      <c r="M575" t="str">
        <f t="shared" si="31"/>
        <v>RAS</v>
      </c>
      <c r="N575" t="str">
        <f t="shared" si="32"/>
        <v>Autre filière</v>
      </c>
    </row>
    <row r="576" spans="1:14" x14ac:dyDescent="0.45">
      <c r="A576" t="s">
        <v>870</v>
      </c>
      <c r="B576" t="s">
        <v>476</v>
      </c>
      <c r="E576" t="s">
        <v>16</v>
      </c>
      <c r="F576">
        <v>16.559999999999999</v>
      </c>
      <c r="H576">
        <v>16.309999999999999</v>
      </c>
      <c r="J576">
        <v>0.72130000000000005</v>
      </c>
      <c r="K576" t="str">
        <f t="shared" si="30"/>
        <v>Admis sous condition</v>
      </c>
      <c r="L576" t="str" cm="1">
        <f t="array" ref="L576">_xlfn.IFS(H576&gt;=16,"Excellent",
               H576&gt;=14,"Très bien",
               H576&gt;=12,"Bien",
               H576&gt;=10,"Passable",
               TRUE,"Insuffisant")</f>
        <v>Excellent</v>
      </c>
      <c r="M576" t="str">
        <f t="shared" si="31"/>
        <v>RAS</v>
      </c>
      <c r="N576" t="str">
        <f t="shared" si="32"/>
        <v>Data</v>
      </c>
    </row>
    <row r="577" spans="1:14" x14ac:dyDescent="0.45">
      <c r="A577" t="s">
        <v>871</v>
      </c>
      <c r="B577" t="s">
        <v>872</v>
      </c>
      <c r="E577" t="s">
        <v>29</v>
      </c>
      <c r="F577">
        <v>11.14</v>
      </c>
      <c r="H577">
        <v>10.02</v>
      </c>
      <c r="J577">
        <v>0.72009999999999996</v>
      </c>
      <c r="K577" t="str">
        <f t="shared" si="30"/>
        <v>Admis sous condition</v>
      </c>
      <c r="L577" t="str" cm="1">
        <f t="array" ref="L577">_xlfn.IFS(H577&gt;=16,"Excellent",
               H577&gt;=14,"Très bien",
               H577&gt;=12,"Bien",
               H577&gt;=10,"Passable",
               TRUE,"Insuffisant")</f>
        <v>Passable</v>
      </c>
      <c r="M577" t="str">
        <f t="shared" si="31"/>
        <v>RAS</v>
      </c>
      <c r="N577" t="str">
        <f t="shared" si="32"/>
        <v>Autre filière</v>
      </c>
    </row>
    <row r="578" spans="1:14" x14ac:dyDescent="0.45">
      <c r="A578" t="s">
        <v>873</v>
      </c>
      <c r="B578" t="s">
        <v>874</v>
      </c>
      <c r="E578" t="s">
        <v>16</v>
      </c>
      <c r="F578">
        <v>12.15</v>
      </c>
      <c r="H578">
        <v>13.32</v>
      </c>
      <c r="J578">
        <v>0.61860000000000004</v>
      </c>
      <c r="K578" t="str">
        <f t="shared" si="30"/>
        <v>Admis sous condition</v>
      </c>
      <c r="L578" t="str" cm="1">
        <f t="array" ref="L578">_xlfn.IFS(H578&gt;=16,"Excellent",
               H578&gt;=14,"Très bien",
               H578&gt;=12,"Bien",
               H578&gt;=10,"Passable",
               TRUE,"Insuffisant")</f>
        <v>Bien</v>
      </c>
      <c r="M578" t="str">
        <f t="shared" si="31"/>
        <v>A surveiller</v>
      </c>
      <c r="N578" t="str">
        <f t="shared" si="32"/>
        <v>Data</v>
      </c>
    </row>
    <row r="579" spans="1:14" x14ac:dyDescent="0.45">
      <c r="A579" t="s">
        <v>875</v>
      </c>
      <c r="B579" t="s">
        <v>484</v>
      </c>
      <c r="E579" t="s">
        <v>16</v>
      </c>
      <c r="F579">
        <v>12.58</v>
      </c>
      <c r="H579">
        <v>19.43</v>
      </c>
      <c r="J579">
        <v>0.88939999999999997</v>
      </c>
      <c r="K579" t="str">
        <f t="shared" si="30"/>
        <v>Admis</v>
      </c>
      <c r="L579" t="str" cm="1">
        <f t="array" ref="L579">_xlfn.IFS(H579&gt;=16,"Excellent",
               H579&gt;=14,"Très bien",
               H579&gt;=12,"Bien",
               H579&gt;=10,"Passable",
               TRUE,"Insuffisant")</f>
        <v>Excellent</v>
      </c>
      <c r="M579" t="str">
        <f t="shared" si="31"/>
        <v>RAS</v>
      </c>
      <c r="N579" t="str">
        <f t="shared" si="32"/>
        <v>Data</v>
      </c>
    </row>
    <row r="580" spans="1:14" x14ac:dyDescent="0.45">
      <c r="A580" t="s">
        <v>876</v>
      </c>
      <c r="B580" t="s">
        <v>194</v>
      </c>
      <c r="E580" t="s">
        <v>29</v>
      </c>
      <c r="F580">
        <v>13.37</v>
      </c>
      <c r="H580">
        <v>14.03</v>
      </c>
      <c r="J580">
        <v>0.99139999999999995</v>
      </c>
      <c r="K580" t="str">
        <f t="shared" si="30"/>
        <v>Admis</v>
      </c>
      <c r="L580" t="str" cm="1">
        <f t="array" ref="L580">_xlfn.IFS(H580&gt;=16,"Excellent",
               H580&gt;=14,"Très bien",
               H580&gt;=12,"Bien",
               H580&gt;=10,"Passable",
               TRUE,"Insuffisant")</f>
        <v>Très bien</v>
      </c>
      <c r="M580" t="str">
        <f t="shared" si="31"/>
        <v>RAS</v>
      </c>
      <c r="N580" t="str">
        <f t="shared" si="32"/>
        <v>Autre filière</v>
      </c>
    </row>
    <row r="581" spans="1:14" x14ac:dyDescent="0.45">
      <c r="A581" t="s">
        <v>877</v>
      </c>
      <c r="B581" t="s">
        <v>526</v>
      </c>
      <c r="E581" t="s">
        <v>16</v>
      </c>
      <c r="F581">
        <v>7.41</v>
      </c>
      <c r="H581">
        <v>13.62</v>
      </c>
      <c r="J581">
        <v>0.75329999999999997</v>
      </c>
      <c r="K581" t="str">
        <f t="shared" si="30"/>
        <v>Refusé</v>
      </c>
      <c r="L581" t="str" cm="1">
        <f t="array" ref="L581">_xlfn.IFS(H581&gt;=16,"Excellent",
               H581&gt;=14,"Très bien",
               H581&gt;=12,"Bien",
               H581&gt;=10,"Passable",
               TRUE,"Insuffisant")</f>
        <v>Bien</v>
      </c>
      <c r="M581" t="str">
        <f t="shared" si="31"/>
        <v>A surveiller</v>
      </c>
      <c r="N581" t="str">
        <f t="shared" si="32"/>
        <v>Data</v>
      </c>
    </row>
    <row r="582" spans="1:14" x14ac:dyDescent="0.45">
      <c r="A582" t="s">
        <v>878</v>
      </c>
      <c r="B582" t="s">
        <v>425</v>
      </c>
      <c r="E582" t="s">
        <v>16</v>
      </c>
      <c r="F582">
        <v>7.98</v>
      </c>
      <c r="H582">
        <v>14.2</v>
      </c>
      <c r="J582">
        <v>0.68700000000000006</v>
      </c>
      <c r="K582" t="str">
        <f t="shared" si="30"/>
        <v>Refusé</v>
      </c>
      <c r="L582" t="str" cm="1">
        <f t="array" ref="L582">_xlfn.IFS(H582&gt;=16,"Excellent",
               H582&gt;=14,"Très bien",
               H582&gt;=12,"Bien",
               H582&gt;=10,"Passable",
               TRUE,"Insuffisant")</f>
        <v>Très bien</v>
      </c>
      <c r="M582" t="str">
        <f t="shared" si="31"/>
        <v>A surveiller</v>
      </c>
      <c r="N582" t="str">
        <f t="shared" si="32"/>
        <v>Data</v>
      </c>
    </row>
    <row r="583" spans="1:14" x14ac:dyDescent="0.45">
      <c r="A583" t="s">
        <v>879</v>
      </c>
      <c r="B583" t="s">
        <v>44</v>
      </c>
      <c r="E583" t="s">
        <v>29</v>
      </c>
      <c r="F583">
        <v>17.43</v>
      </c>
      <c r="H583">
        <v>18.43</v>
      </c>
      <c r="J583">
        <v>0.61609999999999998</v>
      </c>
      <c r="K583" t="str">
        <f t="shared" si="30"/>
        <v>Admis sous condition</v>
      </c>
      <c r="L583" t="str" cm="1">
        <f t="array" ref="L583">_xlfn.IFS(H583&gt;=16,"Excellent",
               H583&gt;=14,"Très bien",
               H583&gt;=12,"Bien",
               H583&gt;=10,"Passable",
               TRUE,"Insuffisant")</f>
        <v>Excellent</v>
      </c>
      <c r="M583" t="str">
        <f t="shared" si="31"/>
        <v>A surveiller</v>
      </c>
      <c r="N583" t="str">
        <f t="shared" si="32"/>
        <v>Autre filière</v>
      </c>
    </row>
    <row r="584" spans="1:14" x14ac:dyDescent="0.45">
      <c r="A584" t="s">
        <v>880</v>
      </c>
      <c r="B584" t="s">
        <v>351</v>
      </c>
      <c r="E584" t="s">
        <v>42</v>
      </c>
      <c r="F584">
        <v>11.73</v>
      </c>
      <c r="H584">
        <v>20</v>
      </c>
      <c r="J584">
        <v>0.71809999999999996</v>
      </c>
      <c r="K584" t="str">
        <f t="shared" si="30"/>
        <v>Admis sous condition</v>
      </c>
      <c r="L584" t="str" cm="1">
        <f t="array" ref="L584">_xlfn.IFS(H584&gt;=16,"Excellent",
               H584&gt;=14,"Très bien",
               H584&gt;=12,"Bien",
               H584&gt;=10,"Passable",
               TRUE,"Insuffisant")</f>
        <v>Excellent</v>
      </c>
      <c r="M584" t="str">
        <f t="shared" si="31"/>
        <v>RAS</v>
      </c>
      <c r="N584" t="str">
        <f t="shared" si="32"/>
        <v>Autre filière</v>
      </c>
    </row>
    <row r="585" spans="1:14" x14ac:dyDescent="0.45">
      <c r="A585" t="s">
        <v>881</v>
      </c>
      <c r="B585" t="s">
        <v>100</v>
      </c>
      <c r="E585" t="s">
        <v>16</v>
      </c>
      <c r="F585">
        <v>10.87</v>
      </c>
      <c r="H585">
        <v>10.98</v>
      </c>
      <c r="J585">
        <v>0.78890000000000005</v>
      </c>
      <c r="K585" t="str">
        <f t="shared" si="30"/>
        <v>Admis sous condition</v>
      </c>
      <c r="L585" t="str" cm="1">
        <f t="array" ref="L585">_xlfn.IFS(H585&gt;=16,"Excellent",
               H585&gt;=14,"Très bien",
               H585&gt;=12,"Bien",
               H585&gt;=10,"Passable",
               TRUE,"Insuffisant")</f>
        <v>Passable</v>
      </c>
      <c r="M585" t="str">
        <f t="shared" si="31"/>
        <v>RAS</v>
      </c>
      <c r="N585" t="str">
        <f t="shared" si="32"/>
        <v>Data</v>
      </c>
    </row>
    <row r="586" spans="1:14" x14ac:dyDescent="0.45">
      <c r="A586" t="s">
        <v>882</v>
      </c>
      <c r="B586" t="s">
        <v>522</v>
      </c>
      <c r="E586" t="s">
        <v>29</v>
      </c>
      <c r="F586">
        <v>9.93</v>
      </c>
      <c r="H586">
        <v>12.03</v>
      </c>
      <c r="J586">
        <v>0.79039999999999999</v>
      </c>
      <c r="K586" t="str">
        <f t="shared" si="30"/>
        <v>Refusé</v>
      </c>
      <c r="L586" t="str" cm="1">
        <f t="array" ref="L586">_xlfn.IFS(H586&gt;=16,"Excellent",
               H586&gt;=14,"Très bien",
               H586&gt;=12,"Bien",
               H586&gt;=10,"Passable",
               TRUE,"Insuffisant")</f>
        <v>Bien</v>
      </c>
      <c r="M586" t="str">
        <f t="shared" si="31"/>
        <v>A surveiller</v>
      </c>
      <c r="N586" t="str">
        <f t="shared" si="32"/>
        <v>Autre filière</v>
      </c>
    </row>
    <row r="587" spans="1:14" x14ac:dyDescent="0.45">
      <c r="A587" t="s">
        <v>883</v>
      </c>
      <c r="B587" t="s">
        <v>535</v>
      </c>
      <c r="E587" t="s">
        <v>16</v>
      </c>
      <c r="F587">
        <v>15.39</v>
      </c>
      <c r="H587">
        <v>14.21</v>
      </c>
      <c r="J587">
        <v>0.66379999999999995</v>
      </c>
      <c r="K587" t="str">
        <f t="shared" si="30"/>
        <v>Admis sous condition</v>
      </c>
      <c r="L587" t="str" cm="1">
        <f t="array" ref="L587">_xlfn.IFS(H587&gt;=16,"Excellent",
               H587&gt;=14,"Très bien",
               H587&gt;=12,"Bien",
               H587&gt;=10,"Passable",
               TRUE,"Insuffisant")</f>
        <v>Très bien</v>
      </c>
      <c r="M587" t="str">
        <f t="shared" si="31"/>
        <v>A surveiller</v>
      </c>
      <c r="N587" t="str">
        <f t="shared" si="32"/>
        <v>Data</v>
      </c>
    </row>
    <row r="588" spans="1:14" x14ac:dyDescent="0.45">
      <c r="A588" t="s">
        <v>884</v>
      </c>
      <c r="B588" t="s">
        <v>73</v>
      </c>
      <c r="E588" t="s">
        <v>16</v>
      </c>
      <c r="F588">
        <v>14.13</v>
      </c>
      <c r="H588">
        <v>11.45</v>
      </c>
      <c r="J588">
        <v>0.94240000000000002</v>
      </c>
      <c r="K588" t="str">
        <f t="shared" si="30"/>
        <v>Admis sous condition</v>
      </c>
      <c r="L588" t="str" cm="1">
        <f t="array" ref="L588">_xlfn.IFS(H588&gt;=16,"Excellent",
               H588&gt;=14,"Très bien",
               H588&gt;=12,"Bien",
               H588&gt;=10,"Passable",
               TRUE,"Insuffisant")</f>
        <v>Passable</v>
      </c>
      <c r="M588" t="str">
        <f t="shared" si="31"/>
        <v>RAS</v>
      </c>
      <c r="N588" t="str">
        <f t="shared" si="32"/>
        <v>Data</v>
      </c>
    </row>
    <row r="589" spans="1:14" x14ac:dyDescent="0.45">
      <c r="A589" t="s">
        <v>885</v>
      </c>
      <c r="B589" t="s">
        <v>445</v>
      </c>
      <c r="E589" t="s">
        <v>16</v>
      </c>
      <c r="F589">
        <v>7.43</v>
      </c>
      <c r="H589">
        <v>10.08</v>
      </c>
      <c r="J589">
        <v>0.86570000000000003</v>
      </c>
      <c r="K589" t="str">
        <f t="shared" si="30"/>
        <v>Refusé</v>
      </c>
      <c r="L589" t="str" cm="1">
        <f t="array" ref="L589">_xlfn.IFS(H589&gt;=16,"Excellent",
               H589&gt;=14,"Très bien",
               H589&gt;=12,"Bien",
               H589&gt;=10,"Passable",
               TRUE,"Insuffisant")</f>
        <v>Passable</v>
      </c>
      <c r="M589" t="str">
        <f t="shared" si="31"/>
        <v>A surveiller</v>
      </c>
      <c r="N589" t="str">
        <f t="shared" si="32"/>
        <v>Data</v>
      </c>
    </row>
    <row r="590" spans="1:14" x14ac:dyDescent="0.45">
      <c r="A590" t="s">
        <v>886</v>
      </c>
      <c r="B590" t="s">
        <v>71</v>
      </c>
      <c r="E590" t="s">
        <v>29</v>
      </c>
      <c r="F590">
        <v>9.7200000000000006</v>
      </c>
      <c r="H590">
        <v>10.52</v>
      </c>
      <c r="J590">
        <v>0.62649999999999995</v>
      </c>
      <c r="K590" t="str">
        <f t="shared" si="30"/>
        <v>Refusé</v>
      </c>
      <c r="L590" t="str" cm="1">
        <f t="array" ref="L590">_xlfn.IFS(H590&gt;=16,"Excellent",
               H590&gt;=14,"Très bien",
               H590&gt;=12,"Bien",
               H590&gt;=10,"Passable",
               TRUE,"Insuffisant")</f>
        <v>Passable</v>
      </c>
      <c r="M590" t="str">
        <f t="shared" si="31"/>
        <v>A surveiller</v>
      </c>
      <c r="N590" t="str">
        <f t="shared" si="32"/>
        <v>Autre filière</v>
      </c>
    </row>
    <row r="591" spans="1:14" x14ac:dyDescent="0.45">
      <c r="A591" t="s">
        <v>887</v>
      </c>
      <c r="B591" t="s">
        <v>669</v>
      </c>
      <c r="E591" t="s">
        <v>42</v>
      </c>
      <c r="F591">
        <v>12.79</v>
      </c>
      <c r="H591">
        <v>12.54</v>
      </c>
      <c r="J591">
        <v>0.91310000000000002</v>
      </c>
      <c r="K591" t="str">
        <f t="shared" si="30"/>
        <v>Admis</v>
      </c>
      <c r="L591" t="str" cm="1">
        <f t="array" ref="L591">_xlfn.IFS(H591&gt;=16,"Excellent",
               H591&gt;=14,"Très bien",
               H591&gt;=12,"Bien",
               H591&gt;=10,"Passable",
               TRUE,"Insuffisant")</f>
        <v>Bien</v>
      </c>
      <c r="M591" t="str">
        <f t="shared" si="31"/>
        <v>RAS</v>
      </c>
      <c r="N591" t="str">
        <f t="shared" si="32"/>
        <v>Autre filière</v>
      </c>
    </row>
    <row r="592" spans="1:14" x14ac:dyDescent="0.45">
      <c r="A592" t="s">
        <v>888</v>
      </c>
      <c r="B592" t="s">
        <v>207</v>
      </c>
      <c r="E592" t="s">
        <v>21</v>
      </c>
      <c r="F592">
        <v>15.08</v>
      </c>
      <c r="H592">
        <v>14.43</v>
      </c>
      <c r="J592">
        <v>0.75449999999999995</v>
      </c>
      <c r="K592" t="str">
        <f t="shared" si="30"/>
        <v>Admis sous condition</v>
      </c>
      <c r="L592" t="str" cm="1">
        <f t="array" ref="L592">_xlfn.IFS(H592&gt;=16,"Excellent",
               H592&gt;=14,"Très bien",
               H592&gt;=12,"Bien",
               H592&gt;=10,"Passable",
               TRUE,"Insuffisant")</f>
        <v>Très bien</v>
      </c>
      <c r="M592" t="str">
        <f t="shared" si="31"/>
        <v>RAS</v>
      </c>
      <c r="N592" t="str">
        <f t="shared" si="32"/>
        <v>Autre filière</v>
      </c>
    </row>
    <row r="593" spans="1:14" x14ac:dyDescent="0.45">
      <c r="A593" t="s">
        <v>889</v>
      </c>
      <c r="B593" t="s">
        <v>630</v>
      </c>
      <c r="E593" t="s">
        <v>42</v>
      </c>
      <c r="F593">
        <v>15.39</v>
      </c>
      <c r="H593">
        <v>14.45</v>
      </c>
      <c r="J593">
        <v>0.8861</v>
      </c>
      <c r="K593" t="str">
        <f t="shared" si="30"/>
        <v>Admis</v>
      </c>
      <c r="L593" t="str" cm="1">
        <f t="array" ref="L593">_xlfn.IFS(H593&gt;=16,"Excellent",
               H593&gt;=14,"Très bien",
               H593&gt;=12,"Bien",
               H593&gt;=10,"Passable",
               TRUE,"Insuffisant")</f>
        <v>Très bien</v>
      </c>
      <c r="M593" t="str">
        <f t="shared" si="31"/>
        <v>RAS</v>
      </c>
      <c r="N593" t="str">
        <f t="shared" si="32"/>
        <v>Autre filière</v>
      </c>
    </row>
    <row r="594" spans="1:14" x14ac:dyDescent="0.45">
      <c r="A594" t="s">
        <v>890</v>
      </c>
      <c r="B594" t="s">
        <v>872</v>
      </c>
      <c r="E594" t="s">
        <v>42</v>
      </c>
      <c r="F594">
        <v>15.89</v>
      </c>
      <c r="H594">
        <v>14.2</v>
      </c>
      <c r="J594">
        <v>0.6996</v>
      </c>
      <c r="K594" t="str">
        <f t="shared" si="30"/>
        <v>Admis sous condition</v>
      </c>
      <c r="L594" t="str" cm="1">
        <f t="array" ref="L594">_xlfn.IFS(H594&gt;=16,"Excellent",
               H594&gt;=14,"Très bien",
               H594&gt;=12,"Bien",
               H594&gt;=10,"Passable",
               TRUE,"Insuffisant")</f>
        <v>Très bien</v>
      </c>
      <c r="M594" t="str">
        <f t="shared" si="31"/>
        <v>A surveiller</v>
      </c>
      <c r="N594" t="str">
        <f t="shared" si="32"/>
        <v>Autre filière</v>
      </c>
    </row>
    <row r="595" spans="1:14" x14ac:dyDescent="0.45">
      <c r="A595" t="s">
        <v>891</v>
      </c>
      <c r="B595" t="s">
        <v>892</v>
      </c>
      <c r="E595" t="s">
        <v>21</v>
      </c>
      <c r="F595">
        <v>10.76</v>
      </c>
      <c r="H595">
        <v>12.3</v>
      </c>
      <c r="J595">
        <v>0.80689999999999995</v>
      </c>
      <c r="K595" t="str">
        <f t="shared" si="30"/>
        <v>Admis sous condition</v>
      </c>
      <c r="L595" t="str" cm="1">
        <f t="array" ref="L595">_xlfn.IFS(H595&gt;=16,"Excellent",
               H595&gt;=14,"Très bien",
               H595&gt;=12,"Bien",
               H595&gt;=10,"Passable",
               TRUE,"Insuffisant")</f>
        <v>Bien</v>
      </c>
      <c r="M595" t="str">
        <f t="shared" si="31"/>
        <v>RAS</v>
      </c>
      <c r="N595" t="str">
        <f t="shared" si="32"/>
        <v>Autre filière</v>
      </c>
    </row>
    <row r="596" spans="1:14" x14ac:dyDescent="0.45">
      <c r="A596" t="s">
        <v>893</v>
      </c>
      <c r="B596" t="s">
        <v>268</v>
      </c>
      <c r="E596" t="s">
        <v>29</v>
      </c>
      <c r="F596">
        <v>14.09</v>
      </c>
      <c r="H596">
        <v>9.85</v>
      </c>
      <c r="J596">
        <v>0.94950000000000001</v>
      </c>
      <c r="K596" t="str">
        <f t="shared" si="30"/>
        <v>Refusé</v>
      </c>
      <c r="L596" t="str" cm="1">
        <f t="array" ref="L596">_xlfn.IFS(H596&gt;=16,"Excellent",
               H596&gt;=14,"Très bien",
               H596&gt;=12,"Bien",
               H596&gt;=10,"Passable",
               TRUE,"Insuffisant")</f>
        <v>Insuffisant</v>
      </c>
      <c r="M596" t="str">
        <f t="shared" si="31"/>
        <v>A surveiller</v>
      </c>
      <c r="N596" t="str">
        <f t="shared" si="32"/>
        <v>Autre filière</v>
      </c>
    </row>
    <row r="597" spans="1:14" x14ac:dyDescent="0.45">
      <c r="A597" t="s">
        <v>894</v>
      </c>
      <c r="B597" t="s">
        <v>406</v>
      </c>
      <c r="E597" t="s">
        <v>21</v>
      </c>
      <c r="F597">
        <v>13.31</v>
      </c>
      <c r="H597">
        <v>8.2100000000000009</v>
      </c>
      <c r="J597">
        <v>0.86019999999999996</v>
      </c>
      <c r="K597" t="str">
        <f t="shared" si="30"/>
        <v>Refusé</v>
      </c>
      <c r="L597" t="str" cm="1">
        <f t="array" ref="L597">_xlfn.IFS(H597&gt;=16,"Excellent",
               H597&gt;=14,"Très bien",
               H597&gt;=12,"Bien",
               H597&gt;=10,"Passable",
               TRUE,"Insuffisant")</f>
        <v>Insuffisant</v>
      </c>
      <c r="M597" t="str">
        <f t="shared" si="31"/>
        <v>A surveiller</v>
      </c>
      <c r="N597" t="str">
        <f t="shared" si="32"/>
        <v>Autre filière</v>
      </c>
    </row>
    <row r="598" spans="1:14" x14ac:dyDescent="0.45">
      <c r="A598" t="s">
        <v>895</v>
      </c>
      <c r="B598" t="s">
        <v>704</v>
      </c>
      <c r="E598" t="s">
        <v>21</v>
      </c>
      <c r="F598">
        <v>12.07</v>
      </c>
      <c r="H598">
        <v>7.96</v>
      </c>
      <c r="J598">
        <v>0.59350000000000003</v>
      </c>
      <c r="K598" t="str">
        <f t="shared" si="30"/>
        <v>Refusé</v>
      </c>
      <c r="L598" t="str" cm="1">
        <f t="array" ref="L598">_xlfn.IFS(H598&gt;=16,"Excellent",
               H598&gt;=14,"Très bien",
               H598&gt;=12,"Bien",
               H598&gt;=10,"Passable",
               TRUE,"Insuffisant")</f>
        <v>Insuffisant</v>
      </c>
      <c r="M598" t="str">
        <f t="shared" si="31"/>
        <v>A surveiller</v>
      </c>
      <c r="N598" t="str">
        <f t="shared" si="32"/>
        <v>Autre filière</v>
      </c>
    </row>
    <row r="599" spans="1:14" x14ac:dyDescent="0.45">
      <c r="A599" t="s">
        <v>896</v>
      </c>
      <c r="B599" t="s">
        <v>799</v>
      </c>
      <c r="E599" t="s">
        <v>42</v>
      </c>
      <c r="F599">
        <v>10.52</v>
      </c>
      <c r="H599">
        <v>9.1199999999999992</v>
      </c>
      <c r="J599">
        <v>0.87170000000000003</v>
      </c>
      <c r="K599" t="str">
        <f t="shared" ref="K599:K662" si="33">IF(AND(F599&gt;=12,H599&gt;=12,J599&gt;=0.8),"Admis",
   IF(AND(F599&gt;=10,H599&gt;=10),"Admis sous condition","Refusé"))</f>
        <v>Refusé</v>
      </c>
      <c r="L599" t="str" cm="1">
        <f t="array" ref="L599">_xlfn.IFS(H599&gt;=16,"Excellent",
               H599&gt;=14,"Très bien",
               H599&gt;=12,"Bien",
               H599&gt;=10,"Passable",
               TRUE,"Insuffisant")</f>
        <v>Insuffisant</v>
      </c>
      <c r="M599" t="str">
        <f t="shared" ref="M599:M662" si="34">IF(OR(F599&lt;10,H599&lt;10,J599&lt;0.7),"A surveiller","RAS")</f>
        <v>A surveiller</v>
      </c>
      <c r="N599" t="str">
        <f t="shared" ref="N599:N662" si="35">IF(NOT(E599="Data"),"Autre filière","Data")</f>
        <v>Autre filière</v>
      </c>
    </row>
    <row r="600" spans="1:14" x14ac:dyDescent="0.45">
      <c r="A600" t="s">
        <v>897</v>
      </c>
      <c r="B600" t="s">
        <v>55</v>
      </c>
      <c r="E600" t="s">
        <v>21</v>
      </c>
      <c r="F600">
        <v>11.09</v>
      </c>
      <c r="H600">
        <v>12.83</v>
      </c>
      <c r="J600">
        <v>0.76070000000000004</v>
      </c>
      <c r="K600" t="str">
        <f t="shared" si="33"/>
        <v>Admis sous condition</v>
      </c>
      <c r="L600" t="str" cm="1">
        <f t="array" ref="L600">_xlfn.IFS(H600&gt;=16,"Excellent",
               H600&gt;=14,"Très bien",
               H600&gt;=12,"Bien",
               H600&gt;=10,"Passable",
               TRUE,"Insuffisant")</f>
        <v>Bien</v>
      </c>
      <c r="M600" t="str">
        <f t="shared" si="34"/>
        <v>RAS</v>
      </c>
      <c r="N600" t="str">
        <f t="shared" si="35"/>
        <v>Autre filière</v>
      </c>
    </row>
    <row r="601" spans="1:14" x14ac:dyDescent="0.45">
      <c r="A601" t="s">
        <v>898</v>
      </c>
      <c r="B601" t="s">
        <v>386</v>
      </c>
      <c r="E601" t="s">
        <v>16</v>
      </c>
      <c r="F601">
        <v>6.42</v>
      </c>
      <c r="H601">
        <v>10.92</v>
      </c>
      <c r="J601">
        <v>0.94220000000000004</v>
      </c>
      <c r="K601" t="str">
        <f t="shared" si="33"/>
        <v>Refusé</v>
      </c>
      <c r="L601" t="str" cm="1">
        <f t="array" ref="L601">_xlfn.IFS(H601&gt;=16,"Excellent",
               H601&gt;=14,"Très bien",
               H601&gt;=12,"Bien",
               H601&gt;=10,"Passable",
               TRUE,"Insuffisant")</f>
        <v>Passable</v>
      </c>
      <c r="M601" t="str">
        <f t="shared" si="34"/>
        <v>A surveiller</v>
      </c>
      <c r="N601" t="str">
        <f t="shared" si="35"/>
        <v>Data</v>
      </c>
    </row>
    <row r="602" spans="1:14" x14ac:dyDescent="0.45">
      <c r="A602" t="s">
        <v>899</v>
      </c>
      <c r="B602" t="s">
        <v>295</v>
      </c>
      <c r="E602" t="s">
        <v>21</v>
      </c>
      <c r="F602">
        <v>11.63</v>
      </c>
      <c r="H602">
        <v>16.5</v>
      </c>
      <c r="J602">
        <v>0.89649999999999996</v>
      </c>
      <c r="K602" t="str">
        <f t="shared" si="33"/>
        <v>Admis sous condition</v>
      </c>
      <c r="L602" t="str" cm="1">
        <f t="array" ref="L602">_xlfn.IFS(H602&gt;=16,"Excellent",
               H602&gt;=14,"Très bien",
               H602&gt;=12,"Bien",
               H602&gt;=10,"Passable",
               TRUE,"Insuffisant")</f>
        <v>Excellent</v>
      </c>
      <c r="M602" t="str">
        <f t="shared" si="34"/>
        <v>RAS</v>
      </c>
      <c r="N602" t="str">
        <f t="shared" si="35"/>
        <v>Autre filière</v>
      </c>
    </row>
    <row r="603" spans="1:14" x14ac:dyDescent="0.45">
      <c r="A603" t="s">
        <v>900</v>
      </c>
      <c r="B603" t="s">
        <v>583</v>
      </c>
      <c r="E603" t="s">
        <v>42</v>
      </c>
      <c r="F603">
        <v>16.239999999999998</v>
      </c>
      <c r="H603">
        <v>17.399999999999999</v>
      </c>
      <c r="J603">
        <v>0.9133</v>
      </c>
      <c r="K603" t="str">
        <f t="shared" si="33"/>
        <v>Admis</v>
      </c>
      <c r="L603" t="str" cm="1">
        <f t="array" ref="L603">_xlfn.IFS(H603&gt;=16,"Excellent",
               H603&gt;=14,"Très bien",
               H603&gt;=12,"Bien",
               H603&gt;=10,"Passable",
               TRUE,"Insuffisant")</f>
        <v>Excellent</v>
      </c>
      <c r="M603" t="str">
        <f t="shared" si="34"/>
        <v>RAS</v>
      </c>
      <c r="N603" t="str">
        <f t="shared" si="35"/>
        <v>Autre filière</v>
      </c>
    </row>
    <row r="604" spans="1:14" x14ac:dyDescent="0.45">
      <c r="A604" t="s">
        <v>901</v>
      </c>
      <c r="B604" t="s">
        <v>902</v>
      </c>
      <c r="E604" t="s">
        <v>16</v>
      </c>
      <c r="F604">
        <v>8.75</v>
      </c>
      <c r="H604">
        <v>11.61</v>
      </c>
      <c r="J604">
        <v>0.73009999999999997</v>
      </c>
      <c r="K604" t="str">
        <f t="shared" si="33"/>
        <v>Refusé</v>
      </c>
      <c r="L604" t="str" cm="1">
        <f t="array" ref="L604">_xlfn.IFS(H604&gt;=16,"Excellent",
               H604&gt;=14,"Très bien",
               H604&gt;=12,"Bien",
               H604&gt;=10,"Passable",
               TRUE,"Insuffisant")</f>
        <v>Passable</v>
      </c>
      <c r="M604" t="str">
        <f t="shared" si="34"/>
        <v>A surveiller</v>
      </c>
      <c r="N604" t="str">
        <f t="shared" si="35"/>
        <v>Data</v>
      </c>
    </row>
    <row r="605" spans="1:14" x14ac:dyDescent="0.45">
      <c r="A605" t="s">
        <v>903</v>
      </c>
      <c r="B605" t="s">
        <v>109</v>
      </c>
      <c r="E605" t="s">
        <v>16</v>
      </c>
      <c r="F605">
        <v>13.74</v>
      </c>
      <c r="H605">
        <v>15.11</v>
      </c>
      <c r="J605">
        <v>0.91159999999999997</v>
      </c>
      <c r="K605" t="str">
        <f t="shared" si="33"/>
        <v>Admis</v>
      </c>
      <c r="L605" t="str" cm="1">
        <f t="array" ref="L605">_xlfn.IFS(H605&gt;=16,"Excellent",
               H605&gt;=14,"Très bien",
               H605&gt;=12,"Bien",
               H605&gt;=10,"Passable",
               TRUE,"Insuffisant")</f>
        <v>Très bien</v>
      </c>
      <c r="M605" t="str">
        <f t="shared" si="34"/>
        <v>RAS</v>
      </c>
      <c r="N605" t="str">
        <f t="shared" si="35"/>
        <v>Data</v>
      </c>
    </row>
    <row r="606" spans="1:14" x14ac:dyDescent="0.45">
      <c r="A606" t="s">
        <v>904</v>
      </c>
      <c r="B606" t="s">
        <v>233</v>
      </c>
      <c r="E606" t="s">
        <v>42</v>
      </c>
      <c r="F606">
        <v>15.17</v>
      </c>
      <c r="H606">
        <v>13.55</v>
      </c>
      <c r="J606">
        <v>0.55000000000000004</v>
      </c>
      <c r="K606" t="str">
        <f t="shared" si="33"/>
        <v>Admis sous condition</v>
      </c>
      <c r="L606" t="str" cm="1">
        <f t="array" ref="L606">_xlfn.IFS(H606&gt;=16,"Excellent",
               H606&gt;=14,"Très bien",
               H606&gt;=12,"Bien",
               H606&gt;=10,"Passable",
               TRUE,"Insuffisant")</f>
        <v>Bien</v>
      </c>
      <c r="M606" t="str">
        <f t="shared" si="34"/>
        <v>A surveiller</v>
      </c>
      <c r="N606" t="str">
        <f t="shared" si="35"/>
        <v>Autre filière</v>
      </c>
    </row>
    <row r="607" spans="1:14" x14ac:dyDescent="0.45">
      <c r="A607" t="s">
        <v>905</v>
      </c>
      <c r="B607" t="s">
        <v>906</v>
      </c>
      <c r="E607" t="s">
        <v>29</v>
      </c>
      <c r="F607">
        <v>11.84</v>
      </c>
      <c r="H607">
        <v>17.07</v>
      </c>
      <c r="J607">
        <v>0.9637</v>
      </c>
      <c r="K607" t="str">
        <f t="shared" si="33"/>
        <v>Admis sous condition</v>
      </c>
      <c r="L607" t="str" cm="1">
        <f t="array" ref="L607">_xlfn.IFS(H607&gt;=16,"Excellent",
               H607&gt;=14,"Très bien",
               H607&gt;=12,"Bien",
               H607&gt;=10,"Passable",
               TRUE,"Insuffisant")</f>
        <v>Excellent</v>
      </c>
      <c r="M607" t="str">
        <f t="shared" si="34"/>
        <v>RAS</v>
      </c>
      <c r="N607" t="str">
        <f t="shared" si="35"/>
        <v>Autre filière</v>
      </c>
    </row>
    <row r="608" spans="1:14" x14ac:dyDescent="0.45">
      <c r="A608" t="s">
        <v>907</v>
      </c>
      <c r="B608" t="s">
        <v>827</v>
      </c>
      <c r="E608" t="s">
        <v>29</v>
      </c>
      <c r="F608">
        <v>12.94</v>
      </c>
      <c r="H608">
        <v>15.69</v>
      </c>
      <c r="J608">
        <v>0.66120000000000001</v>
      </c>
      <c r="K608" t="str">
        <f t="shared" si="33"/>
        <v>Admis sous condition</v>
      </c>
      <c r="L608" t="str" cm="1">
        <f t="array" ref="L608">_xlfn.IFS(H608&gt;=16,"Excellent",
               H608&gt;=14,"Très bien",
               H608&gt;=12,"Bien",
               H608&gt;=10,"Passable",
               TRUE,"Insuffisant")</f>
        <v>Très bien</v>
      </c>
      <c r="M608" t="str">
        <f t="shared" si="34"/>
        <v>A surveiller</v>
      </c>
      <c r="N608" t="str">
        <f t="shared" si="35"/>
        <v>Autre filière</v>
      </c>
    </row>
    <row r="609" spans="1:14" x14ac:dyDescent="0.45">
      <c r="A609" t="s">
        <v>908</v>
      </c>
      <c r="B609" t="s">
        <v>909</v>
      </c>
      <c r="E609" t="s">
        <v>29</v>
      </c>
      <c r="F609">
        <v>9.85</v>
      </c>
      <c r="H609">
        <v>10.46</v>
      </c>
      <c r="J609">
        <v>0.84309999999999996</v>
      </c>
      <c r="K609" t="str">
        <f t="shared" si="33"/>
        <v>Refusé</v>
      </c>
      <c r="L609" t="str" cm="1">
        <f t="array" ref="L609">_xlfn.IFS(H609&gt;=16,"Excellent",
               H609&gt;=14,"Très bien",
               H609&gt;=12,"Bien",
               H609&gt;=10,"Passable",
               TRUE,"Insuffisant")</f>
        <v>Passable</v>
      </c>
      <c r="M609" t="str">
        <f t="shared" si="34"/>
        <v>A surveiller</v>
      </c>
      <c r="N609" t="str">
        <f t="shared" si="35"/>
        <v>Autre filière</v>
      </c>
    </row>
    <row r="610" spans="1:14" x14ac:dyDescent="0.45">
      <c r="A610" t="s">
        <v>910</v>
      </c>
      <c r="B610" t="s">
        <v>647</v>
      </c>
      <c r="E610" t="s">
        <v>21</v>
      </c>
      <c r="F610">
        <v>8.42</v>
      </c>
      <c r="H610">
        <v>12.96</v>
      </c>
      <c r="J610">
        <v>0.75800000000000001</v>
      </c>
      <c r="K610" t="str">
        <f t="shared" si="33"/>
        <v>Refusé</v>
      </c>
      <c r="L610" t="str" cm="1">
        <f t="array" ref="L610">_xlfn.IFS(H610&gt;=16,"Excellent",
               H610&gt;=14,"Très bien",
               H610&gt;=12,"Bien",
               H610&gt;=10,"Passable",
               TRUE,"Insuffisant")</f>
        <v>Bien</v>
      </c>
      <c r="M610" t="str">
        <f t="shared" si="34"/>
        <v>A surveiller</v>
      </c>
      <c r="N610" t="str">
        <f t="shared" si="35"/>
        <v>Autre filière</v>
      </c>
    </row>
    <row r="611" spans="1:14" x14ac:dyDescent="0.45">
      <c r="A611" t="s">
        <v>911</v>
      </c>
      <c r="B611" t="s">
        <v>317</v>
      </c>
      <c r="E611" t="s">
        <v>29</v>
      </c>
      <c r="F611">
        <v>16.73</v>
      </c>
      <c r="H611">
        <v>8.6199999999999992</v>
      </c>
      <c r="J611">
        <v>0.86609999999999998</v>
      </c>
      <c r="K611" t="str">
        <f t="shared" si="33"/>
        <v>Refusé</v>
      </c>
      <c r="L611" t="str" cm="1">
        <f t="array" ref="L611">_xlfn.IFS(H611&gt;=16,"Excellent",
               H611&gt;=14,"Très bien",
               H611&gt;=12,"Bien",
               H611&gt;=10,"Passable",
               TRUE,"Insuffisant")</f>
        <v>Insuffisant</v>
      </c>
      <c r="M611" t="str">
        <f t="shared" si="34"/>
        <v>A surveiller</v>
      </c>
      <c r="N611" t="str">
        <f t="shared" si="35"/>
        <v>Autre filière</v>
      </c>
    </row>
    <row r="612" spans="1:14" x14ac:dyDescent="0.45">
      <c r="A612" t="s">
        <v>912</v>
      </c>
      <c r="B612" t="s">
        <v>374</v>
      </c>
      <c r="E612" t="s">
        <v>16</v>
      </c>
      <c r="F612">
        <v>18.38</v>
      </c>
      <c r="H612">
        <v>15.94</v>
      </c>
      <c r="J612">
        <v>0.55000000000000004</v>
      </c>
      <c r="K612" t="str">
        <f t="shared" si="33"/>
        <v>Admis sous condition</v>
      </c>
      <c r="L612" t="str" cm="1">
        <f t="array" ref="L612">_xlfn.IFS(H612&gt;=16,"Excellent",
               H612&gt;=14,"Très bien",
               H612&gt;=12,"Bien",
               H612&gt;=10,"Passable",
               TRUE,"Insuffisant")</f>
        <v>Très bien</v>
      </c>
      <c r="M612" t="str">
        <f t="shared" si="34"/>
        <v>A surveiller</v>
      </c>
      <c r="N612" t="str">
        <f t="shared" si="35"/>
        <v>Data</v>
      </c>
    </row>
    <row r="613" spans="1:14" x14ac:dyDescent="0.45">
      <c r="A613" t="s">
        <v>913</v>
      </c>
      <c r="B613" t="s">
        <v>63</v>
      </c>
      <c r="E613" t="s">
        <v>29</v>
      </c>
      <c r="F613">
        <v>7.94</v>
      </c>
      <c r="H613">
        <v>6.83</v>
      </c>
      <c r="J613">
        <v>0.74650000000000005</v>
      </c>
      <c r="K613" t="str">
        <f t="shared" si="33"/>
        <v>Refusé</v>
      </c>
      <c r="L613" t="str" cm="1">
        <f t="array" ref="L613">_xlfn.IFS(H613&gt;=16,"Excellent",
               H613&gt;=14,"Très bien",
               H613&gt;=12,"Bien",
               H613&gt;=10,"Passable",
               TRUE,"Insuffisant")</f>
        <v>Insuffisant</v>
      </c>
      <c r="M613" t="str">
        <f t="shared" si="34"/>
        <v>A surveiller</v>
      </c>
      <c r="N613" t="str">
        <f t="shared" si="35"/>
        <v>Autre filière</v>
      </c>
    </row>
    <row r="614" spans="1:14" x14ac:dyDescent="0.45">
      <c r="A614" t="s">
        <v>914</v>
      </c>
      <c r="B614" t="s">
        <v>691</v>
      </c>
      <c r="E614" t="s">
        <v>16</v>
      </c>
      <c r="F614">
        <v>18.420000000000002</v>
      </c>
      <c r="H614">
        <v>17.2</v>
      </c>
      <c r="J614">
        <v>0.55000000000000004</v>
      </c>
      <c r="K614" t="str">
        <f t="shared" si="33"/>
        <v>Admis sous condition</v>
      </c>
      <c r="L614" t="str" cm="1">
        <f t="array" ref="L614">_xlfn.IFS(H614&gt;=16,"Excellent",
               H614&gt;=14,"Très bien",
               H614&gt;=12,"Bien",
               H614&gt;=10,"Passable",
               TRUE,"Insuffisant")</f>
        <v>Excellent</v>
      </c>
      <c r="M614" t="str">
        <f t="shared" si="34"/>
        <v>A surveiller</v>
      </c>
      <c r="N614" t="str">
        <f t="shared" si="35"/>
        <v>Data</v>
      </c>
    </row>
    <row r="615" spans="1:14" x14ac:dyDescent="0.45">
      <c r="A615" t="s">
        <v>915</v>
      </c>
      <c r="B615" t="s">
        <v>155</v>
      </c>
      <c r="E615" t="s">
        <v>42</v>
      </c>
      <c r="F615">
        <v>13.53</v>
      </c>
      <c r="H615">
        <v>20</v>
      </c>
      <c r="J615">
        <v>0.96399999999999997</v>
      </c>
      <c r="K615" t="str">
        <f t="shared" si="33"/>
        <v>Admis</v>
      </c>
      <c r="L615" t="str" cm="1">
        <f t="array" ref="L615">_xlfn.IFS(H615&gt;=16,"Excellent",
               H615&gt;=14,"Très bien",
               H615&gt;=12,"Bien",
               H615&gt;=10,"Passable",
               TRUE,"Insuffisant")</f>
        <v>Excellent</v>
      </c>
      <c r="M615" t="str">
        <f t="shared" si="34"/>
        <v>RAS</v>
      </c>
      <c r="N615" t="str">
        <f t="shared" si="35"/>
        <v>Autre filière</v>
      </c>
    </row>
    <row r="616" spans="1:14" x14ac:dyDescent="0.45">
      <c r="A616" t="s">
        <v>916</v>
      </c>
      <c r="B616" t="s">
        <v>917</v>
      </c>
      <c r="E616" t="s">
        <v>21</v>
      </c>
      <c r="F616">
        <v>13.05</v>
      </c>
      <c r="H616">
        <v>10.08</v>
      </c>
      <c r="J616">
        <v>0.73899999999999999</v>
      </c>
      <c r="K616" t="str">
        <f t="shared" si="33"/>
        <v>Admis sous condition</v>
      </c>
      <c r="L616" t="str" cm="1">
        <f t="array" ref="L616">_xlfn.IFS(H616&gt;=16,"Excellent",
               H616&gt;=14,"Très bien",
               H616&gt;=12,"Bien",
               H616&gt;=10,"Passable",
               TRUE,"Insuffisant")</f>
        <v>Passable</v>
      </c>
      <c r="M616" t="str">
        <f t="shared" si="34"/>
        <v>RAS</v>
      </c>
      <c r="N616" t="str">
        <f t="shared" si="35"/>
        <v>Autre filière</v>
      </c>
    </row>
    <row r="617" spans="1:14" x14ac:dyDescent="0.45">
      <c r="A617" t="s">
        <v>918</v>
      </c>
      <c r="B617" t="s">
        <v>771</v>
      </c>
      <c r="E617" t="s">
        <v>21</v>
      </c>
      <c r="F617">
        <v>15.85</v>
      </c>
      <c r="H617">
        <v>18.350000000000001</v>
      </c>
      <c r="J617">
        <v>0.80759999999999998</v>
      </c>
      <c r="K617" t="str">
        <f t="shared" si="33"/>
        <v>Admis</v>
      </c>
      <c r="L617" t="str" cm="1">
        <f t="array" ref="L617">_xlfn.IFS(H617&gt;=16,"Excellent",
               H617&gt;=14,"Très bien",
               H617&gt;=12,"Bien",
               H617&gt;=10,"Passable",
               TRUE,"Insuffisant")</f>
        <v>Excellent</v>
      </c>
      <c r="M617" t="str">
        <f t="shared" si="34"/>
        <v>RAS</v>
      </c>
      <c r="N617" t="str">
        <f t="shared" si="35"/>
        <v>Autre filière</v>
      </c>
    </row>
    <row r="618" spans="1:14" x14ac:dyDescent="0.45">
      <c r="A618" t="s">
        <v>919</v>
      </c>
      <c r="B618" t="s">
        <v>920</v>
      </c>
      <c r="E618" t="s">
        <v>42</v>
      </c>
      <c r="F618">
        <v>9.52</v>
      </c>
      <c r="H618">
        <v>9.15</v>
      </c>
      <c r="J618">
        <v>0.85309999999999997</v>
      </c>
      <c r="K618" t="str">
        <f t="shared" si="33"/>
        <v>Refusé</v>
      </c>
      <c r="L618" t="str" cm="1">
        <f t="array" ref="L618">_xlfn.IFS(H618&gt;=16,"Excellent",
               H618&gt;=14,"Très bien",
               H618&gt;=12,"Bien",
               H618&gt;=10,"Passable",
               TRUE,"Insuffisant")</f>
        <v>Insuffisant</v>
      </c>
      <c r="M618" t="str">
        <f t="shared" si="34"/>
        <v>A surveiller</v>
      </c>
      <c r="N618" t="str">
        <f t="shared" si="35"/>
        <v>Autre filière</v>
      </c>
    </row>
    <row r="619" spans="1:14" x14ac:dyDescent="0.45">
      <c r="A619" t="s">
        <v>921</v>
      </c>
      <c r="B619" t="s">
        <v>922</v>
      </c>
      <c r="E619" t="s">
        <v>21</v>
      </c>
      <c r="F619">
        <v>13.83</v>
      </c>
      <c r="H619">
        <v>10.86</v>
      </c>
      <c r="J619">
        <v>0.77849999999999997</v>
      </c>
      <c r="K619" t="str">
        <f t="shared" si="33"/>
        <v>Admis sous condition</v>
      </c>
      <c r="L619" t="str" cm="1">
        <f t="array" ref="L619">_xlfn.IFS(H619&gt;=16,"Excellent",
               H619&gt;=14,"Très bien",
               H619&gt;=12,"Bien",
               H619&gt;=10,"Passable",
               TRUE,"Insuffisant")</f>
        <v>Passable</v>
      </c>
      <c r="M619" t="str">
        <f t="shared" si="34"/>
        <v>RAS</v>
      </c>
      <c r="N619" t="str">
        <f t="shared" si="35"/>
        <v>Autre filière</v>
      </c>
    </row>
    <row r="620" spans="1:14" x14ac:dyDescent="0.45">
      <c r="A620" t="s">
        <v>923</v>
      </c>
      <c r="B620" t="s">
        <v>924</v>
      </c>
      <c r="E620" t="s">
        <v>29</v>
      </c>
      <c r="F620">
        <v>6.53</v>
      </c>
      <c r="H620">
        <v>8.65</v>
      </c>
      <c r="J620">
        <v>0.64100000000000001</v>
      </c>
      <c r="K620" t="str">
        <f t="shared" si="33"/>
        <v>Refusé</v>
      </c>
      <c r="L620" t="str" cm="1">
        <f t="array" ref="L620">_xlfn.IFS(H620&gt;=16,"Excellent",
               H620&gt;=14,"Très bien",
               H620&gt;=12,"Bien",
               H620&gt;=10,"Passable",
               TRUE,"Insuffisant")</f>
        <v>Insuffisant</v>
      </c>
      <c r="M620" t="str">
        <f t="shared" si="34"/>
        <v>A surveiller</v>
      </c>
      <c r="N620" t="str">
        <f t="shared" si="35"/>
        <v>Autre filière</v>
      </c>
    </row>
    <row r="621" spans="1:14" x14ac:dyDescent="0.45">
      <c r="A621" t="s">
        <v>925</v>
      </c>
      <c r="B621" t="s">
        <v>180</v>
      </c>
      <c r="E621" t="s">
        <v>42</v>
      </c>
      <c r="F621">
        <v>8.4600000000000009</v>
      </c>
      <c r="H621">
        <v>6.44</v>
      </c>
      <c r="J621">
        <v>0.92290000000000005</v>
      </c>
      <c r="K621" t="str">
        <f t="shared" si="33"/>
        <v>Refusé</v>
      </c>
      <c r="L621" t="str" cm="1">
        <f t="array" ref="L621">_xlfn.IFS(H621&gt;=16,"Excellent",
               H621&gt;=14,"Très bien",
               H621&gt;=12,"Bien",
               H621&gt;=10,"Passable",
               TRUE,"Insuffisant")</f>
        <v>Insuffisant</v>
      </c>
      <c r="M621" t="str">
        <f t="shared" si="34"/>
        <v>A surveiller</v>
      </c>
      <c r="N621" t="str">
        <f t="shared" si="35"/>
        <v>Autre filière</v>
      </c>
    </row>
    <row r="622" spans="1:14" x14ac:dyDescent="0.45">
      <c r="A622" t="s">
        <v>926</v>
      </c>
      <c r="B622" t="s">
        <v>425</v>
      </c>
      <c r="E622" t="s">
        <v>16</v>
      </c>
      <c r="F622">
        <v>18.47</v>
      </c>
      <c r="H622">
        <v>12.91</v>
      </c>
      <c r="J622">
        <v>0.88260000000000005</v>
      </c>
      <c r="K622" t="str">
        <f t="shared" si="33"/>
        <v>Admis</v>
      </c>
      <c r="L622" t="str" cm="1">
        <f t="array" ref="L622">_xlfn.IFS(H622&gt;=16,"Excellent",
               H622&gt;=14,"Très bien",
               H622&gt;=12,"Bien",
               H622&gt;=10,"Passable",
               TRUE,"Insuffisant")</f>
        <v>Bien</v>
      </c>
      <c r="M622" t="str">
        <f t="shared" si="34"/>
        <v>RAS</v>
      </c>
      <c r="N622" t="str">
        <f t="shared" si="35"/>
        <v>Data</v>
      </c>
    </row>
    <row r="623" spans="1:14" x14ac:dyDescent="0.45">
      <c r="A623" t="s">
        <v>927</v>
      </c>
      <c r="B623" t="s">
        <v>204</v>
      </c>
      <c r="E623" t="s">
        <v>42</v>
      </c>
      <c r="F623">
        <v>11.34</v>
      </c>
      <c r="H623">
        <v>12.37</v>
      </c>
      <c r="J623">
        <v>0.9829</v>
      </c>
      <c r="K623" t="str">
        <f t="shared" si="33"/>
        <v>Admis sous condition</v>
      </c>
      <c r="L623" t="str" cm="1">
        <f t="array" ref="L623">_xlfn.IFS(H623&gt;=16,"Excellent",
               H623&gt;=14,"Très bien",
               H623&gt;=12,"Bien",
               H623&gt;=10,"Passable",
               TRUE,"Insuffisant")</f>
        <v>Bien</v>
      </c>
      <c r="M623" t="str">
        <f t="shared" si="34"/>
        <v>RAS</v>
      </c>
      <c r="N623" t="str">
        <f t="shared" si="35"/>
        <v>Autre filière</v>
      </c>
    </row>
    <row r="624" spans="1:14" x14ac:dyDescent="0.45">
      <c r="A624" t="s">
        <v>928</v>
      </c>
      <c r="B624" t="s">
        <v>364</v>
      </c>
      <c r="E624" t="s">
        <v>42</v>
      </c>
      <c r="F624">
        <v>8.15</v>
      </c>
      <c r="H624">
        <v>13.92</v>
      </c>
      <c r="J624">
        <v>0.95050000000000001</v>
      </c>
      <c r="K624" t="str">
        <f t="shared" si="33"/>
        <v>Refusé</v>
      </c>
      <c r="L624" t="str" cm="1">
        <f t="array" ref="L624">_xlfn.IFS(H624&gt;=16,"Excellent",
               H624&gt;=14,"Très bien",
               H624&gt;=12,"Bien",
               H624&gt;=10,"Passable",
               TRUE,"Insuffisant")</f>
        <v>Bien</v>
      </c>
      <c r="M624" t="str">
        <f t="shared" si="34"/>
        <v>A surveiller</v>
      </c>
      <c r="N624" t="str">
        <f t="shared" si="35"/>
        <v>Autre filière</v>
      </c>
    </row>
    <row r="625" spans="1:14" x14ac:dyDescent="0.45">
      <c r="A625" t="s">
        <v>929</v>
      </c>
      <c r="B625" t="s">
        <v>158</v>
      </c>
      <c r="E625" t="s">
        <v>16</v>
      </c>
      <c r="F625">
        <v>7.49</v>
      </c>
      <c r="H625">
        <v>12.14</v>
      </c>
      <c r="J625">
        <v>0.87350000000000005</v>
      </c>
      <c r="K625" t="str">
        <f t="shared" si="33"/>
        <v>Refusé</v>
      </c>
      <c r="L625" t="str" cm="1">
        <f t="array" ref="L625">_xlfn.IFS(H625&gt;=16,"Excellent",
               H625&gt;=14,"Très bien",
               H625&gt;=12,"Bien",
               H625&gt;=10,"Passable",
               TRUE,"Insuffisant")</f>
        <v>Bien</v>
      </c>
      <c r="M625" t="str">
        <f t="shared" si="34"/>
        <v>A surveiller</v>
      </c>
      <c r="N625" t="str">
        <f t="shared" si="35"/>
        <v>Data</v>
      </c>
    </row>
    <row r="626" spans="1:14" x14ac:dyDescent="0.45">
      <c r="A626" t="s">
        <v>930</v>
      </c>
      <c r="B626" t="s">
        <v>53</v>
      </c>
      <c r="E626" t="s">
        <v>42</v>
      </c>
      <c r="F626">
        <v>10.79</v>
      </c>
      <c r="H626">
        <v>8.8000000000000007</v>
      </c>
      <c r="J626">
        <v>0.75249999999999995</v>
      </c>
      <c r="K626" t="str">
        <f t="shared" si="33"/>
        <v>Refusé</v>
      </c>
      <c r="L626" t="str" cm="1">
        <f t="array" ref="L626">_xlfn.IFS(H626&gt;=16,"Excellent",
               H626&gt;=14,"Très bien",
               H626&gt;=12,"Bien",
               H626&gt;=10,"Passable",
               TRUE,"Insuffisant")</f>
        <v>Insuffisant</v>
      </c>
      <c r="M626" t="str">
        <f t="shared" si="34"/>
        <v>A surveiller</v>
      </c>
      <c r="N626" t="str">
        <f t="shared" si="35"/>
        <v>Autre filière</v>
      </c>
    </row>
    <row r="627" spans="1:14" x14ac:dyDescent="0.45">
      <c r="A627" t="s">
        <v>931</v>
      </c>
      <c r="B627" t="s">
        <v>731</v>
      </c>
      <c r="E627" t="s">
        <v>42</v>
      </c>
      <c r="F627">
        <v>13.06</v>
      </c>
      <c r="H627">
        <v>13.13</v>
      </c>
      <c r="J627">
        <v>0.98350000000000004</v>
      </c>
      <c r="K627" t="str">
        <f t="shared" si="33"/>
        <v>Admis</v>
      </c>
      <c r="L627" t="str" cm="1">
        <f t="array" ref="L627">_xlfn.IFS(H627&gt;=16,"Excellent",
               H627&gt;=14,"Très bien",
               H627&gt;=12,"Bien",
               H627&gt;=10,"Passable",
               TRUE,"Insuffisant")</f>
        <v>Bien</v>
      </c>
      <c r="M627" t="str">
        <f t="shared" si="34"/>
        <v>RAS</v>
      </c>
      <c r="N627" t="str">
        <f t="shared" si="35"/>
        <v>Autre filière</v>
      </c>
    </row>
    <row r="628" spans="1:14" x14ac:dyDescent="0.45">
      <c r="A628" t="s">
        <v>932</v>
      </c>
      <c r="B628" t="s">
        <v>933</v>
      </c>
      <c r="E628" t="s">
        <v>29</v>
      </c>
      <c r="F628">
        <v>5.53</v>
      </c>
      <c r="H628">
        <v>11.59</v>
      </c>
      <c r="J628">
        <v>0.90610000000000002</v>
      </c>
      <c r="K628" t="str">
        <f t="shared" si="33"/>
        <v>Refusé</v>
      </c>
      <c r="L628" t="str" cm="1">
        <f t="array" ref="L628">_xlfn.IFS(H628&gt;=16,"Excellent",
               H628&gt;=14,"Très bien",
               H628&gt;=12,"Bien",
               H628&gt;=10,"Passable",
               TRUE,"Insuffisant")</f>
        <v>Passable</v>
      </c>
      <c r="M628" t="str">
        <f t="shared" si="34"/>
        <v>A surveiller</v>
      </c>
      <c r="N628" t="str">
        <f t="shared" si="35"/>
        <v>Autre filière</v>
      </c>
    </row>
    <row r="629" spans="1:14" x14ac:dyDescent="0.45">
      <c r="A629" t="s">
        <v>934</v>
      </c>
      <c r="B629" t="s">
        <v>454</v>
      </c>
      <c r="E629" t="s">
        <v>42</v>
      </c>
      <c r="F629">
        <v>17.29</v>
      </c>
      <c r="H629">
        <v>18.47</v>
      </c>
      <c r="J629">
        <v>0.93130000000000002</v>
      </c>
      <c r="K629" t="str">
        <f t="shared" si="33"/>
        <v>Admis</v>
      </c>
      <c r="L629" t="str" cm="1">
        <f t="array" ref="L629">_xlfn.IFS(H629&gt;=16,"Excellent",
               H629&gt;=14,"Très bien",
               H629&gt;=12,"Bien",
               H629&gt;=10,"Passable",
               TRUE,"Insuffisant")</f>
        <v>Excellent</v>
      </c>
      <c r="M629" t="str">
        <f t="shared" si="34"/>
        <v>RAS</v>
      </c>
      <c r="N629" t="str">
        <f t="shared" si="35"/>
        <v>Autre filière</v>
      </c>
    </row>
    <row r="630" spans="1:14" x14ac:dyDescent="0.45">
      <c r="A630" t="s">
        <v>935</v>
      </c>
      <c r="B630" t="s">
        <v>612</v>
      </c>
      <c r="E630" t="s">
        <v>29</v>
      </c>
      <c r="F630">
        <v>15.07</v>
      </c>
      <c r="H630">
        <v>8.73</v>
      </c>
      <c r="J630">
        <v>0.73860000000000003</v>
      </c>
      <c r="K630" t="str">
        <f t="shared" si="33"/>
        <v>Refusé</v>
      </c>
      <c r="L630" t="str" cm="1">
        <f t="array" ref="L630">_xlfn.IFS(H630&gt;=16,"Excellent",
               H630&gt;=14,"Très bien",
               H630&gt;=12,"Bien",
               H630&gt;=10,"Passable",
               TRUE,"Insuffisant")</f>
        <v>Insuffisant</v>
      </c>
      <c r="M630" t="str">
        <f t="shared" si="34"/>
        <v>A surveiller</v>
      </c>
      <c r="N630" t="str">
        <f t="shared" si="35"/>
        <v>Autre filière</v>
      </c>
    </row>
    <row r="631" spans="1:14" x14ac:dyDescent="0.45">
      <c r="A631" t="s">
        <v>936</v>
      </c>
      <c r="B631" t="s">
        <v>827</v>
      </c>
      <c r="E631" t="s">
        <v>29</v>
      </c>
      <c r="F631">
        <v>12.6</v>
      </c>
      <c r="H631">
        <v>12.49</v>
      </c>
      <c r="J631">
        <v>0.80720000000000003</v>
      </c>
      <c r="K631" t="str">
        <f t="shared" si="33"/>
        <v>Admis</v>
      </c>
      <c r="L631" t="str" cm="1">
        <f t="array" ref="L631">_xlfn.IFS(H631&gt;=16,"Excellent",
               H631&gt;=14,"Très bien",
               H631&gt;=12,"Bien",
               H631&gt;=10,"Passable",
               TRUE,"Insuffisant")</f>
        <v>Bien</v>
      </c>
      <c r="M631" t="str">
        <f t="shared" si="34"/>
        <v>RAS</v>
      </c>
      <c r="N631" t="str">
        <f t="shared" si="35"/>
        <v>Autre filière</v>
      </c>
    </row>
    <row r="632" spans="1:14" x14ac:dyDescent="0.45">
      <c r="A632" t="s">
        <v>937</v>
      </c>
      <c r="B632" t="s">
        <v>512</v>
      </c>
      <c r="E632" t="s">
        <v>16</v>
      </c>
      <c r="F632">
        <v>16.36</v>
      </c>
      <c r="H632">
        <v>14.38</v>
      </c>
      <c r="J632">
        <v>0.70789999999999997</v>
      </c>
      <c r="K632" t="str">
        <f t="shared" si="33"/>
        <v>Admis sous condition</v>
      </c>
      <c r="L632" t="str" cm="1">
        <f t="array" ref="L632">_xlfn.IFS(H632&gt;=16,"Excellent",
               H632&gt;=14,"Très bien",
               H632&gt;=12,"Bien",
               H632&gt;=10,"Passable",
               TRUE,"Insuffisant")</f>
        <v>Très bien</v>
      </c>
      <c r="M632" t="str">
        <f t="shared" si="34"/>
        <v>RAS</v>
      </c>
      <c r="N632" t="str">
        <f t="shared" si="35"/>
        <v>Data</v>
      </c>
    </row>
    <row r="633" spans="1:14" x14ac:dyDescent="0.45">
      <c r="A633" t="s">
        <v>938</v>
      </c>
      <c r="B633" t="s">
        <v>285</v>
      </c>
      <c r="E633" t="s">
        <v>29</v>
      </c>
      <c r="F633">
        <v>16.43</v>
      </c>
      <c r="H633">
        <v>15.73</v>
      </c>
      <c r="J633">
        <v>0.83879999999999999</v>
      </c>
      <c r="K633" t="str">
        <f t="shared" si="33"/>
        <v>Admis</v>
      </c>
      <c r="L633" t="str" cm="1">
        <f t="array" ref="L633">_xlfn.IFS(H633&gt;=16,"Excellent",
               H633&gt;=14,"Très bien",
               H633&gt;=12,"Bien",
               H633&gt;=10,"Passable",
               TRUE,"Insuffisant")</f>
        <v>Très bien</v>
      </c>
      <c r="M633" t="str">
        <f t="shared" si="34"/>
        <v>RAS</v>
      </c>
      <c r="N633" t="str">
        <f t="shared" si="35"/>
        <v>Autre filière</v>
      </c>
    </row>
    <row r="634" spans="1:14" x14ac:dyDescent="0.45">
      <c r="A634" t="s">
        <v>939</v>
      </c>
      <c r="B634" t="s">
        <v>468</v>
      </c>
      <c r="E634" t="s">
        <v>21</v>
      </c>
      <c r="F634">
        <v>9</v>
      </c>
      <c r="H634">
        <v>10.14</v>
      </c>
      <c r="J634">
        <v>0.59550000000000003</v>
      </c>
      <c r="K634" t="str">
        <f t="shared" si="33"/>
        <v>Refusé</v>
      </c>
      <c r="L634" t="str" cm="1">
        <f t="array" ref="L634">_xlfn.IFS(H634&gt;=16,"Excellent",
               H634&gt;=14,"Très bien",
               H634&gt;=12,"Bien",
               H634&gt;=10,"Passable",
               TRUE,"Insuffisant")</f>
        <v>Passable</v>
      </c>
      <c r="M634" t="str">
        <f t="shared" si="34"/>
        <v>A surveiller</v>
      </c>
      <c r="N634" t="str">
        <f t="shared" si="35"/>
        <v>Autre filière</v>
      </c>
    </row>
    <row r="635" spans="1:14" x14ac:dyDescent="0.45">
      <c r="A635" t="s">
        <v>940</v>
      </c>
      <c r="B635" t="s">
        <v>13</v>
      </c>
      <c r="E635" t="s">
        <v>21</v>
      </c>
      <c r="F635">
        <v>14.13</v>
      </c>
      <c r="H635">
        <v>13.27</v>
      </c>
      <c r="J635">
        <v>0.87860000000000005</v>
      </c>
      <c r="K635" t="str">
        <f t="shared" si="33"/>
        <v>Admis</v>
      </c>
      <c r="L635" t="str" cm="1">
        <f t="array" ref="L635">_xlfn.IFS(H635&gt;=16,"Excellent",
               H635&gt;=14,"Très bien",
               H635&gt;=12,"Bien",
               H635&gt;=10,"Passable",
               TRUE,"Insuffisant")</f>
        <v>Bien</v>
      </c>
      <c r="M635" t="str">
        <f t="shared" si="34"/>
        <v>RAS</v>
      </c>
      <c r="N635" t="str">
        <f t="shared" si="35"/>
        <v>Autre filière</v>
      </c>
    </row>
    <row r="636" spans="1:14" x14ac:dyDescent="0.45">
      <c r="A636" t="s">
        <v>941</v>
      </c>
      <c r="B636" t="s">
        <v>245</v>
      </c>
      <c r="E636" t="s">
        <v>42</v>
      </c>
      <c r="F636">
        <v>20</v>
      </c>
      <c r="H636">
        <v>15.42</v>
      </c>
      <c r="J636">
        <v>0.71719999999999995</v>
      </c>
      <c r="K636" t="str">
        <f t="shared" si="33"/>
        <v>Admis sous condition</v>
      </c>
      <c r="L636" t="str" cm="1">
        <f t="array" ref="L636">_xlfn.IFS(H636&gt;=16,"Excellent",
               H636&gt;=14,"Très bien",
               H636&gt;=12,"Bien",
               H636&gt;=10,"Passable",
               TRUE,"Insuffisant")</f>
        <v>Très bien</v>
      </c>
      <c r="M636" t="str">
        <f t="shared" si="34"/>
        <v>RAS</v>
      </c>
      <c r="N636" t="str">
        <f t="shared" si="35"/>
        <v>Autre filière</v>
      </c>
    </row>
    <row r="637" spans="1:14" x14ac:dyDescent="0.45">
      <c r="A637" t="s">
        <v>942</v>
      </c>
      <c r="B637" t="s">
        <v>943</v>
      </c>
      <c r="E637" t="s">
        <v>42</v>
      </c>
      <c r="F637">
        <v>20</v>
      </c>
      <c r="H637">
        <v>17.38</v>
      </c>
      <c r="J637">
        <v>0.87719999999999998</v>
      </c>
      <c r="K637" t="str">
        <f t="shared" si="33"/>
        <v>Admis</v>
      </c>
      <c r="L637" t="str" cm="1">
        <f t="array" ref="L637">_xlfn.IFS(H637&gt;=16,"Excellent",
               H637&gt;=14,"Très bien",
               H637&gt;=12,"Bien",
               H637&gt;=10,"Passable",
               TRUE,"Insuffisant")</f>
        <v>Excellent</v>
      </c>
      <c r="M637" t="str">
        <f t="shared" si="34"/>
        <v>RAS</v>
      </c>
      <c r="N637" t="str">
        <f t="shared" si="35"/>
        <v>Autre filière</v>
      </c>
    </row>
    <row r="638" spans="1:14" x14ac:dyDescent="0.45">
      <c r="A638" t="s">
        <v>944</v>
      </c>
      <c r="B638" t="s">
        <v>575</v>
      </c>
      <c r="E638" t="s">
        <v>42</v>
      </c>
      <c r="F638">
        <v>10.31</v>
      </c>
      <c r="H638">
        <v>11.1</v>
      </c>
      <c r="J638">
        <v>0.86419999999999997</v>
      </c>
      <c r="K638" t="str">
        <f t="shared" si="33"/>
        <v>Admis sous condition</v>
      </c>
      <c r="L638" t="str" cm="1">
        <f t="array" ref="L638">_xlfn.IFS(H638&gt;=16,"Excellent",
               H638&gt;=14,"Très bien",
               H638&gt;=12,"Bien",
               H638&gt;=10,"Passable",
               TRUE,"Insuffisant")</f>
        <v>Passable</v>
      </c>
      <c r="M638" t="str">
        <f t="shared" si="34"/>
        <v>RAS</v>
      </c>
      <c r="N638" t="str">
        <f t="shared" si="35"/>
        <v>Autre filière</v>
      </c>
    </row>
    <row r="639" spans="1:14" x14ac:dyDescent="0.45">
      <c r="A639" t="s">
        <v>945</v>
      </c>
      <c r="B639" t="s">
        <v>556</v>
      </c>
      <c r="E639" t="s">
        <v>29</v>
      </c>
      <c r="F639">
        <v>13.64</v>
      </c>
      <c r="H639">
        <v>12.31</v>
      </c>
      <c r="J639">
        <v>0.76659999999999995</v>
      </c>
      <c r="K639" t="str">
        <f t="shared" si="33"/>
        <v>Admis sous condition</v>
      </c>
      <c r="L639" t="str" cm="1">
        <f t="array" ref="L639">_xlfn.IFS(H639&gt;=16,"Excellent",
               H639&gt;=14,"Très bien",
               H639&gt;=12,"Bien",
               H639&gt;=10,"Passable",
               TRUE,"Insuffisant")</f>
        <v>Bien</v>
      </c>
      <c r="M639" t="str">
        <f t="shared" si="34"/>
        <v>RAS</v>
      </c>
      <c r="N639" t="str">
        <f t="shared" si="35"/>
        <v>Autre filière</v>
      </c>
    </row>
    <row r="640" spans="1:14" x14ac:dyDescent="0.45">
      <c r="A640" t="s">
        <v>946</v>
      </c>
      <c r="B640" t="s">
        <v>665</v>
      </c>
      <c r="E640" t="s">
        <v>29</v>
      </c>
      <c r="F640">
        <v>19.04</v>
      </c>
      <c r="H640">
        <v>16.510000000000002</v>
      </c>
      <c r="J640">
        <v>0.85640000000000005</v>
      </c>
      <c r="K640" t="str">
        <f t="shared" si="33"/>
        <v>Admis</v>
      </c>
      <c r="L640" t="str" cm="1">
        <f t="array" ref="L640">_xlfn.IFS(H640&gt;=16,"Excellent",
               H640&gt;=14,"Très bien",
               H640&gt;=12,"Bien",
               H640&gt;=10,"Passable",
               TRUE,"Insuffisant")</f>
        <v>Excellent</v>
      </c>
      <c r="M640" t="str">
        <f t="shared" si="34"/>
        <v>RAS</v>
      </c>
      <c r="N640" t="str">
        <f t="shared" si="35"/>
        <v>Autre filière</v>
      </c>
    </row>
    <row r="641" spans="1:14" x14ac:dyDescent="0.45">
      <c r="A641" t="s">
        <v>947</v>
      </c>
      <c r="B641" t="s">
        <v>250</v>
      </c>
      <c r="E641" t="s">
        <v>42</v>
      </c>
      <c r="F641">
        <v>12.16</v>
      </c>
      <c r="H641">
        <v>14.76</v>
      </c>
      <c r="J641">
        <v>0.68010000000000004</v>
      </c>
      <c r="K641" t="str">
        <f t="shared" si="33"/>
        <v>Admis sous condition</v>
      </c>
      <c r="L641" t="str" cm="1">
        <f t="array" ref="L641">_xlfn.IFS(H641&gt;=16,"Excellent",
               H641&gt;=14,"Très bien",
               H641&gt;=12,"Bien",
               H641&gt;=10,"Passable",
               TRUE,"Insuffisant")</f>
        <v>Très bien</v>
      </c>
      <c r="M641" t="str">
        <f t="shared" si="34"/>
        <v>A surveiller</v>
      </c>
      <c r="N641" t="str">
        <f t="shared" si="35"/>
        <v>Autre filière</v>
      </c>
    </row>
    <row r="642" spans="1:14" x14ac:dyDescent="0.45">
      <c r="A642" t="s">
        <v>948</v>
      </c>
      <c r="B642" t="s">
        <v>142</v>
      </c>
      <c r="E642" t="s">
        <v>21</v>
      </c>
      <c r="F642">
        <v>15.46</v>
      </c>
      <c r="H642">
        <v>14.23</v>
      </c>
      <c r="J642">
        <v>0.55000000000000004</v>
      </c>
      <c r="K642" t="str">
        <f t="shared" si="33"/>
        <v>Admis sous condition</v>
      </c>
      <c r="L642" t="str" cm="1">
        <f t="array" ref="L642">_xlfn.IFS(H642&gt;=16,"Excellent",
               H642&gt;=14,"Très bien",
               H642&gt;=12,"Bien",
               H642&gt;=10,"Passable",
               TRUE,"Insuffisant")</f>
        <v>Très bien</v>
      </c>
      <c r="M642" t="str">
        <f t="shared" si="34"/>
        <v>A surveiller</v>
      </c>
      <c r="N642" t="str">
        <f t="shared" si="35"/>
        <v>Autre filière</v>
      </c>
    </row>
    <row r="643" spans="1:14" x14ac:dyDescent="0.45">
      <c r="A643" t="s">
        <v>949</v>
      </c>
      <c r="B643" t="s">
        <v>427</v>
      </c>
      <c r="E643" t="s">
        <v>29</v>
      </c>
      <c r="F643">
        <v>11.28</v>
      </c>
      <c r="H643">
        <v>9.26</v>
      </c>
      <c r="J643">
        <v>0.91769999999999996</v>
      </c>
      <c r="K643" t="str">
        <f t="shared" si="33"/>
        <v>Refusé</v>
      </c>
      <c r="L643" t="str" cm="1">
        <f t="array" ref="L643">_xlfn.IFS(H643&gt;=16,"Excellent",
               H643&gt;=14,"Très bien",
               H643&gt;=12,"Bien",
               H643&gt;=10,"Passable",
               TRUE,"Insuffisant")</f>
        <v>Insuffisant</v>
      </c>
      <c r="M643" t="str">
        <f t="shared" si="34"/>
        <v>A surveiller</v>
      </c>
      <c r="N643" t="str">
        <f t="shared" si="35"/>
        <v>Autre filière</v>
      </c>
    </row>
    <row r="644" spans="1:14" x14ac:dyDescent="0.45">
      <c r="A644" t="s">
        <v>950</v>
      </c>
      <c r="B644" t="s">
        <v>174</v>
      </c>
      <c r="E644" t="s">
        <v>42</v>
      </c>
      <c r="F644">
        <v>13.13</v>
      </c>
      <c r="H644">
        <v>13.64</v>
      </c>
      <c r="J644">
        <v>0.85019999999999996</v>
      </c>
      <c r="K644" t="str">
        <f t="shared" si="33"/>
        <v>Admis</v>
      </c>
      <c r="L644" t="str" cm="1">
        <f t="array" ref="L644">_xlfn.IFS(H644&gt;=16,"Excellent",
               H644&gt;=14,"Très bien",
               H644&gt;=12,"Bien",
               H644&gt;=10,"Passable",
               TRUE,"Insuffisant")</f>
        <v>Bien</v>
      </c>
      <c r="M644" t="str">
        <f t="shared" si="34"/>
        <v>RAS</v>
      </c>
      <c r="N644" t="str">
        <f t="shared" si="35"/>
        <v>Autre filière</v>
      </c>
    </row>
    <row r="645" spans="1:14" x14ac:dyDescent="0.45">
      <c r="A645" t="s">
        <v>951</v>
      </c>
      <c r="B645" t="s">
        <v>279</v>
      </c>
      <c r="E645" t="s">
        <v>29</v>
      </c>
      <c r="F645">
        <v>13.81</v>
      </c>
      <c r="H645">
        <v>13.51</v>
      </c>
      <c r="J645">
        <v>0.92879999999999996</v>
      </c>
      <c r="K645" t="str">
        <f t="shared" si="33"/>
        <v>Admis</v>
      </c>
      <c r="L645" t="str" cm="1">
        <f t="array" ref="L645">_xlfn.IFS(H645&gt;=16,"Excellent",
               H645&gt;=14,"Très bien",
               H645&gt;=12,"Bien",
               H645&gt;=10,"Passable",
               TRUE,"Insuffisant")</f>
        <v>Bien</v>
      </c>
      <c r="M645" t="str">
        <f t="shared" si="34"/>
        <v>RAS</v>
      </c>
      <c r="N645" t="str">
        <f t="shared" si="35"/>
        <v>Autre filière</v>
      </c>
    </row>
    <row r="646" spans="1:14" x14ac:dyDescent="0.45">
      <c r="A646" t="s">
        <v>952</v>
      </c>
      <c r="B646" t="s">
        <v>121</v>
      </c>
      <c r="E646" t="s">
        <v>29</v>
      </c>
      <c r="F646">
        <v>13.9</v>
      </c>
      <c r="H646">
        <v>15.77</v>
      </c>
      <c r="J646">
        <v>0.97140000000000004</v>
      </c>
      <c r="K646" t="str">
        <f t="shared" si="33"/>
        <v>Admis</v>
      </c>
      <c r="L646" t="str" cm="1">
        <f t="array" ref="L646">_xlfn.IFS(H646&gt;=16,"Excellent",
               H646&gt;=14,"Très bien",
               H646&gt;=12,"Bien",
               H646&gt;=10,"Passable",
               TRUE,"Insuffisant")</f>
        <v>Très bien</v>
      </c>
      <c r="M646" t="str">
        <f t="shared" si="34"/>
        <v>RAS</v>
      </c>
      <c r="N646" t="str">
        <f t="shared" si="35"/>
        <v>Autre filière</v>
      </c>
    </row>
    <row r="647" spans="1:14" x14ac:dyDescent="0.45">
      <c r="A647" t="s">
        <v>953</v>
      </c>
      <c r="B647" t="s">
        <v>235</v>
      </c>
      <c r="E647" t="s">
        <v>29</v>
      </c>
      <c r="F647">
        <v>13.64</v>
      </c>
      <c r="H647">
        <v>14.88</v>
      </c>
      <c r="J647">
        <v>0.94579999999999997</v>
      </c>
      <c r="K647" t="str">
        <f t="shared" si="33"/>
        <v>Admis</v>
      </c>
      <c r="L647" t="str" cm="1">
        <f t="array" ref="L647">_xlfn.IFS(H647&gt;=16,"Excellent",
               H647&gt;=14,"Très bien",
               H647&gt;=12,"Bien",
               H647&gt;=10,"Passable",
               TRUE,"Insuffisant")</f>
        <v>Très bien</v>
      </c>
      <c r="M647" t="str">
        <f t="shared" si="34"/>
        <v>RAS</v>
      </c>
      <c r="N647" t="str">
        <f t="shared" si="35"/>
        <v>Autre filière</v>
      </c>
    </row>
    <row r="648" spans="1:14" x14ac:dyDescent="0.45">
      <c r="A648" t="s">
        <v>954</v>
      </c>
      <c r="B648" t="s">
        <v>866</v>
      </c>
      <c r="E648" t="s">
        <v>16</v>
      </c>
      <c r="F648">
        <v>6.96</v>
      </c>
      <c r="H648">
        <v>16.489999999999998</v>
      </c>
      <c r="J648">
        <v>0.80489999999999995</v>
      </c>
      <c r="K648" t="str">
        <f t="shared" si="33"/>
        <v>Refusé</v>
      </c>
      <c r="L648" t="str" cm="1">
        <f t="array" ref="L648">_xlfn.IFS(H648&gt;=16,"Excellent",
               H648&gt;=14,"Très bien",
               H648&gt;=12,"Bien",
               H648&gt;=10,"Passable",
               TRUE,"Insuffisant")</f>
        <v>Excellent</v>
      </c>
      <c r="M648" t="str">
        <f t="shared" si="34"/>
        <v>A surveiller</v>
      </c>
      <c r="N648" t="str">
        <f t="shared" si="35"/>
        <v>Data</v>
      </c>
    </row>
    <row r="649" spans="1:14" x14ac:dyDescent="0.45">
      <c r="A649" t="s">
        <v>955</v>
      </c>
      <c r="B649" t="s">
        <v>479</v>
      </c>
      <c r="E649" t="s">
        <v>29</v>
      </c>
      <c r="F649">
        <v>11.99</v>
      </c>
      <c r="H649">
        <v>9.58</v>
      </c>
      <c r="J649">
        <v>0.9093</v>
      </c>
      <c r="K649" t="str">
        <f t="shared" si="33"/>
        <v>Refusé</v>
      </c>
      <c r="L649" t="str" cm="1">
        <f t="array" ref="L649">_xlfn.IFS(H649&gt;=16,"Excellent",
               H649&gt;=14,"Très bien",
               H649&gt;=12,"Bien",
               H649&gt;=10,"Passable",
               TRUE,"Insuffisant")</f>
        <v>Insuffisant</v>
      </c>
      <c r="M649" t="str">
        <f t="shared" si="34"/>
        <v>A surveiller</v>
      </c>
      <c r="N649" t="str">
        <f t="shared" si="35"/>
        <v>Autre filière</v>
      </c>
    </row>
    <row r="650" spans="1:14" x14ac:dyDescent="0.45">
      <c r="A650" t="s">
        <v>956</v>
      </c>
      <c r="B650" t="s">
        <v>755</v>
      </c>
      <c r="E650" t="s">
        <v>42</v>
      </c>
      <c r="F650">
        <v>16.399999999999999</v>
      </c>
      <c r="H650">
        <v>14.37</v>
      </c>
      <c r="J650">
        <v>0.70750000000000002</v>
      </c>
      <c r="K650" t="str">
        <f t="shared" si="33"/>
        <v>Admis sous condition</v>
      </c>
      <c r="L650" t="str" cm="1">
        <f t="array" ref="L650">_xlfn.IFS(H650&gt;=16,"Excellent",
               H650&gt;=14,"Très bien",
               H650&gt;=12,"Bien",
               H650&gt;=10,"Passable",
               TRUE,"Insuffisant")</f>
        <v>Très bien</v>
      </c>
      <c r="M650" t="str">
        <f t="shared" si="34"/>
        <v>RAS</v>
      </c>
      <c r="N650" t="str">
        <f t="shared" si="35"/>
        <v>Autre filière</v>
      </c>
    </row>
    <row r="651" spans="1:14" x14ac:dyDescent="0.45">
      <c r="A651" t="s">
        <v>957</v>
      </c>
      <c r="B651" t="s">
        <v>71</v>
      </c>
      <c r="E651" t="s">
        <v>42</v>
      </c>
      <c r="F651">
        <v>20</v>
      </c>
      <c r="H651">
        <v>19.13</v>
      </c>
      <c r="J651">
        <v>0.89190000000000003</v>
      </c>
      <c r="K651" t="str">
        <f t="shared" si="33"/>
        <v>Admis</v>
      </c>
      <c r="L651" t="str" cm="1">
        <f t="array" ref="L651">_xlfn.IFS(H651&gt;=16,"Excellent",
               H651&gt;=14,"Très bien",
               H651&gt;=12,"Bien",
               H651&gt;=10,"Passable",
               TRUE,"Insuffisant")</f>
        <v>Excellent</v>
      </c>
      <c r="M651" t="str">
        <f t="shared" si="34"/>
        <v>RAS</v>
      </c>
      <c r="N651" t="str">
        <f t="shared" si="35"/>
        <v>Autre filière</v>
      </c>
    </row>
    <row r="652" spans="1:14" x14ac:dyDescent="0.45">
      <c r="A652" t="s">
        <v>958</v>
      </c>
      <c r="B652" t="s">
        <v>827</v>
      </c>
      <c r="E652" t="s">
        <v>21</v>
      </c>
      <c r="F652">
        <v>8.3000000000000007</v>
      </c>
      <c r="H652">
        <v>7.17</v>
      </c>
      <c r="J652">
        <v>0.94720000000000004</v>
      </c>
      <c r="K652" t="str">
        <f t="shared" si="33"/>
        <v>Refusé</v>
      </c>
      <c r="L652" t="str" cm="1">
        <f t="array" ref="L652">_xlfn.IFS(H652&gt;=16,"Excellent",
               H652&gt;=14,"Très bien",
               H652&gt;=12,"Bien",
               H652&gt;=10,"Passable",
               TRUE,"Insuffisant")</f>
        <v>Insuffisant</v>
      </c>
      <c r="M652" t="str">
        <f t="shared" si="34"/>
        <v>A surveiller</v>
      </c>
      <c r="N652" t="str">
        <f t="shared" si="35"/>
        <v>Autre filière</v>
      </c>
    </row>
    <row r="653" spans="1:14" x14ac:dyDescent="0.45">
      <c r="A653" t="s">
        <v>959</v>
      </c>
      <c r="B653" t="s">
        <v>92</v>
      </c>
      <c r="E653" t="s">
        <v>16</v>
      </c>
      <c r="F653">
        <v>18.02</v>
      </c>
      <c r="H653">
        <v>17.36</v>
      </c>
      <c r="J653">
        <v>0.78739999999999999</v>
      </c>
      <c r="K653" t="str">
        <f t="shared" si="33"/>
        <v>Admis sous condition</v>
      </c>
      <c r="L653" t="str" cm="1">
        <f t="array" ref="L653">_xlfn.IFS(H653&gt;=16,"Excellent",
               H653&gt;=14,"Très bien",
               H653&gt;=12,"Bien",
               H653&gt;=10,"Passable",
               TRUE,"Insuffisant")</f>
        <v>Excellent</v>
      </c>
      <c r="M653" t="str">
        <f t="shared" si="34"/>
        <v>RAS</v>
      </c>
      <c r="N653" t="str">
        <f t="shared" si="35"/>
        <v>Data</v>
      </c>
    </row>
    <row r="654" spans="1:14" x14ac:dyDescent="0.45">
      <c r="A654" t="s">
        <v>960</v>
      </c>
      <c r="B654" t="s">
        <v>558</v>
      </c>
      <c r="E654" t="s">
        <v>21</v>
      </c>
      <c r="F654">
        <v>12.06</v>
      </c>
      <c r="H654">
        <v>14.84</v>
      </c>
      <c r="J654">
        <v>0.85770000000000002</v>
      </c>
      <c r="K654" t="str">
        <f t="shared" si="33"/>
        <v>Admis</v>
      </c>
      <c r="L654" t="str" cm="1">
        <f t="array" ref="L654">_xlfn.IFS(H654&gt;=16,"Excellent",
               H654&gt;=14,"Très bien",
               H654&gt;=12,"Bien",
               H654&gt;=10,"Passable",
               TRUE,"Insuffisant")</f>
        <v>Très bien</v>
      </c>
      <c r="M654" t="str">
        <f t="shared" si="34"/>
        <v>RAS</v>
      </c>
      <c r="N654" t="str">
        <f t="shared" si="35"/>
        <v>Autre filière</v>
      </c>
    </row>
    <row r="655" spans="1:14" x14ac:dyDescent="0.45">
      <c r="A655" t="s">
        <v>961</v>
      </c>
      <c r="B655" t="s">
        <v>874</v>
      </c>
      <c r="E655" t="s">
        <v>21</v>
      </c>
      <c r="F655">
        <v>16.079999999999998</v>
      </c>
      <c r="H655">
        <v>12.79</v>
      </c>
      <c r="J655">
        <v>0.95340000000000003</v>
      </c>
      <c r="K655" t="str">
        <f t="shared" si="33"/>
        <v>Admis</v>
      </c>
      <c r="L655" t="str" cm="1">
        <f t="array" ref="L655">_xlfn.IFS(H655&gt;=16,"Excellent",
               H655&gt;=14,"Très bien",
               H655&gt;=12,"Bien",
               H655&gt;=10,"Passable",
               TRUE,"Insuffisant")</f>
        <v>Bien</v>
      </c>
      <c r="M655" t="str">
        <f t="shared" si="34"/>
        <v>RAS</v>
      </c>
      <c r="N655" t="str">
        <f t="shared" si="35"/>
        <v>Autre filière</v>
      </c>
    </row>
    <row r="656" spans="1:14" x14ac:dyDescent="0.45">
      <c r="A656" t="s">
        <v>962</v>
      </c>
      <c r="B656" t="s">
        <v>220</v>
      </c>
      <c r="E656" t="s">
        <v>29</v>
      </c>
      <c r="F656">
        <v>15.93</v>
      </c>
      <c r="H656">
        <v>12.82</v>
      </c>
      <c r="J656">
        <v>0.93410000000000004</v>
      </c>
      <c r="K656" t="str">
        <f t="shared" si="33"/>
        <v>Admis</v>
      </c>
      <c r="L656" t="str" cm="1">
        <f t="array" ref="L656">_xlfn.IFS(H656&gt;=16,"Excellent",
               H656&gt;=14,"Très bien",
               H656&gt;=12,"Bien",
               H656&gt;=10,"Passable",
               TRUE,"Insuffisant")</f>
        <v>Bien</v>
      </c>
      <c r="M656" t="str">
        <f t="shared" si="34"/>
        <v>RAS</v>
      </c>
      <c r="N656" t="str">
        <f t="shared" si="35"/>
        <v>Autre filière</v>
      </c>
    </row>
    <row r="657" spans="1:14" x14ac:dyDescent="0.45">
      <c r="A657" t="s">
        <v>963</v>
      </c>
      <c r="B657" t="s">
        <v>44</v>
      </c>
      <c r="E657" t="s">
        <v>29</v>
      </c>
      <c r="F657">
        <v>16.43</v>
      </c>
      <c r="H657">
        <v>15.67</v>
      </c>
      <c r="J657">
        <v>0.88429999999999997</v>
      </c>
      <c r="K657" t="str">
        <f t="shared" si="33"/>
        <v>Admis</v>
      </c>
      <c r="L657" t="str" cm="1">
        <f t="array" ref="L657">_xlfn.IFS(H657&gt;=16,"Excellent",
               H657&gt;=14,"Très bien",
               H657&gt;=12,"Bien",
               H657&gt;=10,"Passable",
               TRUE,"Insuffisant")</f>
        <v>Très bien</v>
      </c>
      <c r="M657" t="str">
        <f t="shared" si="34"/>
        <v>RAS</v>
      </c>
      <c r="N657" t="str">
        <f t="shared" si="35"/>
        <v>Autre filière</v>
      </c>
    </row>
    <row r="658" spans="1:14" x14ac:dyDescent="0.45">
      <c r="A658" t="s">
        <v>964</v>
      </c>
      <c r="B658" t="s">
        <v>55</v>
      </c>
      <c r="E658" t="s">
        <v>29</v>
      </c>
      <c r="F658">
        <v>14.82</v>
      </c>
      <c r="H658">
        <v>18.28</v>
      </c>
      <c r="J658">
        <v>0.86040000000000005</v>
      </c>
      <c r="K658" t="str">
        <f t="shared" si="33"/>
        <v>Admis</v>
      </c>
      <c r="L658" t="str" cm="1">
        <f t="array" ref="L658">_xlfn.IFS(H658&gt;=16,"Excellent",
               H658&gt;=14,"Très bien",
               H658&gt;=12,"Bien",
               H658&gt;=10,"Passable",
               TRUE,"Insuffisant")</f>
        <v>Excellent</v>
      </c>
      <c r="M658" t="str">
        <f t="shared" si="34"/>
        <v>RAS</v>
      </c>
      <c r="N658" t="str">
        <f t="shared" si="35"/>
        <v>Autre filière</v>
      </c>
    </row>
    <row r="659" spans="1:14" x14ac:dyDescent="0.45">
      <c r="A659" t="s">
        <v>965</v>
      </c>
      <c r="B659" t="s">
        <v>304</v>
      </c>
      <c r="E659" t="s">
        <v>42</v>
      </c>
      <c r="F659">
        <v>8.67</v>
      </c>
      <c r="H659">
        <v>10.37</v>
      </c>
      <c r="J659">
        <v>0.89090000000000003</v>
      </c>
      <c r="K659" t="str">
        <f t="shared" si="33"/>
        <v>Refusé</v>
      </c>
      <c r="L659" t="str" cm="1">
        <f t="array" ref="L659">_xlfn.IFS(H659&gt;=16,"Excellent",
               H659&gt;=14,"Très bien",
               H659&gt;=12,"Bien",
               H659&gt;=10,"Passable",
               TRUE,"Insuffisant")</f>
        <v>Passable</v>
      </c>
      <c r="M659" t="str">
        <f t="shared" si="34"/>
        <v>A surveiller</v>
      </c>
      <c r="N659" t="str">
        <f t="shared" si="35"/>
        <v>Autre filière</v>
      </c>
    </row>
    <row r="660" spans="1:14" x14ac:dyDescent="0.45">
      <c r="A660" t="s">
        <v>966</v>
      </c>
      <c r="B660" t="s">
        <v>488</v>
      </c>
      <c r="E660" t="s">
        <v>21</v>
      </c>
      <c r="F660">
        <v>15.62</v>
      </c>
      <c r="H660">
        <v>13.34</v>
      </c>
      <c r="J660">
        <v>0.69230000000000003</v>
      </c>
      <c r="K660" t="str">
        <f t="shared" si="33"/>
        <v>Admis sous condition</v>
      </c>
      <c r="L660" t="str" cm="1">
        <f t="array" ref="L660">_xlfn.IFS(H660&gt;=16,"Excellent",
               H660&gt;=14,"Très bien",
               H660&gt;=12,"Bien",
               H660&gt;=10,"Passable",
               TRUE,"Insuffisant")</f>
        <v>Bien</v>
      </c>
      <c r="M660" t="str">
        <f t="shared" si="34"/>
        <v>A surveiller</v>
      </c>
      <c r="N660" t="str">
        <f t="shared" si="35"/>
        <v>Autre filière</v>
      </c>
    </row>
    <row r="661" spans="1:14" x14ac:dyDescent="0.45">
      <c r="A661" t="s">
        <v>967</v>
      </c>
      <c r="B661" t="s">
        <v>549</v>
      </c>
      <c r="E661" t="s">
        <v>42</v>
      </c>
      <c r="F661">
        <v>8.61</v>
      </c>
      <c r="H661">
        <v>8.2100000000000009</v>
      </c>
      <c r="J661">
        <v>0.60650000000000004</v>
      </c>
      <c r="K661" t="str">
        <f t="shared" si="33"/>
        <v>Refusé</v>
      </c>
      <c r="L661" t="str" cm="1">
        <f t="array" ref="L661">_xlfn.IFS(H661&gt;=16,"Excellent",
               H661&gt;=14,"Très bien",
               H661&gt;=12,"Bien",
               H661&gt;=10,"Passable",
               TRUE,"Insuffisant")</f>
        <v>Insuffisant</v>
      </c>
      <c r="M661" t="str">
        <f t="shared" si="34"/>
        <v>A surveiller</v>
      </c>
      <c r="N661" t="str">
        <f t="shared" si="35"/>
        <v>Autre filière</v>
      </c>
    </row>
    <row r="662" spans="1:14" x14ac:dyDescent="0.45">
      <c r="A662" t="s">
        <v>968</v>
      </c>
      <c r="B662" t="s">
        <v>969</v>
      </c>
      <c r="E662" t="s">
        <v>42</v>
      </c>
      <c r="F662">
        <v>17.18</v>
      </c>
      <c r="H662">
        <v>13.87</v>
      </c>
      <c r="J662">
        <v>0.95640000000000003</v>
      </c>
      <c r="K662" t="str">
        <f t="shared" si="33"/>
        <v>Admis</v>
      </c>
      <c r="L662" t="str" cm="1">
        <f t="array" ref="L662">_xlfn.IFS(H662&gt;=16,"Excellent",
               H662&gt;=14,"Très bien",
               H662&gt;=12,"Bien",
               H662&gt;=10,"Passable",
               TRUE,"Insuffisant")</f>
        <v>Bien</v>
      </c>
      <c r="M662" t="str">
        <f t="shared" si="34"/>
        <v>RAS</v>
      </c>
      <c r="N662" t="str">
        <f t="shared" si="35"/>
        <v>Autre filière</v>
      </c>
    </row>
    <row r="663" spans="1:14" x14ac:dyDescent="0.45">
      <c r="A663" t="s">
        <v>970</v>
      </c>
      <c r="B663" t="s">
        <v>160</v>
      </c>
      <c r="E663" t="s">
        <v>42</v>
      </c>
      <c r="F663">
        <v>16.309999999999999</v>
      </c>
      <c r="H663">
        <v>13.77</v>
      </c>
      <c r="J663">
        <v>0.90159999999999996</v>
      </c>
      <c r="K663" t="str">
        <f t="shared" ref="K663:K726" si="36">IF(AND(F663&gt;=12,H663&gt;=12,J663&gt;=0.8),"Admis",
   IF(AND(F663&gt;=10,H663&gt;=10),"Admis sous condition","Refusé"))</f>
        <v>Admis</v>
      </c>
      <c r="L663" t="str" cm="1">
        <f t="array" ref="L663">_xlfn.IFS(H663&gt;=16,"Excellent",
               H663&gt;=14,"Très bien",
               H663&gt;=12,"Bien",
               H663&gt;=10,"Passable",
               TRUE,"Insuffisant")</f>
        <v>Bien</v>
      </c>
      <c r="M663" t="str">
        <f t="shared" ref="M663:M726" si="37">IF(OR(F663&lt;10,H663&lt;10,J663&lt;0.7),"A surveiller","RAS")</f>
        <v>RAS</v>
      </c>
      <c r="N663" t="str">
        <f t="shared" ref="N663:N726" si="38">IF(NOT(E663="Data"),"Autre filière","Data")</f>
        <v>Autre filière</v>
      </c>
    </row>
    <row r="664" spans="1:14" x14ac:dyDescent="0.45">
      <c r="A664" t="s">
        <v>971</v>
      </c>
      <c r="B664" t="s">
        <v>476</v>
      </c>
      <c r="E664" t="s">
        <v>16</v>
      </c>
      <c r="F664">
        <v>16.850000000000001</v>
      </c>
      <c r="H664">
        <v>17.07</v>
      </c>
      <c r="J664">
        <v>0.91339999999999999</v>
      </c>
      <c r="K664" t="str">
        <f t="shared" si="36"/>
        <v>Admis</v>
      </c>
      <c r="L664" t="str" cm="1">
        <f t="array" ref="L664">_xlfn.IFS(H664&gt;=16,"Excellent",
               H664&gt;=14,"Très bien",
               H664&gt;=12,"Bien",
               H664&gt;=10,"Passable",
               TRUE,"Insuffisant")</f>
        <v>Excellent</v>
      </c>
      <c r="M664" t="str">
        <f t="shared" si="37"/>
        <v>RAS</v>
      </c>
      <c r="N664" t="str">
        <f t="shared" si="38"/>
        <v>Data</v>
      </c>
    </row>
    <row r="665" spans="1:14" x14ac:dyDescent="0.45">
      <c r="A665" t="s">
        <v>972</v>
      </c>
      <c r="B665" t="s">
        <v>196</v>
      </c>
      <c r="E665" t="s">
        <v>42</v>
      </c>
      <c r="F665">
        <v>12.92</v>
      </c>
      <c r="H665">
        <v>11.2</v>
      </c>
      <c r="J665">
        <v>0.94720000000000004</v>
      </c>
      <c r="K665" t="str">
        <f t="shared" si="36"/>
        <v>Admis sous condition</v>
      </c>
      <c r="L665" t="str" cm="1">
        <f t="array" ref="L665">_xlfn.IFS(H665&gt;=16,"Excellent",
               H665&gt;=14,"Très bien",
               H665&gt;=12,"Bien",
               H665&gt;=10,"Passable",
               TRUE,"Insuffisant")</f>
        <v>Passable</v>
      </c>
      <c r="M665" t="str">
        <f t="shared" si="37"/>
        <v>RAS</v>
      </c>
      <c r="N665" t="str">
        <f t="shared" si="38"/>
        <v>Autre filière</v>
      </c>
    </row>
    <row r="666" spans="1:14" x14ac:dyDescent="0.45">
      <c r="A666" t="s">
        <v>973</v>
      </c>
      <c r="B666" t="s">
        <v>309</v>
      </c>
      <c r="E666" t="s">
        <v>16</v>
      </c>
      <c r="F666">
        <v>10.52</v>
      </c>
      <c r="H666">
        <v>11.06</v>
      </c>
      <c r="J666">
        <v>0.97170000000000001</v>
      </c>
      <c r="K666" t="str">
        <f t="shared" si="36"/>
        <v>Admis sous condition</v>
      </c>
      <c r="L666" t="str" cm="1">
        <f t="array" ref="L666">_xlfn.IFS(H666&gt;=16,"Excellent",
               H666&gt;=14,"Très bien",
               H666&gt;=12,"Bien",
               H666&gt;=10,"Passable",
               TRUE,"Insuffisant")</f>
        <v>Passable</v>
      </c>
      <c r="M666" t="str">
        <f t="shared" si="37"/>
        <v>RAS</v>
      </c>
      <c r="N666" t="str">
        <f t="shared" si="38"/>
        <v>Data</v>
      </c>
    </row>
    <row r="667" spans="1:14" x14ac:dyDescent="0.45">
      <c r="A667" t="s">
        <v>974</v>
      </c>
      <c r="B667" t="s">
        <v>295</v>
      </c>
      <c r="E667" t="s">
        <v>21</v>
      </c>
      <c r="F667">
        <v>14.94</v>
      </c>
      <c r="H667">
        <v>13.3</v>
      </c>
      <c r="J667">
        <v>0.93730000000000002</v>
      </c>
      <c r="K667" t="str">
        <f t="shared" si="36"/>
        <v>Admis</v>
      </c>
      <c r="L667" t="str" cm="1">
        <f t="array" ref="L667">_xlfn.IFS(H667&gt;=16,"Excellent",
               H667&gt;=14,"Très bien",
               H667&gt;=12,"Bien",
               H667&gt;=10,"Passable",
               TRUE,"Insuffisant")</f>
        <v>Bien</v>
      </c>
      <c r="M667" t="str">
        <f t="shared" si="37"/>
        <v>RAS</v>
      </c>
      <c r="N667" t="str">
        <f t="shared" si="38"/>
        <v>Autre filière</v>
      </c>
    </row>
    <row r="668" spans="1:14" x14ac:dyDescent="0.45">
      <c r="A668" t="s">
        <v>975</v>
      </c>
      <c r="B668" t="s">
        <v>414</v>
      </c>
      <c r="E668" t="s">
        <v>21</v>
      </c>
      <c r="F668">
        <v>14.57</v>
      </c>
      <c r="H668">
        <v>15.51</v>
      </c>
      <c r="J668">
        <v>0.80459999999999998</v>
      </c>
      <c r="K668" t="str">
        <f t="shared" si="36"/>
        <v>Admis</v>
      </c>
      <c r="L668" t="str" cm="1">
        <f t="array" ref="L668">_xlfn.IFS(H668&gt;=16,"Excellent",
               H668&gt;=14,"Très bien",
               H668&gt;=12,"Bien",
               H668&gt;=10,"Passable",
               TRUE,"Insuffisant")</f>
        <v>Très bien</v>
      </c>
      <c r="M668" t="str">
        <f t="shared" si="37"/>
        <v>RAS</v>
      </c>
      <c r="N668" t="str">
        <f t="shared" si="38"/>
        <v>Autre filière</v>
      </c>
    </row>
    <row r="669" spans="1:14" x14ac:dyDescent="0.45">
      <c r="A669" t="s">
        <v>976</v>
      </c>
      <c r="B669" t="s">
        <v>117</v>
      </c>
      <c r="E669" t="s">
        <v>42</v>
      </c>
      <c r="F669">
        <v>17.600000000000001</v>
      </c>
      <c r="H669">
        <v>15.12</v>
      </c>
      <c r="J669">
        <v>0.86370000000000002</v>
      </c>
      <c r="K669" t="str">
        <f t="shared" si="36"/>
        <v>Admis</v>
      </c>
      <c r="L669" t="str" cm="1">
        <f t="array" ref="L669">_xlfn.IFS(H669&gt;=16,"Excellent",
               H669&gt;=14,"Très bien",
               H669&gt;=12,"Bien",
               H669&gt;=10,"Passable",
               TRUE,"Insuffisant")</f>
        <v>Très bien</v>
      </c>
      <c r="M669" t="str">
        <f t="shared" si="37"/>
        <v>RAS</v>
      </c>
      <c r="N669" t="str">
        <f t="shared" si="38"/>
        <v>Autre filière</v>
      </c>
    </row>
    <row r="670" spans="1:14" x14ac:dyDescent="0.45">
      <c r="A670" t="s">
        <v>977</v>
      </c>
      <c r="B670" t="s">
        <v>978</v>
      </c>
      <c r="E670" t="s">
        <v>29</v>
      </c>
      <c r="F670">
        <v>12.78</v>
      </c>
      <c r="H670">
        <v>15.31</v>
      </c>
      <c r="J670">
        <v>0.71220000000000006</v>
      </c>
      <c r="K670" t="str">
        <f t="shared" si="36"/>
        <v>Admis sous condition</v>
      </c>
      <c r="L670" t="str" cm="1">
        <f t="array" ref="L670">_xlfn.IFS(H670&gt;=16,"Excellent",
               H670&gt;=14,"Très bien",
               H670&gt;=12,"Bien",
               H670&gt;=10,"Passable",
               TRUE,"Insuffisant")</f>
        <v>Très bien</v>
      </c>
      <c r="M670" t="str">
        <f t="shared" si="37"/>
        <v>RAS</v>
      </c>
      <c r="N670" t="str">
        <f t="shared" si="38"/>
        <v>Autre filière</v>
      </c>
    </row>
    <row r="671" spans="1:14" x14ac:dyDescent="0.45">
      <c r="A671" t="s">
        <v>979</v>
      </c>
      <c r="B671" t="s">
        <v>490</v>
      </c>
      <c r="E671" t="s">
        <v>42</v>
      </c>
      <c r="F671">
        <v>7.55</v>
      </c>
      <c r="H671">
        <v>8.84</v>
      </c>
      <c r="J671">
        <v>0.88290000000000002</v>
      </c>
      <c r="K671" t="str">
        <f t="shared" si="36"/>
        <v>Refusé</v>
      </c>
      <c r="L671" t="str" cm="1">
        <f t="array" ref="L671">_xlfn.IFS(H671&gt;=16,"Excellent",
               H671&gt;=14,"Très bien",
               H671&gt;=12,"Bien",
               H671&gt;=10,"Passable",
               TRUE,"Insuffisant")</f>
        <v>Insuffisant</v>
      </c>
      <c r="M671" t="str">
        <f t="shared" si="37"/>
        <v>A surveiller</v>
      </c>
      <c r="N671" t="str">
        <f t="shared" si="38"/>
        <v>Autre filière</v>
      </c>
    </row>
    <row r="672" spans="1:14" x14ac:dyDescent="0.45">
      <c r="A672" t="s">
        <v>980</v>
      </c>
      <c r="B672" t="s">
        <v>207</v>
      </c>
      <c r="E672" t="s">
        <v>42</v>
      </c>
      <c r="F672">
        <v>18.09</v>
      </c>
      <c r="H672">
        <v>17.27</v>
      </c>
      <c r="J672">
        <v>0.84699999999999998</v>
      </c>
      <c r="K672" t="str">
        <f t="shared" si="36"/>
        <v>Admis</v>
      </c>
      <c r="L672" t="str" cm="1">
        <f t="array" ref="L672">_xlfn.IFS(H672&gt;=16,"Excellent",
               H672&gt;=14,"Très bien",
               H672&gt;=12,"Bien",
               H672&gt;=10,"Passable",
               TRUE,"Insuffisant")</f>
        <v>Excellent</v>
      </c>
      <c r="M672" t="str">
        <f t="shared" si="37"/>
        <v>RAS</v>
      </c>
      <c r="N672" t="str">
        <f t="shared" si="38"/>
        <v>Autre filière</v>
      </c>
    </row>
    <row r="673" spans="1:14" x14ac:dyDescent="0.45">
      <c r="A673" t="s">
        <v>981</v>
      </c>
      <c r="B673" t="s">
        <v>728</v>
      </c>
      <c r="E673" t="s">
        <v>42</v>
      </c>
      <c r="F673">
        <v>16.920000000000002</v>
      </c>
      <c r="H673">
        <v>17.5</v>
      </c>
      <c r="J673">
        <v>0.55000000000000004</v>
      </c>
      <c r="K673" t="str">
        <f t="shared" si="36"/>
        <v>Admis sous condition</v>
      </c>
      <c r="L673" t="str" cm="1">
        <f t="array" ref="L673">_xlfn.IFS(H673&gt;=16,"Excellent",
               H673&gt;=14,"Très bien",
               H673&gt;=12,"Bien",
               H673&gt;=10,"Passable",
               TRUE,"Insuffisant")</f>
        <v>Excellent</v>
      </c>
      <c r="M673" t="str">
        <f t="shared" si="37"/>
        <v>A surveiller</v>
      </c>
      <c r="N673" t="str">
        <f t="shared" si="38"/>
        <v>Autre filière</v>
      </c>
    </row>
    <row r="674" spans="1:14" x14ac:dyDescent="0.45">
      <c r="A674" t="s">
        <v>982</v>
      </c>
      <c r="B674" t="s">
        <v>231</v>
      </c>
      <c r="E674" t="s">
        <v>42</v>
      </c>
      <c r="F674">
        <v>13.46</v>
      </c>
      <c r="H674">
        <v>14.86</v>
      </c>
      <c r="J674">
        <v>0.65739999999999998</v>
      </c>
      <c r="K674" t="str">
        <f t="shared" si="36"/>
        <v>Admis sous condition</v>
      </c>
      <c r="L674" t="str" cm="1">
        <f t="array" ref="L674">_xlfn.IFS(H674&gt;=16,"Excellent",
               H674&gt;=14,"Très bien",
               H674&gt;=12,"Bien",
               H674&gt;=10,"Passable",
               TRUE,"Insuffisant")</f>
        <v>Très bien</v>
      </c>
      <c r="M674" t="str">
        <f t="shared" si="37"/>
        <v>A surveiller</v>
      </c>
      <c r="N674" t="str">
        <f t="shared" si="38"/>
        <v>Autre filière</v>
      </c>
    </row>
    <row r="675" spans="1:14" x14ac:dyDescent="0.45">
      <c r="A675" t="s">
        <v>983</v>
      </c>
      <c r="B675" t="s">
        <v>920</v>
      </c>
      <c r="E675" t="s">
        <v>16</v>
      </c>
      <c r="F675">
        <v>8.74</v>
      </c>
      <c r="H675">
        <v>12.25</v>
      </c>
      <c r="J675">
        <v>0.59</v>
      </c>
      <c r="K675" t="str">
        <f t="shared" si="36"/>
        <v>Refusé</v>
      </c>
      <c r="L675" t="str" cm="1">
        <f t="array" ref="L675">_xlfn.IFS(H675&gt;=16,"Excellent",
               H675&gt;=14,"Très bien",
               H675&gt;=12,"Bien",
               H675&gt;=10,"Passable",
               TRUE,"Insuffisant")</f>
        <v>Bien</v>
      </c>
      <c r="M675" t="str">
        <f t="shared" si="37"/>
        <v>A surveiller</v>
      </c>
      <c r="N675" t="str">
        <f t="shared" si="38"/>
        <v>Data</v>
      </c>
    </row>
    <row r="676" spans="1:14" x14ac:dyDescent="0.45">
      <c r="A676" t="s">
        <v>984</v>
      </c>
      <c r="B676" t="s">
        <v>583</v>
      </c>
      <c r="E676" t="s">
        <v>16</v>
      </c>
      <c r="F676">
        <v>16.57</v>
      </c>
      <c r="H676">
        <v>13.77</v>
      </c>
      <c r="J676">
        <v>0.73750000000000004</v>
      </c>
      <c r="K676" t="str">
        <f t="shared" si="36"/>
        <v>Admis sous condition</v>
      </c>
      <c r="L676" t="str" cm="1">
        <f t="array" ref="L676">_xlfn.IFS(H676&gt;=16,"Excellent",
               H676&gt;=14,"Très bien",
               H676&gt;=12,"Bien",
               H676&gt;=10,"Passable",
               TRUE,"Insuffisant")</f>
        <v>Bien</v>
      </c>
      <c r="M676" t="str">
        <f t="shared" si="37"/>
        <v>RAS</v>
      </c>
      <c r="N676" t="str">
        <f t="shared" si="38"/>
        <v>Data</v>
      </c>
    </row>
    <row r="677" spans="1:14" x14ac:dyDescent="0.45">
      <c r="A677" t="s">
        <v>985</v>
      </c>
      <c r="B677" t="s">
        <v>223</v>
      </c>
      <c r="E677" t="s">
        <v>29</v>
      </c>
      <c r="F677">
        <v>8.65</v>
      </c>
      <c r="H677">
        <v>5.79</v>
      </c>
      <c r="J677">
        <v>0.88280000000000003</v>
      </c>
      <c r="K677" t="str">
        <f t="shared" si="36"/>
        <v>Refusé</v>
      </c>
      <c r="L677" t="str" cm="1">
        <f t="array" ref="L677">_xlfn.IFS(H677&gt;=16,"Excellent",
               H677&gt;=14,"Très bien",
               H677&gt;=12,"Bien",
               H677&gt;=10,"Passable",
               TRUE,"Insuffisant")</f>
        <v>Insuffisant</v>
      </c>
      <c r="M677" t="str">
        <f t="shared" si="37"/>
        <v>A surveiller</v>
      </c>
      <c r="N677" t="str">
        <f t="shared" si="38"/>
        <v>Autre filière</v>
      </c>
    </row>
    <row r="678" spans="1:14" x14ac:dyDescent="0.45">
      <c r="A678" t="s">
        <v>986</v>
      </c>
      <c r="B678" t="s">
        <v>220</v>
      </c>
      <c r="E678" t="s">
        <v>42</v>
      </c>
      <c r="F678">
        <v>14.52</v>
      </c>
      <c r="H678">
        <v>15</v>
      </c>
      <c r="J678">
        <v>0.93310000000000004</v>
      </c>
      <c r="K678" t="str">
        <f t="shared" si="36"/>
        <v>Admis</v>
      </c>
      <c r="L678" t="str" cm="1">
        <f t="array" ref="L678">_xlfn.IFS(H678&gt;=16,"Excellent",
               H678&gt;=14,"Très bien",
               H678&gt;=12,"Bien",
               H678&gt;=10,"Passable",
               TRUE,"Insuffisant")</f>
        <v>Très bien</v>
      </c>
      <c r="M678" t="str">
        <f t="shared" si="37"/>
        <v>RAS</v>
      </c>
      <c r="N678" t="str">
        <f t="shared" si="38"/>
        <v>Autre filière</v>
      </c>
    </row>
    <row r="679" spans="1:14" x14ac:dyDescent="0.45">
      <c r="A679" t="s">
        <v>987</v>
      </c>
      <c r="B679" t="s">
        <v>438</v>
      </c>
      <c r="E679" t="s">
        <v>29</v>
      </c>
      <c r="F679">
        <v>10.050000000000001</v>
      </c>
      <c r="H679">
        <v>9.2100000000000009</v>
      </c>
      <c r="J679">
        <v>0.85160000000000002</v>
      </c>
      <c r="K679" t="str">
        <f t="shared" si="36"/>
        <v>Refusé</v>
      </c>
      <c r="L679" t="str" cm="1">
        <f t="array" ref="L679">_xlfn.IFS(H679&gt;=16,"Excellent",
               H679&gt;=14,"Très bien",
               H679&gt;=12,"Bien",
               H679&gt;=10,"Passable",
               TRUE,"Insuffisant")</f>
        <v>Insuffisant</v>
      </c>
      <c r="M679" t="str">
        <f t="shared" si="37"/>
        <v>A surveiller</v>
      </c>
      <c r="N679" t="str">
        <f t="shared" si="38"/>
        <v>Autre filière</v>
      </c>
    </row>
    <row r="680" spans="1:14" x14ac:dyDescent="0.45">
      <c r="A680" t="s">
        <v>988</v>
      </c>
      <c r="B680" t="s">
        <v>684</v>
      </c>
      <c r="E680" t="s">
        <v>42</v>
      </c>
      <c r="F680">
        <v>16.25</v>
      </c>
      <c r="H680">
        <v>11.63</v>
      </c>
      <c r="J680">
        <v>0.75070000000000003</v>
      </c>
      <c r="K680" t="str">
        <f t="shared" si="36"/>
        <v>Admis sous condition</v>
      </c>
      <c r="L680" t="str" cm="1">
        <f t="array" ref="L680">_xlfn.IFS(H680&gt;=16,"Excellent",
               H680&gt;=14,"Très bien",
               H680&gt;=12,"Bien",
               H680&gt;=10,"Passable",
               TRUE,"Insuffisant")</f>
        <v>Passable</v>
      </c>
      <c r="M680" t="str">
        <f t="shared" si="37"/>
        <v>RAS</v>
      </c>
      <c r="N680" t="str">
        <f t="shared" si="38"/>
        <v>Autre filière</v>
      </c>
    </row>
    <row r="681" spans="1:14" x14ac:dyDescent="0.45">
      <c r="A681" t="s">
        <v>989</v>
      </c>
      <c r="B681" t="s">
        <v>301</v>
      </c>
      <c r="E681" t="s">
        <v>29</v>
      </c>
      <c r="F681">
        <v>17.329999999999998</v>
      </c>
      <c r="H681">
        <v>16.149999999999999</v>
      </c>
      <c r="J681">
        <v>0.84740000000000004</v>
      </c>
      <c r="K681" t="str">
        <f t="shared" si="36"/>
        <v>Admis</v>
      </c>
      <c r="L681" t="str" cm="1">
        <f t="array" ref="L681">_xlfn.IFS(H681&gt;=16,"Excellent",
               H681&gt;=14,"Très bien",
               H681&gt;=12,"Bien",
               H681&gt;=10,"Passable",
               TRUE,"Insuffisant")</f>
        <v>Excellent</v>
      </c>
      <c r="M681" t="str">
        <f t="shared" si="37"/>
        <v>RAS</v>
      </c>
      <c r="N681" t="str">
        <f t="shared" si="38"/>
        <v>Autre filière</v>
      </c>
    </row>
    <row r="682" spans="1:14" x14ac:dyDescent="0.45">
      <c r="A682" t="s">
        <v>990</v>
      </c>
      <c r="B682" t="s">
        <v>684</v>
      </c>
      <c r="E682" t="s">
        <v>21</v>
      </c>
      <c r="F682">
        <v>18.41</v>
      </c>
      <c r="H682">
        <v>18.920000000000002</v>
      </c>
      <c r="J682">
        <v>0.73050000000000004</v>
      </c>
      <c r="K682" t="str">
        <f t="shared" si="36"/>
        <v>Admis sous condition</v>
      </c>
      <c r="L682" t="str" cm="1">
        <f t="array" ref="L682">_xlfn.IFS(H682&gt;=16,"Excellent",
               H682&gt;=14,"Très bien",
               H682&gt;=12,"Bien",
               H682&gt;=10,"Passable",
               TRUE,"Insuffisant")</f>
        <v>Excellent</v>
      </c>
      <c r="M682" t="str">
        <f t="shared" si="37"/>
        <v>RAS</v>
      </c>
      <c r="N682" t="str">
        <f t="shared" si="38"/>
        <v>Autre filière</v>
      </c>
    </row>
    <row r="683" spans="1:14" x14ac:dyDescent="0.45">
      <c r="A683" t="s">
        <v>991</v>
      </c>
      <c r="B683" t="s">
        <v>468</v>
      </c>
      <c r="E683" t="s">
        <v>29</v>
      </c>
      <c r="F683">
        <v>13.1</v>
      </c>
      <c r="H683">
        <v>12.53</v>
      </c>
      <c r="J683">
        <v>0.82169999999999999</v>
      </c>
      <c r="K683" t="str">
        <f t="shared" si="36"/>
        <v>Admis</v>
      </c>
      <c r="L683" t="str" cm="1">
        <f t="array" ref="L683">_xlfn.IFS(H683&gt;=16,"Excellent",
               H683&gt;=14,"Très bien",
               H683&gt;=12,"Bien",
               H683&gt;=10,"Passable",
               TRUE,"Insuffisant")</f>
        <v>Bien</v>
      </c>
      <c r="M683" t="str">
        <f t="shared" si="37"/>
        <v>RAS</v>
      </c>
      <c r="N683" t="str">
        <f t="shared" si="38"/>
        <v>Autre filière</v>
      </c>
    </row>
    <row r="684" spans="1:14" x14ac:dyDescent="0.45">
      <c r="A684" t="s">
        <v>992</v>
      </c>
      <c r="B684" t="s">
        <v>61</v>
      </c>
      <c r="E684" t="s">
        <v>21</v>
      </c>
      <c r="F684">
        <v>11.44</v>
      </c>
      <c r="H684">
        <v>13.17</v>
      </c>
      <c r="J684">
        <v>0.83730000000000004</v>
      </c>
      <c r="K684" t="str">
        <f t="shared" si="36"/>
        <v>Admis sous condition</v>
      </c>
      <c r="L684" t="str" cm="1">
        <f t="array" ref="L684">_xlfn.IFS(H684&gt;=16,"Excellent",
               H684&gt;=14,"Très bien",
               H684&gt;=12,"Bien",
               H684&gt;=10,"Passable",
               TRUE,"Insuffisant")</f>
        <v>Bien</v>
      </c>
      <c r="M684" t="str">
        <f t="shared" si="37"/>
        <v>RAS</v>
      </c>
      <c r="N684" t="str">
        <f t="shared" si="38"/>
        <v>Autre filière</v>
      </c>
    </row>
    <row r="685" spans="1:14" x14ac:dyDescent="0.45">
      <c r="A685" t="s">
        <v>993</v>
      </c>
      <c r="B685" t="s">
        <v>414</v>
      </c>
      <c r="E685" t="s">
        <v>29</v>
      </c>
      <c r="F685">
        <v>13.31</v>
      </c>
      <c r="H685">
        <v>12.77</v>
      </c>
      <c r="J685">
        <v>0.92469999999999997</v>
      </c>
      <c r="K685" t="str">
        <f t="shared" si="36"/>
        <v>Admis</v>
      </c>
      <c r="L685" t="str" cm="1">
        <f t="array" ref="L685">_xlfn.IFS(H685&gt;=16,"Excellent",
               H685&gt;=14,"Très bien",
               H685&gt;=12,"Bien",
               H685&gt;=10,"Passable",
               TRUE,"Insuffisant")</f>
        <v>Bien</v>
      </c>
      <c r="M685" t="str">
        <f t="shared" si="37"/>
        <v>RAS</v>
      </c>
      <c r="N685" t="str">
        <f t="shared" si="38"/>
        <v>Autre filière</v>
      </c>
    </row>
    <row r="686" spans="1:14" x14ac:dyDescent="0.45">
      <c r="A686" t="s">
        <v>994</v>
      </c>
      <c r="B686" t="s">
        <v>151</v>
      </c>
      <c r="E686" t="s">
        <v>29</v>
      </c>
      <c r="F686">
        <v>16.809999999999999</v>
      </c>
      <c r="H686">
        <v>18.850000000000001</v>
      </c>
      <c r="J686">
        <v>0.55000000000000004</v>
      </c>
      <c r="K686" t="str">
        <f t="shared" si="36"/>
        <v>Admis sous condition</v>
      </c>
      <c r="L686" t="str" cm="1">
        <f t="array" ref="L686">_xlfn.IFS(H686&gt;=16,"Excellent",
               H686&gt;=14,"Très bien",
               H686&gt;=12,"Bien",
               H686&gt;=10,"Passable",
               TRUE,"Insuffisant")</f>
        <v>Excellent</v>
      </c>
      <c r="M686" t="str">
        <f t="shared" si="37"/>
        <v>A surveiller</v>
      </c>
      <c r="N686" t="str">
        <f t="shared" si="38"/>
        <v>Autre filière</v>
      </c>
    </row>
    <row r="687" spans="1:14" x14ac:dyDescent="0.45">
      <c r="A687" t="s">
        <v>995</v>
      </c>
      <c r="B687" t="s">
        <v>309</v>
      </c>
      <c r="E687" t="s">
        <v>42</v>
      </c>
      <c r="F687">
        <v>15.42</v>
      </c>
      <c r="H687">
        <v>12.24</v>
      </c>
      <c r="J687">
        <v>0.93669999999999998</v>
      </c>
      <c r="K687" t="str">
        <f t="shared" si="36"/>
        <v>Admis</v>
      </c>
      <c r="L687" t="str" cm="1">
        <f t="array" ref="L687">_xlfn.IFS(H687&gt;=16,"Excellent",
               H687&gt;=14,"Très bien",
               H687&gt;=12,"Bien",
               H687&gt;=10,"Passable",
               TRUE,"Insuffisant")</f>
        <v>Bien</v>
      </c>
      <c r="M687" t="str">
        <f t="shared" si="37"/>
        <v>RAS</v>
      </c>
      <c r="N687" t="str">
        <f t="shared" si="38"/>
        <v>Autre filière</v>
      </c>
    </row>
    <row r="688" spans="1:14" x14ac:dyDescent="0.45">
      <c r="A688" t="s">
        <v>996</v>
      </c>
      <c r="B688" t="s">
        <v>461</v>
      </c>
      <c r="E688" t="s">
        <v>29</v>
      </c>
      <c r="F688">
        <v>10.09</v>
      </c>
      <c r="H688">
        <v>12.3</v>
      </c>
      <c r="J688">
        <v>0.81459999999999999</v>
      </c>
      <c r="K688" t="str">
        <f t="shared" si="36"/>
        <v>Admis sous condition</v>
      </c>
      <c r="L688" t="str" cm="1">
        <f t="array" ref="L688">_xlfn.IFS(H688&gt;=16,"Excellent",
               H688&gt;=14,"Très bien",
               H688&gt;=12,"Bien",
               H688&gt;=10,"Passable",
               TRUE,"Insuffisant")</f>
        <v>Bien</v>
      </c>
      <c r="M688" t="str">
        <f t="shared" si="37"/>
        <v>RAS</v>
      </c>
      <c r="N688" t="str">
        <f t="shared" si="38"/>
        <v>Autre filière</v>
      </c>
    </row>
    <row r="689" spans="1:14" x14ac:dyDescent="0.45">
      <c r="A689" t="s">
        <v>997</v>
      </c>
      <c r="B689" t="s">
        <v>167</v>
      </c>
      <c r="E689" t="s">
        <v>16</v>
      </c>
      <c r="F689">
        <v>15.69</v>
      </c>
      <c r="H689">
        <v>12.91</v>
      </c>
      <c r="J689">
        <v>0.90949999999999998</v>
      </c>
      <c r="K689" t="str">
        <f t="shared" si="36"/>
        <v>Admis</v>
      </c>
      <c r="L689" t="str" cm="1">
        <f t="array" ref="L689">_xlfn.IFS(H689&gt;=16,"Excellent",
               H689&gt;=14,"Très bien",
               H689&gt;=12,"Bien",
               H689&gt;=10,"Passable",
               TRUE,"Insuffisant")</f>
        <v>Bien</v>
      </c>
      <c r="M689" t="str">
        <f t="shared" si="37"/>
        <v>RAS</v>
      </c>
      <c r="N689" t="str">
        <f t="shared" si="38"/>
        <v>Data</v>
      </c>
    </row>
    <row r="690" spans="1:14" x14ac:dyDescent="0.45">
      <c r="A690" t="s">
        <v>998</v>
      </c>
      <c r="B690" t="s">
        <v>225</v>
      </c>
      <c r="E690" t="s">
        <v>29</v>
      </c>
      <c r="F690">
        <v>6.6</v>
      </c>
      <c r="H690">
        <v>10.68</v>
      </c>
      <c r="J690">
        <v>0.81869999999999998</v>
      </c>
      <c r="K690" t="str">
        <f t="shared" si="36"/>
        <v>Refusé</v>
      </c>
      <c r="L690" t="str" cm="1">
        <f t="array" ref="L690">_xlfn.IFS(H690&gt;=16,"Excellent",
               H690&gt;=14,"Très bien",
               H690&gt;=12,"Bien",
               H690&gt;=10,"Passable",
               TRUE,"Insuffisant")</f>
        <v>Passable</v>
      </c>
      <c r="M690" t="str">
        <f t="shared" si="37"/>
        <v>A surveiller</v>
      </c>
      <c r="N690" t="str">
        <f t="shared" si="38"/>
        <v>Autre filière</v>
      </c>
    </row>
    <row r="691" spans="1:14" x14ac:dyDescent="0.45">
      <c r="A691" t="s">
        <v>999</v>
      </c>
      <c r="B691" t="s">
        <v>338</v>
      </c>
      <c r="E691" t="s">
        <v>21</v>
      </c>
      <c r="F691">
        <v>13.64</v>
      </c>
      <c r="H691">
        <v>13.41</v>
      </c>
      <c r="J691">
        <v>0.95199999999999996</v>
      </c>
      <c r="K691" t="str">
        <f t="shared" si="36"/>
        <v>Admis</v>
      </c>
      <c r="L691" t="str" cm="1">
        <f t="array" ref="L691">_xlfn.IFS(H691&gt;=16,"Excellent",
               H691&gt;=14,"Très bien",
               H691&gt;=12,"Bien",
               H691&gt;=10,"Passable",
               TRUE,"Insuffisant")</f>
        <v>Bien</v>
      </c>
      <c r="M691" t="str">
        <f t="shared" si="37"/>
        <v>RAS</v>
      </c>
      <c r="N691" t="str">
        <f t="shared" si="38"/>
        <v>Autre filière</v>
      </c>
    </row>
    <row r="692" spans="1:14" x14ac:dyDescent="0.45">
      <c r="A692" t="s">
        <v>1000</v>
      </c>
      <c r="B692" t="s">
        <v>484</v>
      </c>
      <c r="E692" t="s">
        <v>16</v>
      </c>
      <c r="F692">
        <v>8.7899999999999991</v>
      </c>
      <c r="H692">
        <v>3.27</v>
      </c>
      <c r="J692">
        <v>0.57320000000000004</v>
      </c>
      <c r="K692" t="str">
        <f t="shared" si="36"/>
        <v>Refusé</v>
      </c>
      <c r="L692" t="str" cm="1">
        <f t="array" ref="L692">_xlfn.IFS(H692&gt;=16,"Excellent",
               H692&gt;=14,"Très bien",
               H692&gt;=12,"Bien",
               H692&gt;=10,"Passable",
               TRUE,"Insuffisant")</f>
        <v>Insuffisant</v>
      </c>
      <c r="M692" t="str">
        <f t="shared" si="37"/>
        <v>A surveiller</v>
      </c>
      <c r="N692" t="str">
        <f t="shared" si="38"/>
        <v>Data</v>
      </c>
    </row>
    <row r="693" spans="1:14" x14ac:dyDescent="0.45">
      <c r="A693" t="s">
        <v>1001</v>
      </c>
      <c r="B693" t="s">
        <v>902</v>
      </c>
      <c r="E693" t="s">
        <v>29</v>
      </c>
      <c r="F693">
        <v>19.989999999999998</v>
      </c>
      <c r="H693">
        <v>13.43</v>
      </c>
      <c r="J693">
        <v>0.87280000000000002</v>
      </c>
      <c r="K693" t="str">
        <f t="shared" si="36"/>
        <v>Admis</v>
      </c>
      <c r="L693" t="str" cm="1">
        <f t="array" ref="L693">_xlfn.IFS(H693&gt;=16,"Excellent",
               H693&gt;=14,"Très bien",
               H693&gt;=12,"Bien",
               H693&gt;=10,"Passable",
               TRUE,"Insuffisant")</f>
        <v>Bien</v>
      </c>
      <c r="M693" t="str">
        <f t="shared" si="37"/>
        <v>RAS</v>
      </c>
      <c r="N693" t="str">
        <f t="shared" si="38"/>
        <v>Autre filière</v>
      </c>
    </row>
    <row r="694" spans="1:14" x14ac:dyDescent="0.45">
      <c r="A694" t="s">
        <v>1002</v>
      </c>
      <c r="B694" t="s">
        <v>1003</v>
      </c>
      <c r="E694" t="s">
        <v>42</v>
      </c>
      <c r="F694">
        <v>12.93</v>
      </c>
      <c r="H694">
        <v>13.93</v>
      </c>
      <c r="J694">
        <v>0.78190000000000004</v>
      </c>
      <c r="K694" t="str">
        <f t="shared" si="36"/>
        <v>Admis sous condition</v>
      </c>
      <c r="L694" t="str" cm="1">
        <f t="array" ref="L694">_xlfn.IFS(H694&gt;=16,"Excellent",
               H694&gt;=14,"Très bien",
               H694&gt;=12,"Bien",
               H694&gt;=10,"Passable",
               TRUE,"Insuffisant")</f>
        <v>Bien</v>
      </c>
      <c r="M694" t="str">
        <f t="shared" si="37"/>
        <v>RAS</v>
      </c>
      <c r="N694" t="str">
        <f t="shared" si="38"/>
        <v>Autre filière</v>
      </c>
    </row>
    <row r="695" spans="1:14" x14ac:dyDescent="0.45">
      <c r="A695" t="s">
        <v>1004</v>
      </c>
      <c r="B695" t="s">
        <v>630</v>
      </c>
      <c r="E695" t="s">
        <v>42</v>
      </c>
      <c r="F695">
        <v>18.72</v>
      </c>
      <c r="H695">
        <v>20</v>
      </c>
      <c r="J695">
        <v>0.91690000000000005</v>
      </c>
      <c r="K695" t="str">
        <f t="shared" si="36"/>
        <v>Admis</v>
      </c>
      <c r="L695" t="str" cm="1">
        <f t="array" ref="L695">_xlfn.IFS(H695&gt;=16,"Excellent",
               H695&gt;=14,"Très bien",
               H695&gt;=12,"Bien",
               H695&gt;=10,"Passable",
               TRUE,"Insuffisant")</f>
        <v>Excellent</v>
      </c>
      <c r="M695" t="str">
        <f t="shared" si="37"/>
        <v>RAS</v>
      </c>
      <c r="N695" t="str">
        <f t="shared" si="38"/>
        <v>Autre filière</v>
      </c>
    </row>
    <row r="696" spans="1:14" x14ac:dyDescent="0.45">
      <c r="A696" t="s">
        <v>1005</v>
      </c>
      <c r="B696" t="s">
        <v>663</v>
      </c>
      <c r="E696" t="s">
        <v>29</v>
      </c>
      <c r="F696">
        <v>9.2100000000000009</v>
      </c>
      <c r="H696">
        <v>14.32</v>
      </c>
      <c r="J696">
        <v>0.99099999999999999</v>
      </c>
      <c r="K696" t="str">
        <f t="shared" si="36"/>
        <v>Refusé</v>
      </c>
      <c r="L696" t="str" cm="1">
        <f t="array" ref="L696">_xlfn.IFS(H696&gt;=16,"Excellent",
               H696&gt;=14,"Très bien",
               H696&gt;=12,"Bien",
               H696&gt;=10,"Passable",
               TRUE,"Insuffisant")</f>
        <v>Très bien</v>
      </c>
      <c r="M696" t="str">
        <f t="shared" si="37"/>
        <v>A surveiller</v>
      </c>
      <c r="N696" t="str">
        <f t="shared" si="38"/>
        <v>Autre filière</v>
      </c>
    </row>
    <row r="697" spans="1:14" x14ac:dyDescent="0.45">
      <c r="A697" t="s">
        <v>1006</v>
      </c>
      <c r="B697" t="s">
        <v>526</v>
      </c>
      <c r="E697" t="s">
        <v>16</v>
      </c>
      <c r="F697">
        <v>16.86</v>
      </c>
      <c r="H697">
        <v>14.69</v>
      </c>
      <c r="J697">
        <v>0.84560000000000002</v>
      </c>
      <c r="K697" t="str">
        <f t="shared" si="36"/>
        <v>Admis</v>
      </c>
      <c r="L697" t="str" cm="1">
        <f t="array" ref="L697">_xlfn.IFS(H697&gt;=16,"Excellent",
               H697&gt;=14,"Très bien",
               H697&gt;=12,"Bien",
               H697&gt;=10,"Passable",
               TRUE,"Insuffisant")</f>
        <v>Très bien</v>
      </c>
      <c r="M697" t="str">
        <f t="shared" si="37"/>
        <v>RAS</v>
      </c>
      <c r="N697" t="str">
        <f t="shared" si="38"/>
        <v>Data</v>
      </c>
    </row>
    <row r="698" spans="1:14" x14ac:dyDescent="0.45">
      <c r="A698" t="s">
        <v>1007</v>
      </c>
      <c r="B698" t="s">
        <v>167</v>
      </c>
      <c r="E698" t="s">
        <v>16</v>
      </c>
      <c r="F698">
        <v>12.35</v>
      </c>
      <c r="H698">
        <v>18.91</v>
      </c>
      <c r="J698">
        <v>0.82499999999999996</v>
      </c>
      <c r="K698" t="str">
        <f t="shared" si="36"/>
        <v>Admis</v>
      </c>
      <c r="L698" t="str" cm="1">
        <f t="array" ref="L698">_xlfn.IFS(H698&gt;=16,"Excellent",
               H698&gt;=14,"Très bien",
               H698&gt;=12,"Bien",
               H698&gt;=10,"Passable",
               TRUE,"Insuffisant")</f>
        <v>Excellent</v>
      </c>
      <c r="M698" t="str">
        <f t="shared" si="37"/>
        <v>RAS</v>
      </c>
      <c r="N698" t="str">
        <f t="shared" si="38"/>
        <v>Data</v>
      </c>
    </row>
    <row r="699" spans="1:14" x14ac:dyDescent="0.45">
      <c r="A699" t="s">
        <v>1008</v>
      </c>
      <c r="B699" t="s">
        <v>847</v>
      </c>
      <c r="E699" t="s">
        <v>29</v>
      </c>
      <c r="F699">
        <v>14.63</v>
      </c>
      <c r="H699">
        <v>16.96</v>
      </c>
      <c r="J699">
        <v>0.93830000000000002</v>
      </c>
      <c r="K699" t="str">
        <f t="shared" si="36"/>
        <v>Admis</v>
      </c>
      <c r="L699" t="str" cm="1">
        <f t="array" ref="L699">_xlfn.IFS(H699&gt;=16,"Excellent",
               H699&gt;=14,"Très bien",
               H699&gt;=12,"Bien",
               H699&gt;=10,"Passable",
               TRUE,"Insuffisant")</f>
        <v>Excellent</v>
      </c>
      <c r="M699" t="str">
        <f t="shared" si="37"/>
        <v>RAS</v>
      </c>
      <c r="N699" t="str">
        <f t="shared" si="38"/>
        <v>Autre filière</v>
      </c>
    </row>
    <row r="700" spans="1:14" x14ac:dyDescent="0.45">
      <c r="A700" t="s">
        <v>1009</v>
      </c>
      <c r="B700" t="s">
        <v>588</v>
      </c>
      <c r="E700" t="s">
        <v>21</v>
      </c>
      <c r="F700">
        <v>17.559999999999999</v>
      </c>
      <c r="H700">
        <v>14.18</v>
      </c>
      <c r="J700">
        <v>0.83220000000000005</v>
      </c>
      <c r="K700" t="str">
        <f t="shared" si="36"/>
        <v>Admis</v>
      </c>
      <c r="L700" t="str" cm="1">
        <f t="array" ref="L700">_xlfn.IFS(H700&gt;=16,"Excellent",
               H700&gt;=14,"Très bien",
               H700&gt;=12,"Bien",
               H700&gt;=10,"Passable",
               TRUE,"Insuffisant")</f>
        <v>Très bien</v>
      </c>
      <c r="M700" t="str">
        <f t="shared" si="37"/>
        <v>RAS</v>
      </c>
      <c r="N700" t="str">
        <f t="shared" si="38"/>
        <v>Autre filière</v>
      </c>
    </row>
    <row r="701" spans="1:14" x14ac:dyDescent="0.45">
      <c r="A701" t="s">
        <v>1010</v>
      </c>
      <c r="B701" t="s">
        <v>133</v>
      </c>
      <c r="E701" t="s">
        <v>16</v>
      </c>
      <c r="F701">
        <v>15.43</v>
      </c>
      <c r="H701">
        <v>13.03</v>
      </c>
      <c r="J701">
        <v>0.76729999999999998</v>
      </c>
      <c r="K701" t="str">
        <f t="shared" si="36"/>
        <v>Admis sous condition</v>
      </c>
      <c r="L701" t="str" cm="1">
        <f t="array" ref="L701">_xlfn.IFS(H701&gt;=16,"Excellent",
               H701&gt;=14,"Très bien",
               H701&gt;=12,"Bien",
               H701&gt;=10,"Passable",
               TRUE,"Insuffisant")</f>
        <v>Bien</v>
      </c>
      <c r="M701" t="str">
        <f t="shared" si="37"/>
        <v>RAS</v>
      </c>
      <c r="N701" t="str">
        <f t="shared" si="38"/>
        <v>Data</v>
      </c>
    </row>
    <row r="702" spans="1:14" x14ac:dyDescent="0.45">
      <c r="A702" t="s">
        <v>1011</v>
      </c>
      <c r="B702" t="s">
        <v>356</v>
      </c>
      <c r="E702" t="s">
        <v>21</v>
      </c>
      <c r="F702">
        <v>11.07</v>
      </c>
      <c r="H702">
        <v>13.4</v>
      </c>
      <c r="J702">
        <v>0.79579999999999995</v>
      </c>
      <c r="K702" t="str">
        <f t="shared" si="36"/>
        <v>Admis sous condition</v>
      </c>
      <c r="L702" t="str" cm="1">
        <f t="array" ref="L702">_xlfn.IFS(H702&gt;=16,"Excellent",
               H702&gt;=14,"Très bien",
               H702&gt;=12,"Bien",
               H702&gt;=10,"Passable",
               TRUE,"Insuffisant")</f>
        <v>Bien</v>
      </c>
      <c r="M702" t="str">
        <f t="shared" si="37"/>
        <v>RAS</v>
      </c>
      <c r="N702" t="str">
        <f t="shared" si="38"/>
        <v>Autre filière</v>
      </c>
    </row>
    <row r="703" spans="1:14" x14ac:dyDescent="0.45">
      <c r="A703" t="s">
        <v>1012</v>
      </c>
      <c r="B703" t="s">
        <v>742</v>
      </c>
      <c r="E703" t="s">
        <v>42</v>
      </c>
      <c r="F703">
        <v>14.2</v>
      </c>
      <c r="H703">
        <v>12.09</v>
      </c>
      <c r="J703">
        <v>0.96560000000000001</v>
      </c>
      <c r="K703" t="str">
        <f t="shared" si="36"/>
        <v>Admis</v>
      </c>
      <c r="L703" t="str" cm="1">
        <f t="array" ref="L703">_xlfn.IFS(H703&gt;=16,"Excellent",
               H703&gt;=14,"Très bien",
               H703&gt;=12,"Bien",
               H703&gt;=10,"Passable",
               TRUE,"Insuffisant")</f>
        <v>Bien</v>
      </c>
      <c r="M703" t="str">
        <f t="shared" si="37"/>
        <v>RAS</v>
      </c>
      <c r="N703" t="str">
        <f t="shared" si="38"/>
        <v>Autre filière</v>
      </c>
    </row>
    <row r="704" spans="1:14" x14ac:dyDescent="0.45">
      <c r="A704" t="s">
        <v>1013</v>
      </c>
      <c r="B704" t="s">
        <v>969</v>
      </c>
      <c r="E704" t="s">
        <v>16</v>
      </c>
      <c r="F704">
        <v>11.69</v>
      </c>
      <c r="H704">
        <v>14.87</v>
      </c>
      <c r="J704">
        <v>0.90649999999999997</v>
      </c>
      <c r="K704" t="str">
        <f t="shared" si="36"/>
        <v>Admis sous condition</v>
      </c>
      <c r="L704" t="str" cm="1">
        <f t="array" ref="L704">_xlfn.IFS(H704&gt;=16,"Excellent",
               H704&gt;=14,"Très bien",
               H704&gt;=12,"Bien",
               H704&gt;=10,"Passable",
               TRUE,"Insuffisant")</f>
        <v>Très bien</v>
      </c>
      <c r="M704" t="str">
        <f t="shared" si="37"/>
        <v>RAS</v>
      </c>
      <c r="N704" t="str">
        <f t="shared" si="38"/>
        <v>Data</v>
      </c>
    </row>
    <row r="705" spans="1:14" x14ac:dyDescent="0.45">
      <c r="A705" t="s">
        <v>1014</v>
      </c>
      <c r="B705" t="s">
        <v>348</v>
      </c>
      <c r="E705" t="s">
        <v>29</v>
      </c>
      <c r="F705">
        <v>15.11</v>
      </c>
      <c r="H705">
        <v>14.31</v>
      </c>
      <c r="J705">
        <v>0.74729999999999996</v>
      </c>
      <c r="K705" t="str">
        <f t="shared" si="36"/>
        <v>Admis sous condition</v>
      </c>
      <c r="L705" t="str" cm="1">
        <f t="array" ref="L705">_xlfn.IFS(H705&gt;=16,"Excellent",
               H705&gt;=14,"Très bien",
               H705&gt;=12,"Bien",
               H705&gt;=10,"Passable",
               TRUE,"Insuffisant")</f>
        <v>Très bien</v>
      </c>
      <c r="M705" t="str">
        <f t="shared" si="37"/>
        <v>RAS</v>
      </c>
      <c r="N705" t="str">
        <f t="shared" si="38"/>
        <v>Autre filière</v>
      </c>
    </row>
    <row r="706" spans="1:14" x14ac:dyDescent="0.45">
      <c r="A706" t="s">
        <v>1015</v>
      </c>
      <c r="B706" t="s">
        <v>240</v>
      </c>
      <c r="E706" t="s">
        <v>16</v>
      </c>
      <c r="F706">
        <v>13.07</v>
      </c>
      <c r="H706">
        <v>7.67</v>
      </c>
      <c r="J706">
        <v>0.95489999999999997</v>
      </c>
      <c r="K706" t="str">
        <f t="shared" si="36"/>
        <v>Refusé</v>
      </c>
      <c r="L706" t="str" cm="1">
        <f t="array" ref="L706">_xlfn.IFS(H706&gt;=16,"Excellent",
               H706&gt;=14,"Très bien",
               H706&gt;=12,"Bien",
               H706&gt;=10,"Passable",
               TRUE,"Insuffisant")</f>
        <v>Insuffisant</v>
      </c>
      <c r="M706" t="str">
        <f t="shared" si="37"/>
        <v>A surveiller</v>
      </c>
      <c r="N706" t="str">
        <f t="shared" si="38"/>
        <v>Data</v>
      </c>
    </row>
    <row r="707" spans="1:14" x14ac:dyDescent="0.45">
      <c r="A707" t="s">
        <v>1016</v>
      </c>
      <c r="B707" t="s">
        <v>902</v>
      </c>
      <c r="E707" t="s">
        <v>21</v>
      </c>
      <c r="F707">
        <v>14.73</v>
      </c>
      <c r="H707">
        <v>13.83</v>
      </c>
      <c r="J707">
        <v>0.95860000000000001</v>
      </c>
      <c r="K707" t="str">
        <f t="shared" si="36"/>
        <v>Admis</v>
      </c>
      <c r="L707" t="str" cm="1">
        <f t="array" ref="L707">_xlfn.IFS(H707&gt;=16,"Excellent",
               H707&gt;=14,"Très bien",
               H707&gt;=12,"Bien",
               H707&gt;=10,"Passable",
               TRUE,"Insuffisant")</f>
        <v>Bien</v>
      </c>
      <c r="M707" t="str">
        <f t="shared" si="37"/>
        <v>RAS</v>
      </c>
      <c r="N707" t="str">
        <f t="shared" si="38"/>
        <v>Autre filière</v>
      </c>
    </row>
    <row r="708" spans="1:14" x14ac:dyDescent="0.45">
      <c r="A708" t="s">
        <v>1017</v>
      </c>
      <c r="B708" t="s">
        <v>619</v>
      </c>
      <c r="E708" t="s">
        <v>42</v>
      </c>
      <c r="F708">
        <v>13.57</v>
      </c>
      <c r="H708">
        <v>16.079999999999998</v>
      </c>
      <c r="J708">
        <v>0.65720000000000001</v>
      </c>
      <c r="K708" t="str">
        <f t="shared" si="36"/>
        <v>Admis sous condition</v>
      </c>
      <c r="L708" t="str" cm="1">
        <f t="array" ref="L708">_xlfn.IFS(H708&gt;=16,"Excellent",
               H708&gt;=14,"Très bien",
               H708&gt;=12,"Bien",
               H708&gt;=10,"Passable",
               TRUE,"Insuffisant")</f>
        <v>Excellent</v>
      </c>
      <c r="M708" t="str">
        <f t="shared" si="37"/>
        <v>A surveiller</v>
      </c>
      <c r="N708" t="str">
        <f t="shared" si="38"/>
        <v>Autre filière</v>
      </c>
    </row>
    <row r="709" spans="1:14" x14ac:dyDescent="0.45">
      <c r="A709" t="s">
        <v>1018</v>
      </c>
      <c r="B709" t="s">
        <v>178</v>
      </c>
      <c r="E709" t="s">
        <v>29</v>
      </c>
      <c r="F709">
        <v>14.59</v>
      </c>
      <c r="H709">
        <v>12.51</v>
      </c>
      <c r="J709">
        <v>0.83020000000000005</v>
      </c>
      <c r="K709" t="str">
        <f t="shared" si="36"/>
        <v>Admis</v>
      </c>
      <c r="L709" t="str" cm="1">
        <f t="array" ref="L709">_xlfn.IFS(H709&gt;=16,"Excellent",
               H709&gt;=14,"Très bien",
               H709&gt;=12,"Bien",
               H709&gt;=10,"Passable",
               TRUE,"Insuffisant")</f>
        <v>Bien</v>
      </c>
      <c r="M709" t="str">
        <f t="shared" si="37"/>
        <v>RAS</v>
      </c>
      <c r="N709" t="str">
        <f t="shared" si="38"/>
        <v>Autre filière</v>
      </c>
    </row>
    <row r="710" spans="1:14" x14ac:dyDescent="0.45">
      <c r="A710" t="s">
        <v>1019</v>
      </c>
      <c r="B710" t="s">
        <v>252</v>
      </c>
      <c r="E710" t="s">
        <v>29</v>
      </c>
      <c r="F710">
        <v>7.44</v>
      </c>
      <c r="H710">
        <v>8</v>
      </c>
      <c r="J710">
        <v>0.8266</v>
      </c>
      <c r="K710" t="str">
        <f t="shared" si="36"/>
        <v>Refusé</v>
      </c>
      <c r="L710" t="str" cm="1">
        <f t="array" ref="L710">_xlfn.IFS(H710&gt;=16,"Excellent",
               H710&gt;=14,"Très bien",
               H710&gt;=12,"Bien",
               H710&gt;=10,"Passable",
               TRUE,"Insuffisant")</f>
        <v>Insuffisant</v>
      </c>
      <c r="M710" t="str">
        <f t="shared" si="37"/>
        <v>A surveiller</v>
      </c>
      <c r="N710" t="str">
        <f t="shared" si="38"/>
        <v>Autre filière</v>
      </c>
    </row>
    <row r="711" spans="1:14" x14ac:dyDescent="0.45">
      <c r="A711" t="s">
        <v>1020</v>
      </c>
      <c r="B711" t="s">
        <v>549</v>
      </c>
      <c r="E711" t="s">
        <v>42</v>
      </c>
      <c r="F711">
        <v>13.99</v>
      </c>
      <c r="H711">
        <v>15.03</v>
      </c>
      <c r="J711">
        <v>0.8448</v>
      </c>
      <c r="K711" t="str">
        <f t="shared" si="36"/>
        <v>Admis</v>
      </c>
      <c r="L711" t="str" cm="1">
        <f t="array" ref="L711">_xlfn.IFS(H711&gt;=16,"Excellent",
               H711&gt;=14,"Très bien",
               H711&gt;=12,"Bien",
               H711&gt;=10,"Passable",
               TRUE,"Insuffisant")</f>
        <v>Très bien</v>
      </c>
      <c r="M711" t="str">
        <f t="shared" si="37"/>
        <v>RAS</v>
      </c>
      <c r="N711" t="str">
        <f t="shared" si="38"/>
        <v>Autre filière</v>
      </c>
    </row>
    <row r="712" spans="1:14" x14ac:dyDescent="0.45">
      <c r="A712" t="s">
        <v>1021</v>
      </c>
      <c r="B712" t="s">
        <v>218</v>
      </c>
      <c r="E712" t="s">
        <v>16</v>
      </c>
      <c r="F712">
        <v>10.65</v>
      </c>
      <c r="H712">
        <v>15.47</v>
      </c>
      <c r="J712">
        <v>0.87219999999999998</v>
      </c>
      <c r="K712" t="str">
        <f t="shared" si="36"/>
        <v>Admis sous condition</v>
      </c>
      <c r="L712" t="str" cm="1">
        <f t="array" ref="L712">_xlfn.IFS(H712&gt;=16,"Excellent",
               H712&gt;=14,"Très bien",
               H712&gt;=12,"Bien",
               H712&gt;=10,"Passable",
               TRUE,"Insuffisant")</f>
        <v>Très bien</v>
      </c>
      <c r="M712" t="str">
        <f t="shared" si="37"/>
        <v>RAS</v>
      </c>
      <c r="N712" t="str">
        <f t="shared" si="38"/>
        <v>Data</v>
      </c>
    </row>
    <row r="713" spans="1:14" x14ac:dyDescent="0.45">
      <c r="A713" t="s">
        <v>1022</v>
      </c>
      <c r="B713" t="s">
        <v>107</v>
      </c>
      <c r="E713" t="s">
        <v>29</v>
      </c>
      <c r="F713">
        <v>8.02</v>
      </c>
      <c r="H713">
        <v>10.88</v>
      </c>
      <c r="J713">
        <v>0.96599999999999997</v>
      </c>
      <c r="K713" t="str">
        <f t="shared" si="36"/>
        <v>Refusé</v>
      </c>
      <c r="L713" t="str" cm="1">
        <f t="array" ref="L713">_xlfn.IFS(H713&gt;=16,"Excellent",
               H713&gt;=14,"Très bien",
               H713&gt;=12,"Bien",
               H713&gt;=10,"Passable",
               TRUE,"Insuffisant")</f>
        <v>Passable</v>
      </c>
      <c r="M713" t="str">
        <f t="shared" si="37"/>
        <v>A surveiller</v>
      </c>
      <c r="N713" t="str">
        <f t="shared" si="38"/>
        <v>Autre filière</v>
      </c>
    </row>
    <row r="714" spans="1:14" x14ac:dyDescent="0.45">
      <c r="A714" t="s">
        <v>1023</v>
      </c>
      <c r="B714" t="s">
        <v>73</v>
      </c>
      <c r="E714" t="s">
        <v>16</v>
      </c>
      <c r="F714">
        <v>10.74</v>
      </c>
      <c r="H714">
        <v>11.92</v>
      </c>
      <c r="J714">
        <v>0.76700000000000002</v>
      </c>
      <c r="K714" t="str">
        <f t="shared" si="36"/>
        <v>Admis sous condition</v>
      </c>
      <c r="L714" t="str" cm="1">
        <f t="array" ref="L714">_xlfn.IFS(H714&gt;=16,"Excellent",
               H714&gt;=14,"Très bien",
               H714&gt;=12,"Bien",
               H714&gt;=10,"Passable",
               TRUE,"Insuffisant")</f>
        <v>Passable</v>
      </c>
      <c r="M714" t="str">
        <f t="shared" si="37"/>
        <v>RAS</v>
      </c>
      <c r="N714" t="str">
        <f t="shared" si="38"/>
        <v>Data</v>
      </c>
    </row>
    <row r="715" spans="1:14" x14ac:dyDescent="0.45">
      <c r="A715" t="s">
        <v>1024</v>
      </c>
      <c r="B715" t="s">
        <v>430</v>
      </c>
      <c r="E715" t="s">
        <v>42</v>
      </c>
      <c r="F715">
        <v>6.71</v>
      </c>
      <c r="H715">
        <v>6.56</v>
      </c>
      <c r="J715">
        <v>0.99</v>
      </c>
      <c r="K715" t="str">
        <f t="shared" si="36"/>
        <v>Refusé</v>
      </c>
      <c r="L715" t="str" cm="1">
        <f t="array" ref="L715">_xlfn.IFS(H715&gt;=16,"Excellent",
               H715&gt;=14,"Très bien",
               H715&gt;=12,"Bien",
               H715&gt;=10,"Passable",
               TRUE,"Insuffisant")</f>
        <v>Insuffisant</v>
      </c>
      <c r="M715" t="str">
        <f t="shared" si="37"/>
        <v>A surveiller</v>
      </c>
      <c r="N715" t="str">
        <f t="shared" si="38"/>
        <v>Autre filière</v>
      </c>
    </row>
    <row r="716" spans="1:14" x14ac:dyDescent="0.45">
      <c r="A716" t="s">
        <v>1025</v>
      </c>
      <c r="B716" t="s">
        <v>1003</v>
      </c>
      <c r="E716" t="s">
        <v>42</v>
      </c>
      <c r="F716">
        <v>11.32</v>
      </c>
      <c r="H716">
        <v>11</v>
      </c>
      <c r="J716">
        <v>0.89849999999999997</v>
      </c>
      <c r="K716" t="str">
        <f t="shared" si="36"/>
        <v>Admis sous condition</v>
      </c>
      <c r="L716" t="str" cm="1">
        <f t="array" ref="L716">_xlfn.IFS(H716&gt;=16,"Excellent",
               H716&gt;=14,"Très bien",
               H716&gt;=12,"Bien",
               H716&gt;=10,"Passable",
               TRUE,"Insuffisant")</f>
        <v>Passable</v>
      </c>
      <c r="M716" t="str">
        <f t="shared" si="37"/>
        <v>RAS</v>
      </c>
      <c r="N716" t="str">
        <f t="shared" si="38"/>
        <v>Autre filière</v>
      </c>
    </row>
    <row r="717" spans="1:14" x14ac:dyDescent="0.45">
      <c r="A717" t="s">
        <v>1026</v>
      </c>
      <c r="B717" t="s">
        <v>906</v>
      </c>
      <c r="E717" t="s">
        <v>29</v>
      </c>
      <c r="F717">
        <v>9.36</v>
      </c>
      <c r="H717">
        <v>11.8</v>
      </c>
      <c r="J717">
        <v>0.71240000000000003</v>
      </c>
      <c r="K717" t="str">
        <f t="shared" si="36"/>
        <v>Refusé</v>
      </c>
      <c r="L717" t="str" cm="1">
        <f t="array" ref="L717">_xlfn.IFS(H717&gt;=16,"Excellent",
               H717&gt;=14,"Très bien",
               H717&gt;=12,"Bien",
               H717&gt;=10,"Passable",
               TRUE,"Insuffisant")</f>
        <v>Passable</v>
      </c>
      <c r="M717" t="str">
        <f t="shared" si="37"/>
        <v>A surveiller</v>
      </c>
      <c r="N717" t="str">
        <f t="shared" si="38"/>
        <v>Autre filière</v>
      </c>
    </row>
    <row r="718" spans="1:14" x14ac:dyDescent="0.45">
      <c r="A718" t="s">
        <v>1027</v>
      </c>
      <c r="B718" t="s">
        <v>1028</v>
      </c>
      <c r="E718" t="s">
        <v>16</v>
      </c>
      <c r="F718">
        <v>10.02</v>
      </c>
      <c r="H718">
        <v>16.43</v>
      </c>
      <c r="J718">
        <v>0.88649999999999995</v>
      </c>
      <c r="K718" t="str">
        <f t="shared" si="36"/>
        <v>Admis sous condition</v>
      </c>
      <c r="L718" t="str" cm="1">
        <f t="array" ref="L718">_xlfn.IFS(H718&gt;=16,"Excellent",
               H718&gt;=14,"Très bien",
               H718&gt;=12,"Bien",
               H718&gt;=10,"Passable",
               TRUE,"Insuffisant")</f>
        <v>Excellent</v>
      </c>
      <c r="M718" t="str">
        <f t="shared" si="37"/>
        <v>RAS</v>
      </c>
      <c r="N718" t="str">
        <f t="shared" si="38"/>
        <v>Data</v>
      </c>
    </row>
    <row r="719" spans="1:14" x14ac:dyDescent="0.45">
      <c r="A719" t="s">
        <v>1029</v>
      </c>
      <c r="B719" t="s">
        <v>1030</v>
      </c>
      <c r="E719" t="s">
        <v>29</v>
      </c>
      <c r="F719">
        <v>9.41</v>
      </c>
      <c r="H719">
        <v>12.35</v>
      </c>
      <c r="J719">
        <v>0.92649999999999999</v>
      </c>
      <c r="K719" t="str">
        <f t="shared" si="36"/>
        <v>Refusé</v>
      </c>
      <c r="L719" t="str" cm="1">
        <f t="array" ref="L719">_xlfn.IFS(H719&gt;=16,"Excellent",
               H719&gt;=14,"Très bien",
               H719&gt;=12,"Bien",
               H719&gt;=10,"Passable",
               TRUE,"Insuffisant")</f>
        <v>Bien</v>
      </c>
      <c r="M719" t="str">
        <f t="shared" si="37"/>
        <v>A surveiller</v>
      </c>
      <c r="N719" t="str">
        <f t="shared" si="38"/>
        <v>Autre filière</v>
      </c>
    </row>
    <row r="720" spans="1:14" x14ac:dyDescent="0.45">
      <c r="A720" t="s">
        <v>1031</v>
      </c>
      <c r="B720" t="s">
        <v>1032</v>
      </c>
      <c r="E720" t="s">
        <v>21</v>
      </c>
      <c r="F720">
        <v>14.25</v>
      </c>
      <c r="H720">
        <v>17.14</v>
      </c>
      <c r="J720">
        <v>0.93859999999999999</v>
      </c>
      <c r="K720" t="str">
        <f t="shared" si="36"/>
        <v>Admis</v>
      </c>
      <c r="L720" t="str" cm="1">
        <f t="array" ref="L720">_xlfn.IFS(H720&gt;=16,"Excellent",
               H720&gt;=14,"Très bien",
               H720&gt;=12,"Bien",
               H720&gt;=10,"Passable",
               TRUE,"Insuffisant")</f>
        <v>Excellent</v>
      </c>
      <c r="M720" t="str">
        <f t="shared" si="37"/>
        <v>RAS</v>
      </c>
      <c r="N720" t="str">
        <f t="shared" si="38"/>
        <v>Autre filière</v>
      </c>
    </row>
    <row r="721" spans="1:14" x14ac:dyDescent="0.45">
      <c r="A721" t="s">
        <v>1033</v>
      </c>
      <c r="B721" t="s">
        <v>551</v>
      </c>
      <c r="E721" t="s">
        <v>16</v>
      </c>
      <c r="F721">
        <v>10.66</v>
      </c>
      <c r="H721">
        <v>13.74</v>
      </c>
      <c r="J721">
        <v>0.80149999999999999</v>
      </c>
      <c r="K721" t="str">
        <f t="shared" si="36"/>
        <v>Admis sous condition</v>
      </c>
      <c r="L721" t="str" cm="1">
        <f t="array" ref="L721">_xlfn.IFS(H721&gt;=16,"Excellent",
               H721&gt;=14,"Très bien",
               H721&gt;=12,"Bien",
               H721&gt;=10,"Passable",
               TRUE,"Insuffisant")</f>
        <v>Bien</v>
      </c>
      <c r="M721" t="str">
        <f t="shared" si="37"/>
        <v>RAS</v>
      </c>
      <c r="N721" t="str">
        <f t="shared" si="38"/>
        <v>Data</v>
      </c>
    </row>
    <row r="722" spans="1:14" x14ac:dyDescent="0.45">
      <c r="A722" t="s">
        <v>1034</v>
      </c>
      <c r="B722" t="s">
        <v>204</v>
      </c>
      <c r="E722" t="s">
        <v>16</v>
      </c>
      <c r="F722">
        <v>17.54</v>
      </c>
      <c r="H722">
        <v>15.61</v>
      </c>
      <c r="J722">
        <v>0.55000000000000004</v>
      </c>
      <c r="K722" t="str">
        <f t="shared" si="36"/>
        <v>Admis sous condition</v>
      </c>
      <c r="L722" t="str" cm="1">
        <f t="array" ref="L722">_xlfn.IFS(H722&gt;=16,"Excellent",
               H722&gt;=14,"Très bien",
               H722&gt;=12,"Bien",
               H722&gt;=10,"Passable",
               TRUE,"Insuffisant")</f>
        <v>Très bien</v>
      </c>
      <c r="M722" t="str">
        <f t="shared" si="37"/>
        <v>A surveiller</v>
      </c>
      <c r="N722" t="str">
        <f t="shared" si="38"/>
        <v>Data</v>
      </c>
    </row>
    <row r="723" spans="1:14" x14ac:dyDescent="0.45">
      <c r="A723" t="s">
        <v>1035</v>
      </c>
      <c r="B723" t="s">
        <v>799</v>
      </c>
      <c r="E723" t="s">
        <v>16</v>
      </c>
      <c r="F723">
        <v>11.75</v>
      </c>
      <c r="H723">
        <v>12.77</v>
      </c>
      <c r="J723">
        <v>0.9073</v>
      </c>
      <c r="K723" t="str">
        <f t="shared" si="36"/>
        <v>Admis sous condition</v>
      </c>
      <c r="L723" t="str" cm="1">
        <f t="array" ref="L723">_xlfn.IFS(H723&gt;=16,"Excellent",
               H723&gt;=14,"Très bien",
               H723&gt;=12,"Bien",
               H723&gt;=10,"Passable",
               TRUE,"Insuffisant")</f>
        <v>Bien</v>
      </c>
      <c r="M723" t="str">
        <f t="shared" si="37"/>
        <v>RAS</v>
      </c>
      <c r="N723" t="str">
        <f t="shared" si="38"/>
        <v>Data</v>
      </c>
    </row>
    <row r="724" spans="1:14" x14ac:dyDescent="0.45">
      <c r="A724" t="s">
        <v>1036</v>
      </c>
      <c r="B724" t="s">
        <v>449</v>
      </c>
      <c r="E724" t="s">
        <v>21</v>
      </c>
      <c r="F724">
        <v>17.88</v>
      </c>
      <c r="H724">
        <v>14.9</v>
      </c>
      <c r="J724">
        <v>0.55000000000000004</v>
      </c>
      <c r="K724" t="str">
        <f t="shared" si="36"/>
        <v>Admis sous condition</v>
      </c>
      <c r="L724" t="str" cm="1">
        <f t="array" ref="L724">_xlfn.IFS(H724&gt;=16,"Excellent",
               H724&gt;=14,"Très bien",
               H724&gt;=12,"Bien",
               H724&gt;=10,"Passable",
               TRUE,"Insuffisant")</f>
        <v>Très bien</v>
      </c>
      <c r="M724" t="str">
        <f t="shared" si="37"/>
        <v>A surveiller</v>
      </c>
      <c r="N724" t="str">
        <f t="shared" si="38"/>
        <v>Autre filière</v>
      </c>
    </row>
    <row r="725" spans="1:14" x14ac:dyDescent="0.45">
      <c r="A725" t="s">
        <v>1037</v>
      </c>
      <c r="B725" t="s">
        <v>490</v>
      </c>
      <c r="E725" t="s">
        <v>16</v>
      </c>
      <c r="F725">
        <v>11.96</v>
      </c>
      <c r="H725">
        <v>9.91</v>
      </c>
      <c r="J725">
        <v>0.91900000000000004</v>
      </c>
      <c r="K725" t="str">
        <f t="shared" si="36"/>
        <v>Refusé</v>
      </c>
      <c r="L725" t="str" cm="1">
        <f t="array" ref="L725">_xlfn.IFS(H725&gt;=16,"Excellent",
               H725&gt;=14,"Très bien",
               H725&gt;=12,"Bien",
               H725&gt;=10,"Passable",
               TRUE,"Insuffisant")</f>
        <v>Insuffisant</v>
      </c>
      <c r="M725" t="str">
        <f t="shared" si="37"/>
        <v>A surveiller</v>
      </c>
      <c r="N725" t="str">
        <f t="shared" si="38"/>
        <v>Data</v>
      </c>
    </row>
    <row r="726" spans="1:14" x14ac:dyDescent="0.45">
      <c r="A726" t="s">
        <v>1038</v>
      </c>
      <c r="B726" t="s">
        <v>978</v>
      </c>
      <c r="E726" t="s">
        <v>42</v>
      </c>
      <c r="F726">
        <v>9</v>
      </c>
      <c r="H726">
        <v>7.99</v>
      </c>
      <c r="J726">
        <v>0.86519999999999997</v>
      </c>
      <c r="K726" t="str">
        <f t="shared" si="36"/>
        <v>Refusé</v>
      </c>
      <c r="L726" t="str" cm="1">
        <f t="array" ref="L726">_xlfn.IFS(H726&gt;=16,"Excellent",
               H726&gt;=14,"Très bien",
               H726&gt;=12,"Bien",
               H726&gt;=10,"Passable",
               TRUE,"Insuffisant")</f>
        <v>Insuffisant</v>
      </c>
      <c r="M726" t="str">
        <f t="shared" si="37"/>
        <v>A surveiller</v>
      </c>
      <c r="N726" t="str">
        <f t="shared" si="38"/>
        <v>Autre filière</v>
      </c>
    </row>
    <row r="727" spans="1:14" x14ac:dyDescent="0.45">
      <c r="A727" t="s">
        <v>1039</v>
      </c>
      <c r="B727" t="s">
        <v>1040</v>
      </c>
      <c r="E727" t="s">
        <v>21</v>
      </c>
      <c r="F727">
        <v>7.79</v>
      </c>
      <c r="H727">
        <v>9.8699999999999992</v>
      </c>
      <c r="J727">
        <v>0.83299999999999996</v>
      </c>
      <c r="K727" t="str">
        <f t="shared" ref="K727:K790" si="39">IF(AND(F727&gt;=12,H727&gt;=12,J727&gt;=0.8),"Admis",
   IF(AND(F727&gt;=10,H727&gt;=10),"Admis sous condition","Refusé"))</f>
        <v>Refusé</v>
      </c>
      <c r="L727" t="str" cm="1">
        <f t="array" ref="L727">_xlfn.IFS(H727&gt;=16,"Excellent",
               H727&gt;=14,"Très bien",
               H727&gt;=12,"Bien",
               H727&gt;=10,"Passable",
               TRUE,"Insuffisant")</f>
        <v>Insuffisant</v>
      </c>
      <c r="M727" t="str">
        <f t="shared" ref="M727:M790" si="40">IF(OR(F727&lt;10,H727&lt;10,J727&lt;0.7),"A surveiller","RAS")</f>
        <v>A surveiller</v>
      </c>
      <c r="N727" t="str">
        <f t="shared" ref="N727:N790" si="41">IF(NOT(E727="Data"),"Autre filière","Data")</f>
        <v>Autre filière</v>
      </c>
    </row>
    <row r="728" spans="1:14" x14ac:dyDescent="0.45">
      <c r="A728" t="s">
        <v>1041</v>
      </c>
      <c r="B728" t="s">
        <v>153</v>
      </c>
      <c r="E728" t="s">
        <v>42</v>
      </c>
      <c r="F728">
        <v>11.88</v>
      </c>
      <c r="H728">
        <v>10.48</v>
      </c>
      <c r="J728">
        <v>0.74470000000000003</v>
      </c>
      <c r="K728" t="str">
        <f t="shared" si="39"/>
        <v>Admis sous condition</v>
      </c>
      <c r="L728" t="str" cm="1">
        <f t="array" ref="L728">_xlfn.IFS(H728&gt;=16,"Excellent",
               H728&gt;=14,"Très bien",
               H728&gt;=12,"Bien",
               H728&gt;=10,"Passable",
               TRUE,"Insuffisant")</f>
        <v>Passable</v>
      </c>
      <c r="M728" t="str">
        <f t="shared" si="40"/>
        <v>RAS</v>
      </c>
      <c r="N728" t="str">
        <f t="shared" si="41"/>
        <v>Autre filière</v>
      </c>
    </row>
    <row r="729" spans="1:14" x14ac:dyDescent="0.45">
      <c r="A729" t="s">
        <v>1042</v>
      </c>
      <c r="B729" t="s">
        <v>196</v>
      </c>
      <c r="E729" t="s">
        <v>29</v>
      </c>
      <c r="F729">
        <v>8.32</v>
      </c>
      <c r="H729">
        <v>10.41</v>
      </c>
      <c r="J729">
        <v>0.90090000000000003</v>
      </c>
      <c r="K729" t="str">
        <f t="shared" si="39"/>
        <v>Refusé</v>
      </c>
      <c r="L729" t="str" cm="1">
        <f t="array" ref="L729">_xlfn.IFS(H729&gt;=16,"Excellent",
               H729&gt;=14,"Très bien",
               H729&gt;=12,"Bien",
               H729&gt;=10,"Passable",
               TRUE,"Insuffisant")</f>
        <v>Passable</v>
      </c>
      <c r="M729" t="str">
        <f t="shared" si="40"/>
        <v>A surveiller</v>
      </c>
      <c r="N729" t="str">
        <f t="shared" si="41"/>
        <v>Autre filière</v>
      </c>
    </row>
    <row r="730" spans="1:14" x14ac:dyDescent="0.45">
      <c r="A730" t="s">
        <v>1043</v>
      </c>
      <c r="B730" t="s">
        <v>1044</v>
      </c>
      <c r="E730" t="s">
        <v>16</v>
      </c>
      <c r="F730">
        <v>15.02</v>
      </c>
      <c r="H730">
        <v>12.72</v>
      </c>
      <c r="J730">
        <v>0.94320000000000004</v>
      </c>
      <c r="K730" t="str">
        <f t="shared" si="39"/>
        <v>Admis</v>
      </c>
      <c r="L730" t="str" cm="1">
        <f t="array" ref="L730">_xlfn.IFS(H730&gt;=16,"Excellent",
               H730&gt;=14,"Très bien",
               H730&gt;=12,"Bien",
               H730&gt;=10,"Passable",
               TRUE,"Insuffisant")</f>
        <v>Bien</v>
      </c>
      <c r="M730" t="str">
        <f t="shared" si="40"/>
        <v>RAS</v>
      </c>
      <c r="N730" t="str">
        <f t="shared" si="41"/>
        <v>Data</v>
      </c>
    </row>
    <row r="731" spans="1:14" x14ac:dyDescent="0.45">
      <c r="A731" t="s">
        <v>1045</v>
      </c>
      <c r="B731" t="s">
        <v>317</v>
      </c>
      <c r="E731" t="s">
        <v>16</v>
      </c>
      <c r="F731">
        <v>11.68</v>
      </c>
      <c r="H731">
        <v>8.74</v>
      </c>
      <c r="J731">
        <v>0.71120000000000005</v>
      </c>
      <c r="K731" t="str">
        <f t="shared" si="39"/>
        <v>Refusé</v>
      </c>
      <c r="L731" t="str" cm="1">
        <f t="array" ref="L731">_xlfn.IFS(H731&gt;=16,"Excellent",
               H731&gt;=14,"Très bien",
               H731&gt;=12,"Bien",
               H731&gt;=10,"Passable",
               TRUE,"Insuffisant")</f>
        <v>Insuffisant</v>
      </c>
      <c r="M731" t="str">
        <f t="shared" si="40"/>
        <v>A surveiller</v>
      </c>
      <c r="N731" t="str">
        <f t="shared" si="41"/>
        <v>Data</v>
      </c>
    </row>
    <row r="732" spans="1:14" x14ac:dyDescent="0.45">
      <c r="A732" t="s">
        <v>1046</v>
      </c>
      <c r="B732" t="s">
        <v>645</v>
      </c>
      <c r="E732" t="s">
        <v>16</v>
      </c>
      <c r="F732">
        <v>18.07</v>
      </c>
      <c r="H732">
        <v>20</v>
      </c>
      <c r="J732">
        <v>0.88790000000000002</v>
      </c>
      <c r="K732" t="str">
        <f t="shared" si="39"/>
        <v>Admis</v>
      </c>
      <c r="L732" t="str" cm="1">
        <f t="array" ref="L732">_xlfn.IFS(H732&gt;=16,"Excellent",
               H732&gt;=14,"Très bien",
               H732&gt;=12,"Bien",
               H732&gt;=10,"Passable",
               TRUE,"Insuffisant")</f>
        <v>Excellent</v>
      </c>
      <c r="M732" t="str">
        <f t="shared" si="40"/>
        <v>RAS</v>
      </c>
      <c r="N732" t="str">
        <f t="shared" si="41"/>
        <v>Data</v>
      </c>
    </row>
    <row r="733" spans="1:14" x14ac:dyDescent="0.45">
      <c r="A733" t="s">
        <v>1047</v>
      </c>
      <c r="B733" t="s">
        <v>240</v>
      </c>
      <c r="E733" t="s">
        <v>21</v>
      </c>
      <c r="F733">
        <v>10.82</v>
      </c>
      <c r="H733">
        <v>7.79</v>
      </c>
      <c r="J733">
        <v>0.74019999999999997</v>
      </c>
      <c r="K733" t="str">
        <f t="shared" si="39"/>
        <v>Refusé</v>
      </c>
      <c r="L733" t="str" cm="1">
        <f t="array" ref="L733">_xlfn.IFS(H733&gt;=16,"Excellent",
               H733&gt;=14,"Très bien",
               H733&gt;=12,"Bien",
               H733&gt;=10,"Passable",
               TRUE,"Insuffisant")</f>
        <v>Insuffisant</v>
      </c>
      <c r="M733" t="str">
        <f t="shared" si="40"/>
        <v>A surveiller</v>
      </c>
      <c r="N733" t="str">
        <f t="shared" si="41"/>
        <v>Autre filière</v>
      </c>
    </row>
    <row r="734" spans="1:14" x14ac:dyDescent="0.45">
      <c r="A734" t="s">
        <v>1048</v>
      </c>
      <c r="B734" t="s">
        <v>144</v>
      </c>
      <c r="E734" t="s">
        <v>16</v>
      </c>
      <c r="F734">
        <v>15.01</v>
      </c>
      <c r="H734">
        <v>12.43</v>
      </c>
      <c r="J734">
        <v>0.81210000000000004</v>
      </c>
      <c r="K734" t="str">
        <f t="shared" si="39"/>
        <v>Admis</v>
      </c>
      <c r="L734" t="str" cm="1">
        <f t="array" ref="L734">_xlfn.IFS(H734&gt;=16,"Excellent",
               H734&gt;=14,"Très bien",
               H734&gt;=12,"Bien",
               H734&gt;=10,"Passable",
               TRUE,"Insuffisant")</f>
        <v>Bien</v>
      </c>
      <c r="M734" t="str">
        <f t="shared" si="40"/>
        <v>RAS</v>
      </c>
      <c r="N734" t="str">
        <f t="shared" si="41"/>
        <v>Data</v>
      </c>
    </row>
    <row r="735" spans="1:14" x14ac:dyDescent="0.45">
      <c r="A735" t="s">
        <v>1049</v>
      </c>
      <c r="B735" t="s">
        <v>256</v>
      </c>
      <c r="E735" t="s">
        <v>16</v>
      </c>
      <c r="F735">
        <v>9.36</v>
      </c>
      <c r="H735">
        <v>8.14</v>
      </c>
      <c r="J735">
        <v>0.70140000000000002</v>
      </c>
      <c r="K735" t="str">
        <f t="shared" si="39"/>
        <v>Refusé</v>
      </c>
      <c r="L735" t="str" cm="1">
        <f t="array" ref="L735">_xlfn.IFS(H735&gt;=16,"Excellent",
               H735&gt;=14,"Très bien",
               H735&gt;=12,"Bien",
               H735&gt;=10,"Passable",
               TRUE,"Insuffisant")</f>
        <v>Insuffisant</v>
      </c>
      <c r="M735" t="str">
        <f t="shared" si="40"/>
        <v>A surveiller</v>
      </c>
      <c r="N735" t="str">
        <f t="shared" si="41"/>
        <v>Data</v>
      </c>
    </row>
    <row r="736" spans="1:14" x14ac:dyDescent="0.45">
      <c r="A736" t="s">
        <v>1050</v>
      </c>
      <c r="B736" t="s">
        <v>188</v>
      </c>
      <c r="E736" t="s">
        <v>21</v>
      </c>
      <c r="F736">
        <v>12.44</v>
      </c>
      <c r="H736">
        <v>13.25</v>
      </c>
      <c r="J736">
        <v>0.99739999999999995</v>
      </c>
      <c r="K736" t="str">
        <f t="shared" si="39"/>
        <v>Admis</v>
      </c>
      <c r="L736" t="str" cm="1">
        <f t="array" ref="L736">_xlfn.IFS(H736&gt;=16,"Excellent",
               H736&gt;=14,"Très bien",
               H736&gt;=12,"Bien",
               H736&gt;=10,"Passable",
               TRUE,"Insuffisant")</f>
        <v>Bien</v>
      </c>
      <c r="M736" t="str">
        <f t="shared" si="40"/>
        <v>RAS</v>
      </c>
      <c r="N736" t="str">
        <f t="shared" si="41"/>
        <v>Autre filière</v>
      </c>
    </row>
    <row r="737" spans="1:14" x14ac:dyDescent="0.45">
      <c r="A737" t="s">
        <v>1051</v>
      </c>
      <c r="B737" t="s">
        <v>799</v>
      </c>
      <c r="E737" t="s">
        <v>29</v>
      </c>
      <c r="F737">
        <v>13.71</v>
      </c>
      <c r="H737">
        <v>17.12</v>
      </c>
      <c r="J737">
        <v>0.90329999999999999</v>
      </c>
      <c r="K737" t="str">
        <f t="shared" si="39"/>
        <v>Admis</v>
      </c>
      <c r="L737" t="str" cm="1">
        <f t="array" ref="L737">_xlfn.IFS(H737&gt;=16,"Excellent",
               H737&gt;=14,"Très bien",
               H737&gt;=12,"Bien",
               H737&gt;=10,"Passable",
               TRUE,"Insuffisant")</f>
        <v>Excellent</v>
      </c>
      <c r="M737" t="str">
        <f t="shared" si="40"/>
        <v>RAS</v>
      </c>
      <c r="N737" t="str">
        <f t="shared" si="41"/>
        <v>Autre filière</v>
      </c>
    </row>
    <row r="738" spans="1:14" x14ac:dyDescent="0.45">
      <c r="A738" t="s">
        <v>1052</v>
      </c>
      <c r="B738" t="s">
        <v>728</v>
      </c>
      <c r="E738" t="s">
        <v>29</v>
      </c>
      <c r="F738">
        <v>5.08</v>
      </c>
      <c r="H738">
        <v>6.3</v>
      </c>
      <c r="J738">
        <v>0.90510000000000002</v>
      </c>
      <c r="K738" t="str">
        <f t="shared" si="39"/>
        <v>Refusé</v>
      </c>
      <c r="L738" t="str" cm="1">
        <f t="array" ref="L738">_xlfn.IFS(H738&gt;=16,"Excellent",
               H738&gt;=14,"Très bien",
               H738&gt;=12,"Bien",
               H738&gt;=10,"Passable",
               TRUE,"Insuffisant")</f>
        <v>Insuffisant</v>
      </c>
      <c r="M738" t="str">
        <f t="shared" si="40"/>
        <v>A surveiller</v>
      </c>
      <c r="N738" t="str">
        <f t="shared" si="41"/>
        <v>Autre filière</v>
      </c>
    </row>
    <row r="739" spans="1:14" x14ac:dyDescent="0.45">
      <c r="A739" t="s">
        <v>1053</v>
      </c>
      <c r="B739" t="s">
        <v>486</v>
      </c>
      <c r="E739" t="s">
        <v>42</v>
      </c>
      <c r="F739">
        <v>14.32</v>
      </c>
      <c r="H739">
        <v>13.89</v>
      </c>
      <c r="J739">
        <v>0.96609999999999996</v>
      </c>
      <c r="K739" t="str">
        <f t="shared" si="39"/>
        <v>Admis</v>
      </c>
      <c r="L739" t="str" cm="1">
        <f t="array" ref="L739">_xlfn.IFS(H739&gt;=16,"Excellent",
               H739&gt;=14,"Très bien",
               H739&gt;=12,"Bien",
               H739&gt;=10,"Passable",
               TRUE,"Insuffisant")</f>
        <v>Bien</v>
      </c>
      <c r="M739" t="str">
        <f t="shared" si="40"/>
        <v>RAS</v>
      </c>
      <c r="N739" t="str">
        <f t="shared" si="41"/>
        <v>Autre filière</v>
      </c>
    </row>
    <row r="740" spans="1:14" x14ac:dyDescent="0.45">
      <c r="A740" t="s">
        <v>1054</v>
      </c>
      <c r="B740" t="s">
        <v>738</v>
      </c>
      <c r="E740" t="s">
        <v>42</v>
      </c>
      <c r="F740">
        <v>17.46</v>
      </c>
      <c r="H740">
        <v>20</v>
      </c>
      <c r="J740">
        <v>0.95450000000000002</v>
      </c>
      <c r="K740" t="str">
        <f t="shared" si="39"/>
        <v>Admis</v>
      </c>
      <c r="L740" t="str" cm="1">
        <f t="array" ref="L740">_xlfn.IFS(H740&gt;=16,"Excellent",
               H740&gt;=14,"Très bien",
               H740&gt;=12,"Bien",
               H740&gt;=10,"Passable",
               TRUE,"Insuffisant")</f>
        <v>Excellent</v>
      </c>
      <c r="M740" t="str">
        <f t="shared" si="40"/>
        <v>RAS</v>
      </c>
      <c r="N740" t="str">
        <f t="shared" si="41"/>
        <v>Autre filière</v>
      </c>
    </row>
    <row r="741" spans="1:14" x14ac:dyDescent="0.45">
      <c r="A741" t="s">
        <v>1055</v>
      </c>
      <c r="B741" t="s">
        <v>231</v>
      </c>
      <c r="E741" t="s">
        <v>21</v>
      </c>
      <c r="F741">
        <v>10.15</v>
      </c>
      <c r="H741">
        <v>8.4499999999999993</v>
      </c>
      <c r="J741">
        <v>0.97</v>
      </c>
      <c r="K741" t="str">
        <f t="shared" si="39"/>
        <v>Refusé</v>
      </c>
      <c r="L741" t="str" cm="1">
        <f t="array" ref="L741">_xlfn.IFS(H741&gt;=16,"Excellent",
               H741&gt;=14,"Très bien",
               H741&gt;=12,"Bien",
               H741&gt;=10,"Passable",
               TRUE,"Insuffisant")</f>
        <v>Insuffisant</v>
      </c>
      <c r="M741" t="str">
        <f t="shared" si="40"/>
        <v>A surveiller</v>
      </c>
      <c r="N741" t="str">
        <f t="shared" si="41"/>
        <v>Autre filière</v>
      </c>
    </row>
    <row r="742" spans="1:14" x14ac:dyDescent="0.45">
      <c r="A742" t="s">
        <v>1056</v>
      </c>
      <c r="B742" t="s">
        <v>135</v>
      </c>
      <c r="E742" t="s">
        <v>29</v>
      </c>
      <c r="F742">
        <v>10.66</v>
      </c>
      <c r="H742">
        <v>18.75</v>
      </c>
      <c r="J742">
        <v>0.90059999999999996</v>
      </c>
      <c r="K742" t="str">
        <f t="shared" si="39"/>
        <v>Admis sous condition</v>
      </c>
      <c r="L742" t="str" cm="1">
        <f t="array" ref="L742">_xlfn.IFS(H742&gt;=16,"Excellent",
               H742&gt;=14,"Très bien",
               H742&gt;=12,"Bien",
               H742&gt;=10,"Passable",
               TRUE,"Insuffisant")</f>
        <v>Excellent</v>
      </c>
      <c r="M742" t="str">
        <f t="shared" si="40"/>
        <v>RAS</v>
      </c>
      <c r="N742" t="str">
        <f t="shared" si="41"/>
        <v>Autre filière</v>
      </c>
    </row>
    <row r="743" spans="1:14" x14ac:dyDescent="0.45">
      <c r="A743" t="s">
        <v>1057</v>
      </c>
      <c r="B743" t="s">
        <v>142</v>
      </c>
      <c r="E743" t="s">
        <v>42</v>
      </c>
      <c r="F743">
        <v>15.58</v>
      </c>
      <c r="H743">
        <v>20</v>
      </c>
      <c r="J743">
        <v>0.82840000000000003</v>
      </c>
      <c r="K743" t="str">
        <f t="shared" si="39"/>
        <v>Admis</v>
      </c>
      <c r="L743" t="str" cm="1">
        <f t="array" ref="L743">_xlfn.IFS(H743&gt;=16,"Excellent",
               H743&gt;=14,"Très bien",
               H743&gt;=12,"Bien",
               H743&gt;=10,"Passable",
               TRUE,"Insuffisant")</f>
        <v>Excellent</v>
      </c>
      <c r="M743" t="str">
        <f t="shared" si="40"/>
        <v>RAS</v>
      </c>
      <c r="N743" t="str">
        <f t="shared" si="41"/>
        <v>Autre filière</v>
      </c>
    </row>
    <row r="744" spans="1:14" x14ac:dyDescent="0.45">
      <c r="A744" t="s">
        <v>1058</v>
      </c>
      <c r="B744" t="s">
        <v>198</v>
      </c>
      <c r="E744" t="s">
        <v>21</v>
      </c>
      <c r="F744">
        <v>14.29</v>
      </c>
      <c r="H744">
        <v>7.29</v>
      </c>
      <c r="J744">
        <v>0.90700000000000003</v>
      </c>
      <c r="K744" t="str">
        <f t="shared" si="39"/>
        <v>Refusé</v>
      </c>
      <c r="L744" t="str" cm="1">
        <f t="array" ref="L744">_xlfn.IFS(H744&gt;=16,"Excellent",
               H744&gt;=14,"Très bien",
               H744&gt;=12,"Bien",
               H744&gt;=10,"Passable",
               TRUE,"Insuffisant")</f>
        <v>Insuffisant</v>
      </c>
      <c r="M744" t="str">
        <f t="shared" si="40"/>
        <v>A surveiller</v>
      </c>
      <c r="N744" t="str">
        <f t="shared" si="41"/>
        <v>Autre filière</v>
      </c>
    </row>
    <row r="745" spans="1:14" x14ac:dyDescent="0.45">
      <c r="A745" t="s">
        <v>1059</v>
      </c>
      <c r="B745" t="s">
        <v>67</v>
      </c>
      <c r="E745" t="s">
        <v>29</v>
      </c>
      <c r="F745">
        <v>10.35</v>
      </c>
      <c r="H745">
        <v>11.86</v>
      </c>
      <c r="J745">
        <v>0.87639999999999996</v>
      </c>
      <c r="K745" t="str">
        <f t="shared" si="39"/>
        <v>Admis sous condition</v>
      </c>
      <c r="L745" t="str" cm="1">
        <f t="array" ref="L745">_xlfn.IFS(H745&gt;=16,"Excellent",
               H745&gt;=14,"Très bien",
               H745&gt;=12,"Bien",
               H745&gt;=10,"Passable",
               TRUE,"Insuffisant")</f>
        <v>Passable</v>
      </c>
      <c r="M745" t="str">
        <f t="shared" si="40"/>
        <v>RAS</v>
      </c>
      <c r="N745" t="str">
        <f t="shared" si="41"/>
        <v>Autre filière</v>
      </c>
    </row>
    <row r="746" spans="1:14" x14ac:dyDescent="0.45">
      <c r="A746" t="s">
        <v>1060</v>
      </c>
      <c r="B746" t="s">
        <v>250</v>
      </c>
      <c r="E746" t="s">
        <v>29</v>
      </c>
      <c r="F746">
        <v>12.67</v>
      </c>
      <c r="H746">
        <v>5.75</v>
      </c>
      <c r="J746">
        <v>0.78259999999999996</v>
      </c>
      <c r="K746" t="str">
        <f t="shared" si="39"/>
        <v>Refusé</v>
      </c>
      <c r="L746" t="str" cm="1">
        <f t="array" ref="L746">_xlfn.IFS(H746&gt;=16,"Excellent",
               H746&gt;=14,"Très bien",
               H746&gt;=12,"Bien",
               H746&gt;=10,"Passable",
               TRUE,"Insuffisant")</f>
        <v>Insuffisant</v>
      </c>
      <c r="M746" t="str">
        <f t="shared" si="40"/>
        <v>A surveiller</v>
      </c>
      <c r="N746" t="str">
        <f t="shared" si="41"/>
        <v>Autre filière</v>
      </c>
    </row>
    <row r="747" spans="1:14" x14ac:dyDescent="0.45">
      <c r="A747" t="s">
        <v>1061</v>
      </c>
      <c r="B747" t="s">
        <v>133</v>
      </c>
      <c r="E747" t="s">
        <v>21</v>
      </c>
      <c r="F747">
        <v>17.239999999999998</v>
      </c>
      <c r="H747">
        <v>14.91</v>
      </c>
      <c r="J747">
        <v>0.62980000000000003</v>
      </c>
      <c r="K747" t="str">
        <f t="shared" si="39"/>
        <v>Admis sous condition</v>
      </c>
      <c r="L747" t="str" cm="1">
        <f t="array" ref="L747">_xlfn.IFS(H747&gt;=16,"Excellent",
               H747&gt;=14,"Très bien",
               H747&gt;=12,"Bien",
               H747&gt;=10,"Passable",
               TRUE,"Insuffisant")</f>
        <v>Très bien</v>
      </c>
      <c r="M747" t="str">
        <f t="shared" si="40"/>
        <v>A surveiller</v>
      </c>
      <c r="N747" t="str">
        <f t="shared" si="41"/>
        <v>Autre filière</v>
      </c>
    </row>
    <row r="748" spans="1:14" x14ac:dyDescent="0.45">
      <c r="A748" t="s">
        <v>1062</v>
      </c>
      <c r="B748" t="s">
        <v>471</v>
      </c>
      <c r="E748" t="s">
        <v>16</v>
      </c>
      <c r="F748">
        <v>16.05</v>
      </c>
      <c r="H748">
        <v>12.46</v>
      </c>
      <c r="J748">
        <v>0.95550000000000002</v>
      </c>
      <c r="K748" t="str">
        <f t="shared" si="39"/>
        <v>Admis</v>
      </c>
      <c r="L748" t="str" cm="1">
        <f t="array" ref="L748">_xlfn.IFS(H748&gt;=16,"Excellent",
               H748&gt;=14,"Très bien",
               H748&gt;=12,"Bien",
               H748&gt;=10,"Passable",
               TRUE,"Insuffisant")</f>
        <v>Bien</v>
      </c>
      <c r="M748" t="str">
        <f t="shared" si="40"/>
        <v>RAS</v>
      </c>
      <c r="N748" t="str">
        <f t="shared" si="41"/>
        <v>Data</v>
      </c>
    </row>
    <row r="749" spans="1:14" x14ac:dyDescent="0.45">
      <c r="A749" t="s">
        <v>1063</v>
      </c>
      <c r="B749" t="s">
        <v>601</v>
      </c>
      <c r="E749" t="s">
        <v>16</v>
      </c>
      <c r="F749">
        <v>12.41</v>
      </c>
      <c r="H749">
        <v>12.65</v>
      </c>
      <c r="J749">
        <v>0.79549999999999998</v>
      </c>
      <c r="K749" t="str">
        <f t="shared" si="39"/>
        <v>Admis sous condition</v>
      </c>
      <c r="L749" t="str" cm="1">
        <f t="array" ref="L749">_xlfn.IFS(H749&gt;=16,"Excellent",
               H749&gt;=14,"Très bien",
               H749&gt;=12,"Bien",
               H749&gt;=10,"Passable",
               TRUE,"Insuffisant")</f>
        <v>Bien</v>
      </c>
      <c r="M749" t="str">
        <f t="shared" si="40"/>
        <v>RAS</v>
      </c>
      <c r="N749" t="str">
        <f t="shared" si="41"/>
        <v>Data</v>
      </c>
    </row>
    <row r="750" spans="1:14" x14ac:dyDescent="0.45">
      <c r="A750" t="s">
        <v>1064</v>
      </c>
      <c r="B750" t="s">
        <v>488</v>
      </c>
      <c r="E750" t="s">
        <v>42</v>
      </c>
      <c r="F750">
        <v>17.93</v>
      </c>
      <c r="H750">
        <v>13.81</v>
      </c>
      <c r="J750">
        <v>0.93710000000000004</v>
      </c>
      <c r="K750" t="str">
        <f t="shared" si="39"/>
        <v>Admis</v>
      </c>
      <c r="L750" t="str" cm="1">
        <f t="array" ref="L750">_xlfn.IFS(H750&gt;=16,"Excellent",
               H750&gt;=14,"Très bien",
               H750&gt;=12,"Bien",
               H750&gt;=10,"Passable",
               TRUE,"Insuffisant")</f>
        <v>Bien</v>
      </c>
      <c r="M750" t="str">
        <f t="shared" si="40"/>
        <v>RAS</v>
      </c>
      <c r="N750" t="str">
        <f t="shared" si="41"/>
        <v>Autre filière</v>
      </c>
    </row>
    <row r="751" spans="1:14" x14ac:dyDescent="0.45">
      <c r="A751" t="s">
        <v>1065</v>
      </c>
      <c r="B751" t="s">
        <v>111</v>
      </c>
      <c r="E751" t="s">
        <v>21</v>
      </c>
      <c r="F751">
        <v>10.130000000000001</v>
      </c>
      <c r="H751">
        <v>10.06</v>
      </c>
      <c r="J751">
        <v>0.90339999999999998</v>
      </c>
      <c r="K751" t="str">
        <f t="shared" si="39"/>
        <v>Admis sous condition</v>
      </c>
      <c r="L751" t="str" cm="1">
        <f t="array" ref="L751">_xlfn.IFS(H751&gt;=16,"Excellent",
               H751&gt;=14,"Très bien",
               H751&gt;=12,"Bien",
               H751&gt;=10,"Passable",
               TRUE,"Insuffisant")</f>
        <v>Passable</v>
      </c>
      <c r="M751" t="str">
        <f t="shared" si="40"/>
        <v>RAS</v>
      </c>
      <c r="N751" t="str">
        <f t="shared" si="41"/>
        <v>Autre filière</v>
      </c>
    </row>
    <row r="752" spans="1:14" x14ac:dyDescent="0.45">
      <c r="A752" t="s">
        <v>1066</v>
      </c>
      <c r="B752" t="s">
        <v>718</v>
      </c>
      <c r="E752" t="s">
        <v>16</v>
      </c>
      <c r="F752">
        <v>6.39</v>
      </c>
      <c r="H752">
        <v>11.84</v>
      </c>
      <c r="J752">
        <v>0.76139999999999997</v>
      </c>
      <c r="K752" t="str">
        <f t="shared" si="39"/>
        <v>Refusé</v>
      </c>
      <c r="L752" t="str" cm="1">
        <f t="array" ref="L752">_xlfn.IFS(H752&gt;=16,"Excellent",
               H752&gt;=14,"Très bien",
               H752&gt;=12,"Bien",
               H752&gt;=10,"Passable",
               TRUE,"Insuffisant")</f>
        <v>Passable</v>
      </c>
      <c r="M752" t="str">
        <f t="shared" si="40"/>
        <v>A surveiller</v>
      </c>
      <c r="N752" t="str">
        <f t="shared" si="41"/>
        <v>Data</v>
      </c>
    </row>
    <row r="753" spans="1:14" x14ac:dyDescent="0.45">
      <c r="A753" t="s">
        <v>1067</v>
      </c>
      <c r="B753" t="s">
        <v>1068</v>
      </c>
      <c r="E753" t="s">
        <v>21</v>
      </c>
      <c r="F753">
        <v>14.22</v>
      </c>
      <c r="H753">
        <v>16.53</v>
      </c>
      <c r="J753">
        <v>0.95430000000000004</v>
      </c>
      <c r="K753" t="str">
        <f t="shared" si="39"/>
        <v>Admis</v>
      </c>
      <c r="L753" t="str" cm="1">
        <f t="array" ref="L753">_xlfn.IFS(H753&gt;=16,"Excellent",
               H753&gt;=14,"Très bien",
               H753&gt;=12,"Bien",
               H753&gt;=10,"Passable",
               TRUE,"Insuffisant")</f>
        <v>Excellent</v>
      </c>
      <c r="M753" t="str">
        <f t="shared" si="40"/>
        <v>RAS</v>
      </c>
      <c r="N753" t="str">
        <f t="shared" si="41"/>
        <v>Autre filière</v>
      </c>
    </row>
    <row r="754" spans="1:14" x14ac:dyDescent="0.45">
      <c r="A754" t="s">
        <v>1069</v>
      </c>
      <c r="B754" t="s">
        <v>155</v>
      </c>
      <c r="E754" t="s">
        <v>21</v>
      </c>
      <c r="F754">
        <v>10.98</v>
      </c>
      <c r="H754">
        <v>7.35</v>
      </c>
      <c r="J754">
        <v>0.55000000000000004</v>
      </c>
      <c r="K754" t="str">
        <f t="shared" si="39"/>
        <v>Refusé</v>
      </c>
      <c r="L754" t="str" cm="1">
        <f t="array" ref="L754">_xlfn.IFS(H754&gt;=16,"Excellent",
               H754&gt;=14,"Très bien",
               H754&gt;=12,"Bien",
               H754&gt;=10,"Passable",
               TRUE,"Insuffisant")</f>
        <v>Insuffisant</v>
      </c>
      <c r="M754" t="str">
        <f t="shared" si="40"/>
        <v>A surveiller</v>
      </c>
      <c r="N754" t="str">
        <f t="shared" si="41"/>
        <v>Autre filière</v>
      </c>
    </row>
    <row r="755" spans="1:14" x14ac:dyDescent="0.45">
      <c r="A755" t="s">
        <v>1070</v>
      </c>
      <c r="B755" t="s">
        <v>535</v>
      </c>
      <c r="E755" t="s">
        <v>21</v>
      </c>
      <c r="F755">
        <v>16.77</v>
      </c>
      <c r="H755">
        <v>13.01</v>
      </c>
      <c r="J755">
        <v>0.89139999999999997</v>
      </c>
      <c r="K755" t="str">
        <f t="shared" si="39"/>
        <v>Admis</v>
      </c>
      <c r="L755" t="str" cm="1">
        <f t="array" ref="L755">_xlfn.IFS(H755&gt;=16,"Excellent",
               H755&gt;=14,"Très bien",
               H755&gt;=12,"Bien",
               H755&gt;=10,"Passable",
               TRUE,"Insuffisant")</f>
        <v>Bien</v>
      </c>
      <c r="M755" t="str">
        <f t="shared" si="40"/>
        <v>RAS</v>
      </c>
      <c r="N755" t="str">
        <f t="shared" si="41"/>
        <v>Autre filière</v>
      </c>
    </row>
    <row r="756" spans="1:14" x14ac:dyDescent="0.45">
      <c r="A756" t="s">
        <v>1071</v>
      </c>
      <c r="B756" t="s">
        <v>262</v>
      </c>
      <c r="E756" t="s">
        <v>29</v>
      </c>
      <c r="F756">
        <v>10.19</v>
      </c>
      <c r="H756">
        <v>14.17</v>
      </c>
      <c r="J756">
        <v>0.88549999999999995</v>
      </c>
      <c r="K756" t="str">
        <f t="shared" si="39"/>
        <v>Admis sous condition</v>
      </c>
      <c r="L756" t="str" cm="1">
        <f t="array" ref="L756">_xlfn.IFS(H756&gt;=16,"Excellent",
               H756&gt;=14,"Très bien",
               H756&gt;=12,"Bien",
               H756&gt;=10,"Passable",
               TRUE,"Insuffisant")</f>
        <v>Très bien</v>
      </c>
      <c r="M756" t="str">
        <f t="shared" si="40"/>
        <v>RAS</v>
      </c>
      <c r="N756" t="str">
        <f t="shared" si="41"/>
        <v>Autre filière</v>
      </c>
    </row>
    <row r="757" spans="1:14" x14ac:dyDescent="0.45">
      <c r="A757" t="s">
        <v>1072</v>
      </c>
      <c r="B757" t="s">
        <v>594</v>
      </c>
      <c r="E757" t="s">
        <v>29</v>
      </c>
      <c r="F757">
        <v>14.55</v>
      </c>
      <c r="H757">
        <v>10.43</v>
      </c>
      <c r="J757">
        <v>0.8679</v>
      </c>
      <c r="K757" t="str">
        <f t="shared" si="39"/>
        <v>Admis sous condition</v>
      </c>
      <c r="L757" t="str" cm="1">
        <f t="array" ref="L757">_xlfn.IFS(H757&gt;=16,"Excellent",
               H757&gt;=14,"Très bien",
               H757&gt;=12,"Bien",
               H757&gt;=10,"Passable",
               TRUE,"Insuffisant")</f>
        <v>Passable</v>
      </c>
      <c r="M757" t="str">
        <f t="shared" si="40"/>
        <v>RAS</v>
      </c>
      <c r="N757" t="str">
        <f t="shared" si="41"/>
        <v>Autre filière</v>
      </c>
    </row>
    <row r="758" spans="1:14" x14ac:dyDescent="0.45">
      <c r="A758" t="s">
        <v>1073</v>
      </c>
      <c r="B758" t="s">
        <v>295</v>
      </c>
      <c r="E758" t="s">
        <v>42</v>
      </c>
      <c r="F758">
        <v>19.72</v>
      </c>
      <c r="H758">
        <v>18.78</v>
      </c>
      <c r="J758">
        <v>0.72019999999999995</v>
      </c>
      <c r="K758" t="str">
        <f t="shared" si="39"/>
        <v>Admis sous condition</v>
      </c>
      <c r="L758" t="str" cm="1">
        <f t="array" ref="L758">_xlfn.IFS(H758&gt;=16,"Excellent",
               H758&gt;=14,"Très bien",
               H758&gt;=12,"Bien",
               H758&gt;=10,"Passable",
               TRUE,"Insuffisant")</f>
        <v>Excellent</v>
      </c>
      <c r="M758" t="str">
        <f t="shared" si="40"/>
        <v>RAS</v>
      </c>
      <c r="N758" t="str">
        <f t="shared" si="41"/>
        <v>Autre filière</v>
      </c>
    </row>
    <row r="759" spans="1:14" x14ac:dyDescent="0.45">
      <c r="A759" t="s">
        <v>1074</v>
      </c>
      <c r="B759" t="s">
        <v>1075</v>
      </c>
      <c r="E759" t="s">
        <v>16</v>
      </c>
      <c r="F759">
        <v>18.41</v>
      </c>
      <c r="H759">
        <v>15.98</v>
      </c>
      <c r="J759">
        <v>0.83409999999999995</v>
      </c>
      <c r="K759" t="str">
        <f t="shared" si="39"/>
        <v>Admis</v>
      </c>
      <c r="L759" t="str" cm="1">
        <f t="array" ref="L759">_xlfn.IFS(H759&gt;=16,"Excellent",
               H759&gt;=14,"Très bien",
               H759&gt;=12,"Bien",
               H759&gt;=10,"Passable",
               TRUE,"Insuffisant")</f>
        <v>Très bien</v>
      </c>
      <c r="M759" t="str">
        <f t="shared" si="40"/>
        <v>RAS</v>
      </c>
      <c r="N759" t="str">
        <f t="shared" si="41"/>
        <v>Data</v>
      </c>
    </row>
    <row r="760" spans="1:14" x14ac:dyDescent="0.45">
      <c r="A760" t="s">
        <v>1076</v>
      </c>
      <c r="B760" t="s">
        <v>933</v>
      </c>
      <c r="E760" t="s">
        <v>21</v>
      </c>
      <c r="F760">
        <v>11.71</v>
      </c>
      <c r="H760">
        <v>15.18</v>
      </c>
      <c r="J760">
        <v>0.6169</v>
      </c>
      <c r="K760" t="str">
        <f t="shared" si="39"/>
        <v>Admis sous condition</v>
      </c>
      <c r="L760" t="str" cm="1">
        <f t="array" ref="L760">_xlfn.IFS(H760&gt;=16,"Excellent",
               H760&gt;=14,"Très bien",
               H760&gt;=12,"Bien",
               H760&gt;=10,"Passable",
               TRUE,"Insuffisant")</f>
        <v>Très bien</v>
      </c>
      <c r="M760" t="str">
        <f t="shared" si="40"/>
        <v>A surveiller</v>
      </c>
      <c r="N760" t="str">
        <f t="shared" si="41"/>
        <v>Autre filière</v>
      </c>
    </row>
    <row r="761" spans="1:14" x14ac:dyDescent="0.45">
      <c r="A761" t="s">
        <v>1077</v>
      </c>
      <c r="B761" t="s">
        <v>53</v>
      </c>
      <c r="E761" t="s">
        <v>42</v>
      </c>
      <c r="F761">
        <v>8.4600000000000009</v>
      </c>
      <c r="H761">
        <v>14.97</v>
      </c>
      <c r="J761">
        <v>0.94889999999999997</v>
      </c>
      <c r="K761" t="str">
        <f t="shared" si="39"/>
        <v>Refusé</v>
      </c>
      <c r="L761" t="str" cm="1">
        <f t="array" ref="L761">_xlfn.IFS(H761&gt;=16,"Excellent",
               H761&gt;=14,"Très bien",
               H761&gt;=12,"Bien",
               H761&gt;=10,"Passable",
               TRUE,"Insuffisant")</f>
        <v>Très bien</v>
      </c>
      <c r="M761" t="str">
        <f t="shared" si="40"/>
        <v>A surveiller</v>
      </c>
      <c r="N761" t="str">
        <f t="shared" si="41"/>
        <v>Autre filière</v>
      </c>
    </row>
    <row r="762" spans="1:14" x14ac:dyDescent="0.45">
      <c r="A762" t="s">
        <v>1078</v>
      </c>
      <c r="B762" t="s">
        <v>1030</v>
      </c>
      <c r="E762" t="s">
        <v>29</v>
      </c>
      <c r="F762">
        <v>15.57</v>
      </c>
      <c r="H762">
        <v>13.49</v>
      </c>
      <c r="J762">
        <v>0.99560000000000004</v>
      </c>
      <c r="K762" t="str">
        <f t="shared" si="39"/>
        <v>Admis</v>
      </c>
      <c r="L762" t="str" cm="1">
        <f t="array" ref="L762">_xlfn.IFS(H762&gt;=16,"Excellent",
               H762&gt;=14,"Très bien",
               H762&gt;=12,"Bien",
               H762&gt;=10,"Passable",
               TRUE,"Insuffisant")</f>
        <v>Bien</v>
      </c>
      <c r="M762" t="str">
        <f t="shared" si="40"/>
        <v>RAS</v>
      </c>
      <c r="N762" t="str">
        <f t="shared" si="41"/>
        <v>Autre filière</v>
      </c>
    </row>
    <row r="763" spans="1:14" x14ac:dyDescent="0.45">
      <c r="A763" t="s">
        <v>1079</v>
      </c>
      <c r="B763" t="s">
        <v>544</v>
      </c>
      <c r="E763" t="s">
        <v>42</v>
      </c>
      <c r="F763">
        <v>13.93</v>
      </c>
      <c r="H763">
        <v>10.56</v>
      </c>
      <c r="J763">
        <v>0.80189999999999995</v>
      </c>
      <c r="K763" t="str">
        <f t="shared" si="39"/>
        <v>Admis sous condition</v>
      </c>
      <c r="L763" t="str" cm="1">
        <f t="array" ref="L763">_xlfn.IFS(H763&gt;=16,"Excellent",
               H763&gt;=14,"Très bien",
               H763&gt;=12,"Bien",
               H763&gt;=10,"Passable",
               TRUE,"Insuffisant")</f>
        <v>Passable</v>
      </c>
      <c r="M763" t="str">
        <f t="shared" si="40"/>
        <v>RAS</v>
      </c>
      <c r="N763" t="str">
        <f t="shared" si="41"/>
        <v>Autre filière</v>
      </c>
    </row>
    <row r="764" spans="1:14" x14ac:dyDescent="0.45">
      <c r="A764" t="s">
        <v>1080</v>
      </c>
      <c r="B764" t="s">
        <v>338</v>
      </c>
      <c r="E764" t="s">
        <v>42</v>
      </c>
      <c r="F764">
        <v>12.23</v>
      </c>
      <c r="H764">
        <v>10.76</v>
      </c>
      <c r="J764">
        <v>0.83889999999999998</v>
      </c>
      <c r="K764" t="str">
        <f t="shared" si="39"/>
        <v>Admis sous condition</v>
      </c>
      <c r="L764" t="str" cm="1">
        <f t="array" ref="L764">_xlfn.IFS(H764&gt;=16,"Excellent",
               H764&gt;=14,"Très bien",
               H764&gt;=12,"Bien",
               H764&gt;=10,"Passable",
               TRUE,"Insuffisant")</f>
        <v>Passable</v>
      </c>
      <c r="M764" t="str">
        <f t="shared" si="40"/>
        <v>RAS</v>
      </c>
      <c r="N764" t="str">
        <f t="shared" si="41"/>
        <v>Autre filière</v>
      </c>
    </row>
    <row r="765" spans="1:14" x14ac:dyDescent="0.45">
      <c r="A765" t="s">
        <v>1081</v>
      </c>
      <c r="B765" t="s">
        <v>117</v>
      </c>
      <c r="E765" t="s">
        <v>42</v>
      </c>
      <c r="F765">
        <v>11.88</v>
      </c>
      <c r="H765">
        <v>12.57</v>
      </c>
      <c r="J765">
        <v>0.92620000000000002</v>
      </c>
      <c r="K765" t="str">
        <f t="shared" si="39"/>
        <v>Admis sous condition</v>
      </c>
      <c r="L765" t="str" cm="1">
        <f t="array" ref="L765">_xlfn.IFS(H765&gt;=16,"Excellent",
               H765&gt;=14,"Très bien",
               H765&gt;=12,"Bien",
               H765&gt;=10,"Passable",
               TRUE,"Insuffisant")</f>
        <v>Bien</v>
      </c>
      <c r="M765" t="str">
        <f t="shared" si="40"/>
        <v>RAS</v>
      </c>
      <c r="N765" t="str">
        <f t="shared" si="41"/>
        <v>Autre filière</v>
      </c>
    </row>
    <row r="766" spans="1:14" x14ac:dyDescent="0.45">
      <c r="A766" t="s">
        <v>1082</v>
      </c>
      <c r="B766" t="s">
        <v>626</v>
      </c>
      <c r="E766" t="s">
        <v>21</v>
      </c>
      <c r="F766">
        <v>11.99</v>
      </c>
      <c r="H766">
        <v>13.02</v>
      </c>
      <c r="J766">
        <v>0.90510000000000002</v>
      </c>
      <c r="K766" t="str">
        <f t="shared" si="39"/>
        <v>Admis sous condition</v>
      </c>
      <c r="L766" t="str" cm="1">
        <f t="array" ref="L766">_xlfn.IFS(H766&gt;=16,"Excellent",
               H766&gt;=14,"Très bien",
               H766&gt;=12,"Bien",
               H766&gt;=10,"Passable",
               TRUE,"Insuffisant")</f>
        <v>Bien</v>
      </c>
      <c r="M766" t="str">
        <f t="shared" si="40"/>
        <v>RAS</v>
      </c>
      <c r="N766" t="str">
        <f t="shared" si="41"/>
        <v>Autre filière</v>
      </c>
    </row>
    <row r="767" spans="1:14" x14ac:dyDescent="0.45">
      <c r="A767" t="s">
        <v>1083</v>
      </c>
      <c r="B767" t="s">
        <v>755</v>
      </c>
      <c r="E767" t="s">
        <v>21</v>
      </c>
      <c r="F767">
        <v>11.34</v>
      </c>
      <c r="H767">
        <v>9.31</v>
      </c>
      <c r="J767">
        <v>0.55000000000000004</v>
      </c>
      <c r="K767" t="str">
        <f t="shared" si="39"/>
        <v>Refusé</v>
      </c>
      <c r="L767" t="str" cm="1">
        <f t="array" ref="L767">_xlfn.IFS(H767&gt;=16,"Excellent",
               H767&gt;=14,"Très bien",
               H767&gt;=12,"Bien",
               H767&gt;=10,"Passable",
               TRUE,"Insuffisant")</f>
        <v>Insuffisant</v>
      </c>
      <c r="M767" t="str">
        <f t="shared" si="40"/>
        <v>A surveiller</v>
      </c>
      <c r="N767" t="str">
        <f t="shared" si="41"/>
        <v>Autre filière</v>
      </c>
    </row>
    <row r="768" spans="1:14" x14ac:dyDescent="0.45">
      <c r="A768" t="s">
        <v>1084</v>
      </c>
      <c r="B768" t="s">
        <v>943</v>
      </c>
      <c r="E768" t="s">
        <v>21</v>
      </c>
      <c r="F768">
        <v>6.64</v>
      </c>
      <c r="H768">
        <v>11.47</v>
      </c>
      <c r="J768">
        <v>0.80379999999999996</v>
      </c>
      <c r="K768" t="str">
        <f t="shared" si="39"/>
        <v>Refusé</v>
      </c>
      <c r="L768" t="str" cm="1">
        <f t="array" ref="L768">_xlfn.IFS(H768&gt;=16,"Excellent",
               H768&gt;=14,"Très bien",
               H768&gt;=12,"Bien",
               H768&gt;=10,"Passable",
               TRUE,"Insuffisant")</f>
        <v>Passable</v>
      </c>
      <c r="M768" t="str">
        <f t="shared" si="40"/>
        <v>A surveiller</v>
      </c>
      <c r="N768" t="str">
        <f t="shared" si="41"/>
        <v>Autre filière</v>
      </c>
    </row>
    <row r="769" spans="1:14" x14ac:dyDescent="0.45">
      <c r="A769" t="s">
        <v>1085</v>
      </c>
      <c r="B769" t="s">
        <v>1044</v>
      </c>
      <c r="E769" t="s">
        <v>42</v>
      </c>
      <c r="F769">
        <v>8.75</v>
      </c>
      <c r="H769">
        <v>9.86</v>
      </c>
      <c r="J769">
        <v>0.85829999999999995</v>
      </c>
      <c r="K769" t="str">
        <f t="shared" si="39"/>
        <v>Refusé</v>
      </c>
      <c r="L769" t="str" cm="1">
        <f t="array" ref="L769">_xlfn.IFS(H769&gt;=16,"Excellent",
               H769&gt;=14,"Très bien",
               H769&gt;=12,"Bien",
               H769&gt;=10,"Passable",
               TRUE,"Insuffisant")</f>
        <v>Insuffisant</v>
      </c>
      <c r="M769" t="str">
        <f t="shared" si="40"/>
        <v>A surveiller</v>
      </c>
      <c r="N769" t="str">
        <f t="shared" si="41"/>
        <v>Autre filière</v>
      </c>
    </row>
    <row r="770" spans="1:14" x14ac:dyDescent="0.45">
      <c r="A770" t="s">
        <v>1086</v>
      </c>
      <c r="B770" t="s">
        <v>77</v>
      </c>
      <c r="E770" t="s">
        <v>42</v>
      </c>
      <c r="F770">
        <v>15.63</v>
      </c>
      <c r="H770">
        <v>19.55</v>
      </c>
      <c r="J770">
        <v>0.71250000000000002</v>
      </c>
      <c r="K770" t="str">
        <f t="shared" si="39"/>
        <v>Admis sous condition</v>
      </c>
      <c r="L770" t="str" cm="1">
        <f t="array" ref="L770">_xlfn.IFS(H770&gt;=16,"Excellent",
               H770&gt;=14,"Très bien",
               H770&gt;=12,"Bien",
               H770&gt;=10,"Passable",
               TRUE,"Insuffisant")</f>
        <v>Excellent</v>
      </c>
      <c r="M770" t="str">
        <f t="shared" si="40"/>
        <v>RAS</v>
      </c>
      <c r="N770" t="str">
        <f t="shared" si="41"/>
        <v>Autre filière</v>
      </c>
    </row>
    <row r="771" spans="1:14" x14ac:dyDescent="0.45">
      <c r="A771" t="s">
        <v>1087</v>
      </c>
      <c r="B771" t="s">
        <v>1088</v>
      </c>
      <c r="E771" t="s">
        <v>29</v>
      </c>
      <c r="F771">
        <v>8.36</v>
      </c>
      <c r="H771">
        <v>13.87</v>
      </c>
      <c r="J771">
        <v>0.84809999999999997</v>
      </c>
      <c r="K771" t="str">
        <f t="shared" si="39"/>
        <v>Refusé</v>
      </c>
      <c r="L771" t="str" cm="1">
        <f t="array" ref="L771">_xlfn.IFS(H771&gt;=16,"Excellent",
               H771&gt;=14,"Très bien",
               H771&gt;=12,"Bien",
               H771&gt;=10,"Passable",
               TRUE,"Insuffisant")</f>
        <v>Bien</v>
      </c>
      <c r="M771" t="str">
        <f t="shared" si="40"/>
        <v>A surveiller</v>
      </c>
      <c r="N771" t="str">
        <f t="shared" si="41"/>
        <v>Autre filière</v>
      </c>
    </row>
    <row r="772" spans="1:14" x14ac:dyDescent="0.45">
      <c r="A772" t="s">
        <v>1089</v>
      </c>
      <c r="B772" t="s">
        <v>140</v>
      </c>
      <c r="E772" t="s">
        <v>16</v>
      </c>
      <c r="F772">
        <v>15.4</v>
      </c>
      <c r="H772">
        <v>12.62</v>
      </c>
      <c r="J772">
        <v>0.74060000000000004</v>
      </c>
      <c r="K772" t="str">
        <f t="shared" si="39"/>
        <v>Admis sous condition</v>
      </c>
      <c r="L772" t="str" cm="1">
        <f t="array" ref="L772">_xlfn.IFS(H772&gt;=16,"Excellent",
               H772&gt;=14,"Très bien",
               H772&gt;=12,"Bien",
               H772&gt;=10,"Passable",
               TRUE,"Insuffisant")</f>
        <v>Bien</v>
      </c>
      <c r="M772" t="str">
        <f t="shared" si="40"/>
        <v>RAS</v>
      </c>
      <c r="N772" t="str">
        <f t="shared" si="41"/>
        <v>Data</v>
      </c>
    </row>
    <row r="773" spans="1:14" x14ac:dyDescent="0.45">
      <c r="A773" t="s">
        <v>1090</v>
      </c>
      <c r="B773" t="s">
        <v>295</v>
      </c>
      <c r="E773" t="s">
        <v>29</v>
      </c>
      <c r="F773">
        <v>11.85</v>
      </c>
      <c r="H773">
        <v>12.37</v>
      </c>
      <c r="J773">
        <v>0.82869999999999999</v>
      </c>
      <c r="K773" t="str">
        <f t="shared" si="39"/>
        <v>Admis sous condition</v>
      </c>
      <c r="L773" t="str" cm="1">
        <f t="array" ref="L773">_xlfn.IFS(H773&gt;=16,"Excellent",
               H773&gt;=14,"Très bien",
               H773&gt;=12,"Bien",
               H773&gt;=10,"Passable",
               TRUE,"Insuffisant")</f>
        <v>Bien</v>
      </c>
      <c r="M773" t="str">
        <f t="shared" si="40"/>
        <v>RAS</v>
      </c>
      <c r="N773" t="str">
        <f t="shared" si="41"/>
        <v>Autre filière</v>
      </c>
    </row>
    <row r="774" spans="1:14" x14ac:dyDescent="0.45">
      <c r="A774" t="s">
        <v>1091</v>
      </c>
      <c r="B774" t="s">
        <v>1092</v>
      </c>
      <c r="E774" t="s">
        <v>21</v>
      </c>
      <c r="F774">
        <v>14.4</v>
      </c>
      <c r="H774">
        <v>11.3</v>
      </c>
      <c r="J774">
        <v>0.67949999999999999</v>
      </c>
      <c r="K774" t="str">
        <f t="shared" si="39"/>
        <v>Admis sous condition</v>
      </c>
      <c r="L774" t="str" cm="1">
        <f t="array" ref="L774">_xlfn.IFS(H774&gt;=16,"Excellent",
               H774&gt;=14,"Très bien",
               H774&gt;=12,"Bien",
               H774&gt;=10,"Passable",
               TRUE,"Insuffisant")</f>
        <v>Passable</v>
      </c>
      <c r="M774" t="str">
        <f t="shared" si="40"/>
        <v>A surveiller</v>
      </c>
      <c r="N774" t="str">
        <f t="shared" si="41"/>
        <v>Autre filière</v>
      </c>
    </row>
    <row r="775" spans="1:14" x14ac:dyDescent="0.45">
      <c r="A775" t="s">
        <v>1093</v>
      </c>
      <c r="B775" t="s">
        <v>814</v>
      </c>
      <c r="E775" t="s">
        <v>16</v>
      </c>
      <c r="F775">
        <v>10.78</v>
      </c>
      <c r="H775">
        <v>13.98</v>
      </c>
      <c r="J775">
        <v>0.5958</v>
      </c>
      <c r="K775" t="str">
        <f t="shared" si="39"/>
        <v>Admis sous condition</v>
      </c>
      <c r="L775" t="str" cm="1">
        <f t="array" ref="L775">_xlfn.IFS(H775&gt;=16,"Excellent",
               H775&gt;=14,"Très bien",
               H775&gt;=12,"Bien",
               H775&gt;=10,"Passable",
               TRUE,"Insuffisant")</f>
        <v>Bien</v>
      </c>
      <c r="M775" t="str">
        <f t="shared" si="40"/>
        <v>A surveiller</v>
      </c>
      <c r="N775" t="str">
        <f t="shared" si="41"/>
        <v>Data</v>
      </c>
    </row>
    <row r="776" spans="1:14" x14ac:dyDescent="0.45">
      <c r="A776" t="s">
        <v>1094</v>
      </c>
      <c r="B776" t="s">
        <v>207</v>
      </c>
      <c r="E776" t="s">
        <v>42</v>
      </c>
      <c r="F776">
        <v>17.37</v>
      </c>
      <c r="H776">
        <v>16.739999999999998</v>
      </c>
      <c r="J776">
        <v>0.87680000000000002</v>
      </c>
      <c r="K776" t="str">
        <f t="shared" si="39"/>
        <v>Admis</v>
      </c>
      <c r="L776" t="str" cm="1">
        <f t="array" ref="L776">_xlfn.IFS(H776&gt;=16,"Excellent",
               H776&gt;=14,"Très bien",
               H776&gt;=12,"Bien",
               H776&gt;=10,"Passable",
               TRUE,"Insuffisant")</f>
        <v>Excellent</v>
      </c>
      <c r="M776" t="str">
        <f t="shared" si="40"/>
        <v>RAS</v>
      </c>
      <c r="N776" t="str">
        <f t="shared" si="41"/>
        <v>Autre filière</v>
      </c>
    </row>
    <row r="777" spans="1:14" x14ac:dyDescent="0.45">
      <c r="A777" t="s">
        <v>1095</v>
      </c>
      <c r="B777" t="s">
        <v>847</v>
      </c>
      <c r="E777" t="s">
        <v>16</v>
      </c>
      <c r="F777">
        <v>15.71</v>
      </c>
      <c r="H777">
        <v>12.73</v>
      </c>
      <c r="J777">
        <v>0.84550000000000003</v>
      </c>
      <c r="K777" t="str">
        <f t="shared" si="39"/>
        <v>Admis</v>
      </c>
      <c r="L777" t="str" cm="1">
        <f t="array" ref="L777">_xlfn.IFS(H777&gt;=16,"Excellent",
               H777&gt;=14,"Très bien",
               H777&gt;=12,"Bien",
               H777&gt;=10,"Passable",
               TRUE,"Insuffisant")</f>
        <v>Bien</v>
      </c>
      <c r="M777" t="str">
        <f t="shared" si="40"/>
        <v>RAS</v>
      </c>
      <c r="N777" t="str">
        <f t="shared" si="41"/>
        <v>Data</v>
      </c>
    </row>
    <row r="778" spans="1:14" x14ac:dyDescent="0.45">
      <c r="A778" t="s">
        <v>1096</v>
      </c>
      <c r="B778" t="s">
        <v>282</v>
      </c>
      <c r="E778" t="s">
        <v>29</v>
      </c>
      <c r="F778">
        <v>11.4</v>
      </c>
      <c r="H778">
        <v>9.39</v>
      </c>
      <c r="J778">
        <v>0.81420000000000003</v>
      </c>
      <c r="K778" t="str">
        <f t="shared" si="39"/>
        <v>Refusé</v>
      </c>
      <c r="L778" t="str" cm="1">
        <f t="array" ref="L778">_xlfn.IFS(H778&gt;=16,"Excellent",
               H778&gt;=14,"Très bien",
               H778&gt;=12,"Bien",
               H778&gt;=10,"Passable",
               TRUE,"Insuffisant")</f>
        <v>Insuffisant</v>
      </c>
      <c r="M778" t="str">
        <f t="shared" si="40"/>
        <v>A surveiller</v>
      </c>
      <c r="N778" t="str">
        <f t="shared" si="41"/>
        <v>Autre filière</v>
      </c>
    </row>
    <row r="779" spans="1:14" x14ac:dyDescent="0.45">
      <c r="A779" t="s">
        <v>1097</v>
      </c>
      <c r="B779" t="s">
        <v>334</v>
      </c>
      <c r="E779" t="s">
        <v>16</v>
      </c>
      <c r="F779">
        <v>15.17</v>
      </c>
      <c r="H779">
        <v>14.55</v>
      </c>
      <c r="J779">
        <v>0.76249999999999996</v>
      </c>
      <c r="K779" t="str">
        <f t="shared" si="39"/>
        <v>Admis sous condition</v>
      </c>
      <c r="L779" t="str" cm="1">
        <f t="array" ref="L779">_xlfn.IFS(H779&gt;=16,"Excellent",
               H779&gt;=14,"Très bien",
               H779&gt;=12,"Bien",
               H779&gt;=10,"Passable",
               TRUE,"Insuffisant")</f>
        <v>Très bien</v>
      </c>
      <c r="M779" t="str">
        <f t="shared" si="40"/>
        <v>RAS</v>
      </c>
      <c r="N779" t="str">
        <f t="shared" si="41"/>
        <v>Data</v>
      </c>
    </row>
    <row r="780" spans="1:14" x14ac:dyDescent="0.45">
      <c r="A780" t="s">
        <v>1098</v>
      </c>
      <c r="B780" t="s">
        <v>125</v>
      </c>
      <c r="E780" t="s">
        <v>42</v>
      </c>
      <c r="F780">
        <v>13.71</v>
      </c>
      <c r="H780">
        <v>10.82</v>
      </c>
      <c r="J780">
        <v>0.82840000000000003</v>
      </c>
      <c r="K780" t="str">
        <f t="shared" si="39"/>
        <v>Admis sous condition</v>
      </c>
      <c r="L780" t="str" cm="1">
        <f t="array" ref="L780">_xlfn.IFS(H780&gt;=16,"Excellent",
               H780&gt;=14,"Très bien",
               H780&gt;=12,"Bien",
               H780&gt;=10,"Passable",
               TRUE,"Insuffisant")</f>
        <v>Passable</v>
      </c>
      <c r="M780" t="str">
        <f t="shared" si="40"/>
        <v>RAS</v>
      </c>
      <c r="N780" t="str">
        <f t="shared" si="41"/>
        <v>Autre filière</v>
      </c>
    </row>
    <row r="781" spans="1:14" x14ac:dyDescent="0.45">
      <c r="A781" t="s">
        <v>1099</v>
      </c>
      <c r="B781" t="s">
        <v>1100</v>
      </c>
      <c r="E781" t="s">
        <v>21</v>
      </c>
      <c r="F781">
        <v>11.9</v>
      </c>
      <c r="H781">
        <v>14.17</v>
      </c>
      <c r="J781">
        <v>0.80620000000000003</v>
      </c>
      <c r="K781" t="str">
        <f t="shared" si="39"/>
        <v>Admis sous condition</v>
      </c>
      <c r="L781" t="str" cm="1">
        <f t="array" ref="L781">_xlfn.IFS(H781&gt;=16,"Excellent",
               H781&gt;=14,"Très bien",
               H781&gt;=12,"Bien",
               H781&gt;=10,"Passable",
               TRUE,"Insuffisant")</f>
        <v>Très bien</v>
      </c>
      <c r="M781" t="str">
        <f t="shared" si="40"/>
        <v>RAS</v>
      </c>
      <c r="N781" t="str">
        <f t="shared" si="41"/>
        <v>Autre filière</v>
      </c>
    </row>
    <row r="782" spans="1:14" x14ac:dyDescent="0.45">
      <c r="A782" t="s">
        <v>1101</v>
      </c>
      <c r="B782" t="s">
        <v>92</v>
      </c>
      <c r="E782" t="s">
        <v>21</v>
      </c>
      <c r="F782">
        <v>16.12</v>
      </c>
      <c r="H782">
        <v>12.85</v>
      </c>
      <c r="J782">
        <v>0.90510000000000002</v>
      </c>
      <c r="K782" t="str">
        <f t="shared" si="39"/>
        <v>Admis</v>
      </c>
      <c r="L782" t="str" cm="1">
        <f t="array" ref="L782">_xlfn.IFS(H782&gt;=16,"Excellent",
               H782&gt;=14,"Très bien",
               H782&gt;=12,"Bien",
               H782&gt;=10,"Passable",
               TRUE,"Insuffisant")</f>
        <v>Bien</v>
      </c>
      <c r="M782" t="str">
        <f t="shared" si="40"/>
        <v>RAS</v>
      </c>
      <c r="N782" t="str">
        <f t="shared" si="41"/>
        <v>Autre filière</v>
      </c>
    </row>
    <row r="783" spans="1:14" x14ac:dyDescent="0.45">
      <c r="A783" t="s">
        <v>1102</v>
      </c>
      <c r="B783" t="s">
        <v>661</v>
      </c>
      <c r="E783" t="s">
        <v>42</v>
      </c>
      <c r="F783">
        <v>11.05</v>
      </c>
      <c r="H783">
        <v>16.14</v>
      </c>
      <c r="J783">
        <v>0.69879999999999998</v>
      </c>
      <c r="K783" t="str">
        <f t="shared" si="39"/>
        <v>Admis sous condition</v>
      </c>
      <c r="L783" t="str" cm="1">
        <f t="array" ref="L783">_xlfn.IFS(H783&gt;=16,"Excellent",
               H783&gt;=14,"Très bien",
               H783&gt;=12,"Bien",
               H783&gt;=10,"Passable",
               TRUE,"Insuffisant")</f>
        <v>Excellent</v>
      </c>
      <c r="M783" t="str">
        <f t="shared" si="40"/>
        <v>A surveiller</v>
      </c>
      <c r="N783" t="str">
        <f t="shared" si="41"/>
        <v>Autre filière</v>
      </c>
    </row>
    <row r="784" spans="1:14" x14ac:dyDescent="0.45">
      <c r="A784" t="s">
        <v>1103</v>
      </c>
      <c r="B784" t="s">
        <v>77</v>
      </c>
      <c r="E784" t="s">
        <v>16</v>
      </c>
      <c r="F784">
        <v>12.01</v>
      </c>
      <c r="H784">
        <v>13.28</v>
      </c>
      <c r="J784">
        <v>0.82950000000000002</v>
      </c>
      <c r="K784" t="str">
        <f t="shared" si="39"/>
        <v>Admis</v>
      </c>
      <c r="L784" t="str" cm="1">
        <f t="array" ref="L784">_xlfn.IFS(H784&gt;=16,"Excellent",
               H784&gt;=14,"Très bien",
               H784&gt;=12,"Bien",
               H784&gt;=10,"Passable",
               TRUE,"Insuffisant")</f>
        <v>Bien</v>
      </c>
      <c r="M784" t="str">
        <f t="shared" si="40"/>
        <v>RAS</v>
      </c>
      <c r="N784" t="str">
        <f t="shared" si="41"/>
        <v>Data</v>
      </c>
    </row>
    <row r="785" spans="1:14" x14ac:dyDescent="0.45">
      <c r="A785" t="s">
        <v>1104</v>
      </c>
      <c r="B785" t="s">
        <v>731</v>
      </c>
      <c r="E785" t="s">
        <v>42</v>
      </c>
      <c r="F785">
        <v>11.92</v>
      </c>
      <c r="H785">
        <v>15.09</v>
      </c>
      <c r="J785">
        <v>0.80069999999999997</v>
      </c>
      <c r="K785" t="str">
        <f t="shared" si="39"/>
        <v>Admis sous condition</v>
      </c>
      <c r="L785" t="str" cm="1">
        <f t="array" ref="L785">_xlfn.IFS(H785&gt;=16,"Excellent",
               H785&gt;=14,"Très bien",
               H785&gt;=12,"Bien",
               H785&gt;=10,"Passable",
               TRUE,"Insuffisant")</f>
        <v>Très bien</v>
      </c>
      <c r="M785" t="str">
        <f t="shared" si="40"/>
        <v>RAS</v>
      </c>
      <c r="N785" t="str">
        <f t="shared" si="41"/>
        <v>Autre filière</v>
      </c>
    </row>
    <row r="786" spans="1:14" x14ac:dyDescent="0.45">
      <c r="A786" t="s">
        <v>1105</v>
      </c>
      <c r="B786" t="s">
        <v>291</v>
      </c>
      <c r="E786" t="s">
        <v>16</v>
      </c>
      <c r="F786">
        <v>13.36</v>
      </c>
      <c r="H786">
        <v>9.73</v>
      </c>
      <c r="J786">
        <v>0.93810000000000004</v>
      </c>
      <c r="K786" t="str">
        <f t="shared" si="39"/>
        <v>Refusé</v>
      </c>
      <c r="L786" t="str" cm="1">
        <f t="array" ref="L786">_xlfn.IFS(H786&gt;=16,"Excellent",
               H786&gt;=14,"Très bien",
               H786&gt;=12,"Bien",
               H786&gt;=10,"Passable",
               TRUE,"Insuffisant")</f>
        <v>Insuffisant</v>
      </c>
      <c r="M786" t="str">
        <f t="shared" si="40"/>
        <v>A surveiller</v>
      </c>
      <c r="N786" t="str">
        <f t="shared" si="41"/>
        <v>Data</v>
      </c>
    </row>
    <row r="787" spans="1:14" x14ac:dyDescent="0.45">
      <c r="A787" t="s">
        <v>1106</v>
      </c>
      <c r="B787" t="s">
        <v>503</v>
      </c>
      <c r="E787" t="s">
        <v>29</v>
      </c>
      <c r="F787">
        <v>12.93</v>
      </c>
      <c r="H787">
        <v>11.86</v>
      </c>
      <c r="J787">
        <v>0.91359999999999997</v>
      </c>
      <c r="K787" t="str">
        <f t="shared" si="39"/>
        <v>Admis sous condition</v>
      </c>
      <c r="L787" t="str" cm="1">
        <f t="array" ref="L787">_xlfn.IFS(H787&gt;=16,"Excellent",
               H787&gt;=14,"Très bien",
               H787&gt;=12,"Bien",
               H787&gt;=10,"Passable",
               TRUE,"Insuffisant")</f>
        <v>Passable</v>
      </c>
      <c r="M787" t="str">
        <f t="shared" si="40"/>
        <v>RAS</v>
      </c>
      <c r="N787" t="str">
        <f t="shared" si="41"/>
        <v>Autre filière</v>
      </c>
    </row>
    <row r="788" spans="1:14" x14ac:dyDescent="0.45">
      <c r="A788" t="s">
        <v>1107</v>
      </c>
      <c r="B788" t="s">
        <v>924</v>
      </c>
      <c r="E788" t="s">
        <v>42</v>
      </c>
      <c r="F788">
        <v>12.85</v>
      </c>
      <c r="H788">
        <v>11.04</v>
      </c>
      <c r="J788">
        <v>0.88260000000000005</v>
      </c>
      <c r="K788" t="str">
        <f t="shared" si="39"/>
        <v>Admis sous condition</v>
      </c>
      <c r="L788" t="str" cm="1">
        <f t="array" ref="L788">_xlfn.IFS(H788&gt;=16,"Excellent",
               H788&gt;=14,"Très bien",
               H788&gt;=12,"Bien",
               H788&gt;=10,"Passable",
               TRUE,"Insuffisant")</f>
        <v>Passable</v>
      </c>
      <c r="M788" t="str">
        <f t="shared" si="40"/>
        <v>RAS</v>
      </c>
      <c r="N788" t="str">
        <f t="shared" si="41"/>
        <v>Autre filière</v>
      </c>
    </row>
    <row r="789" spans="1:14" x14ac:dyDescent="0.45">
      <c r="A789" t="s">
        <v>1108</v>
      </c>
      <c r="B789" t="s">
        <v>338</v>
      </c>
      <c r="E789" t="s">
        <v>42</v>
      </c>
      <c r="F789">
        <v>15.81</v>
      </c>
      <c r="H789">
        <v>16.02</v>
      </c>
      <c r="J789">
        <v>0.81179999999999997</v>
      </c>
      <c r="K789" t="str">
        <f t="shared" si="39"/>
        <v>Admis</v>
      </c>
      <c r="L789" t="str" cm="1">
        <f t="array" ref="L789">_xlfn.IFS(H789&gt;=16,"Excellent",
               H789&gt;=14,"Très bien",
               H789&gt;=12,"Bien",
               H789&gt;=10,"Passable",
               TRUE,"Insuffisant")</f>
        <v>Excellent</v>
      </c>
      <c r="M789" t="str">
        <f t="shared" si="40"/>
        <v>RAS</v>
      </c>
      <c r="N789" t="str">
        <f t="shared" si="41"/>
        <v>Autre filière</v>
      </c>
    </row>
    <row r="790" spans="1:14" x14ac:dyDescent="0.45">
      <c r="A790" t="s">
        <v>1109</v>
      </c>
      <c r="B790" t="s">
        <v>198</v>
      </c>
      <c r="E790" t="s">
        <v>16</v>
      </c>
      <c r="F790">
        <v>13.49</v>
      </c>
      <c r="H790">
        <v>17.22</v>
      </c>
      <c r="J790">
        <v>0.55000000000000004</v>
      </c>
      <c r="K790" t="str">
        <f t="shared" si="39"/>
        <v>Admis sous condition</v>
      </c>
      <c r="L790" t="str" cm="1">
        <f t="array" ref="L790">_xlfn.IFS(H790&gt;=16,"Excellent",
               H790&gt;=14,"Très bien",
               H790&gt;=12,"Bien",
               H790&gt;=10,"Passable",
               TRUE,"Insuffisant")</f>
        <v>Excellent</v>
      </c>
      <c r="M790" t="str">
        <f t="shared" si="40"/>
        <v>A surveiller</v>
      </c>
      <c r="N790" t="str">
        <f t="shared" si="41"/>
        <v>Data</v>
      </c>
    </row>
    <row r="791" spans="1:14" x14ac:dyDescent="0.45">
      <c r="A791" t="s">
        <v>1110</v>
      </c>
      <c r="B791" t="s">
        <v>88</v>
      </c>
      <c r="E791" t="s">
        <v>21</v>
      </c>
      <c r="F791">
        <v>19.5</v>
      </c>
      <c r="H791">
        <v>20</v>
      </c>
      <c r="J791">
        <v>0.85599999999999998</v>
      </c>
      <c r="K791" t="str">
        <f t="shared" ref="K791:K854" si="42">IF(AND(F791&gt;=12,H791&gt;=12,J791&gt;=0.8),"Admis",
   IF(AND(F791&gt;=10,H791&gt;=10),"Admis sous condition","Refusé"))</f>
        <v>Admis</v>
      </c>
      <c r="L791" t="str" cm="1">
        <f t="array" ref="L791">_xlfn.IFS(H791&gt;=16,"Excellent",
               H791&gt;=14,"Très bien",
               H791&gt;=12,"Bien",
               H791&gt;=10,"Passable",
               TRUE,"Insuffisant")</f>
        <v>Excellent</v>
      </c>
      <c r="M791" t="str">
        <f t="shared" ref="M791:M854" si="43">IF(OR(F791&lt;10,H791&lt;10,J791&lt;0.7),"A surveiller","RAS")</f>
        <v>RAS</v>
      </c>
      <c r="N791" t="str">
        <f t="shared" ref="N791:N854" si="44">IF(NOT(E791="Data"),"Autre filière","Data")</f>
        <v>Autre filière</v>
      </c>
    </row>
    <row r="792" spans="1:14" x14ac:dyDescent="0.45">
      <c r="A792" t="s">
        <v>1111</v>
      </c>
      <c r="B792" t="s">
        <v>289</v>
      </c>
      <c r="E792" t="s">
        <v>29</v>
      </c>
      <c r="F792">
        <v>20</v>
      </c>
      <c r="H792">
        <v>20</v>
      </c>
      <c r="J792">
        <v>0.96150000000000002</v>
      </c>
      <c r="K792" t="str">
        <f t="shared" si="42"/>
        <v>Admis</v>
      </c>
      <c r="L792" t="str" cm="1">
        <f t="array" ref="L792">_xlfn.IFS(H792&gt;=16,"Excellent",
               H792&gt;=14,"Très bien",
               H792&gt;=12,"Bien",
               H792&gt;=10,"Passable",
               TRUE,"Insuffisant")</f>
        <v>Excellent</v>
      </c>
      <c r="M792" t="str">
        <f t="shared" si="43"/>
        <v>RAS</v>
      </c>
      <c r="N792" t="str">
        <f t="shared" si="44"/>
        <v>Autre filière</v>
      </c>
    </row>
    <row r="793" spans="1:14" x14ac:dyDescent="0.45">
      <c r="A793" t="s">
        <v>1112</v>
      </c>
      <c r="B793" t="s">
        <v>1113</v>
      </c>
      <c r="E793" t="s">
        <v>21</v>
      </c>
      <c r="F793">
        <v>9.3800000000000008</v>
      </c>
      <c r="H793">
        <v>9.92</v>
      </c>
      <c r="J793">
        <v>0.71220000000000006</v>
      </c>
      <c r="K793" t="str">
        <f t="shared" si="42"/>
        <v>Refusé</v>
      </c>
      <c r="L793" t="str" cm="1">
        <f t="array" ref="L793">_xlfn.IFS(H793&gt;=16,"Excellent",
               H793&gt;=14,"Très bien",
               H793&gt;=12,"Bien",
               H793&gt;=10,"Passable",
               TRUE,"Insuffisant")</f>
        <v>Insuffisant</v>
      </c>
      <c r="M793" t="str">
        <f t="shared" si="43"/>
        <v>A surveiller</v>
      </c>
      <c r="N793" t="str">
        <f t="shared" si="44"/>
        <v>Autre filière</v>
      </c>
    </row>
    <row r="794" spans="1:14" x14ac:dyDescent="0.45">
      <c r="A794" t="s">
        <v>1114</v>
      </c>
      <c r="B794" t="s">
        <v>140</v>
      </c>
      <c r="E794" t="s">
        <v>42</v>
      </c>
      <c r="F794">
        <v>16.14</v>
      </c>
      <c r="H794">
        <v>14.3</v>
      </c>
      <c r="J794">
        <v>0.9073</v>
      </c>
      <c r="K794" t="str">
        <f t="shared" si="42"/>
        <v>Admis</v>
      </c>
      <c r="L794" t="str" cm="1">
        <f t="array" ref="L794">_xlfn.IFS(H794&gt;=16,"Excellent",
               H794&gt;=14,"Très bien",
               H794&gt;=12,"Bien",
               H794&gt;=10,"Passable",
               TRUE,"Insuffisant")</f>
        <v>Très bien</v>
      </c>
      <c r="M794" t="str">
        <f t="shared" si="43"/>
        <v>RAS</v>
      </c>
      <c r="N794" t="str">
        <f t="shared" si="44"/>
        <v>Autre filière</v>
      </c>
    </row>
    <row r="795" spans="1:14" x14ac:dyDescent="0.45">
      <c r="A795" t="s">
        <v>1115</v>
      </c>
      <c r="B795" t="s">
        <v>49</v>
      </c>
      <c r="E795" t="s">
        <v>42</v>
      </c>
      <c r="F795">
        <v>8.26</v>
      </c>
      <c r="H795">
        <v>8.69</v>
      </c>
      <c r="J795">
        <v>0.74050000000000005</v>
      </c>
      <c r="K795" t="str">
        <f t="shared" si="42"/>
        <v>Refusé</v>
      </c>
      <c r="L795" t="str" cm="1">
        <f t="array" ref="L795">_xlfn.IFS(H795&gt;=16,"Excellent",
               H795&gt;=14,"Très bien",
               H795&gt;=12,"Bien",
               H795&gt;=10,"Passable",
               TRUE,"Insuffisant")</f>
        <v>Insuffisant</v>
      </c>
      <c r="M795" t="str">
        <f t="shared" si="43"/>
        <v>A surveiller</v>
      </c>
      <c r="N795" t="str">
        <f t="shared" si="44"/>
        <v>Autre filière</v>
      </c>
    </row>
    <row r="796" spans="1:14" x14ac:dyDescent="0.45">
      <c r="A796" t="s">
        <v>1116</v>
      </c>
      <c r="B796" t="s">
        <v>438</v>
      </c>
      <c r="E796" t="s">
        <v>42</v>
      </c>
      <c r="F796">
        <v>10.039999999999999</v>
      </c>
      <c r="H796">
        <v>9.34</v>
      </c>
      <c r="J796">
        <v>0.67169999999999996</v>
      </c>
      <c r="K796" t="str">
        <f t="shared" si="42"/>
        <v>Refusé</v>
      </c>
      <c r="L796" t="str" cm="1">
        <f t="array" ref="L796">_xlfn.IFS(H796&gt;=16,"Excellent",
               H796&gt;=14,"Très bien",
               H796&gt;=12,"Bien",
               H796&gt;=10,"Passable",
               TRUE,"Insuffisant")</f>
        <v>Insuffisant</v>
      </c>
      <c r="M796" t="str">
        <f t="shared" si="43"/>
        <v>A surveiller</v>
      </c>
      <c r="N796" t="str">
        <f t="shared" si="44"/>
        <v>Autre filière</v>
      </c>
    </row>
    <row r="797" spans="1:14" x14ac:dyDescent="0.45">
      <c r="A797" t="s">
        <v>1117</v>
      </c>
      <c r="B797" t="s">
        <v>425</v>
      </c>
      <c r="E797" t="s">
        <v>21</v>
      </c>
      <c r="F797">
        <v>15.34</v>
      </c>
      <c r="H797">
        <v>9.41</v>
      </c>
      <c r="J797">
        <v>0.92059999999999997</v>
      </c>
      <c r="K797" t="str">
        <f t="shared" si="42"/>
        <v>Refusé</v>
      </c>
      <c r="L797" t="str" cm="1">
        <f t="array" ref="L797">_xlfn.IFS(H797&gt;=16,"Excellent",
               H797&gt;=14,"Très bien",
               H797&gt;=12,"Bien",
               H797&gt;=10,"Passable",
               TRUE,"Insuffisant")</f>
        <v>Insuffisant</v>
      </c>
      <c r="M797" t="str">
        <f t="shared" si="43"/>
        <v>A surveiller</v>
      </c>
      <c r="N797" t="str">
        <f t="shared" si="44"/>
        <v>Autre filière</v>
      </c>
    </row>
    <row r="798" spans="1:14" x14ac:dyDescent="0.45">
      <c r="A798" t="s">
        <v>1118</v>
      </c>
      <c r="B798" t="s">
        <v>398</v>
      </c>
      <c r="E798" t="s">
        <v>16</v>
      </c>
      <c r="F798">
        <v>12.45</v>
      </c>
      <c r="H798">
        <v>9.7799999999999994</v>
      </c>
      <c r="J798">
        <v>0.96179999999999999</v>
      </c>
      <c r="K798" t="str">
        <f t="shared" si="42"/>
        <v>Refusé</v>
      </c>
      <c r="L798" t="str" cm="1">
        <f t="array" ref="L798">_xlfn.IFS(H798&gt;=16,"Excellent",
               H798&gt;=14,"Très bien",
               H798&gt;=12,"Bien",
               H798&gt;=10,"Passable",
               TRUE,"Insuffisant")</f>
        <v>Insuffisant</v>
      </c>
      <c r="M798" t="str">
        <f t="shared" si="43"/>
        <v>A surveiller</v>
      </c>
      <c r="N798" t="str">
        <f t="shared" si="44"/>
        <v>Data</v>
      </c>
    </row>
    <row r="799" spans="1:14" x14ac:dyDescent="0.45">
      <c r="A799" t="s">
        <v>1119</v>
      </c>
      <c r="B799" t="s">
        <v>27</v>
      </c>
      <c r="E799" t="s">
        <v>42</v>
      </c>
      <c r="F799">
        <v>9.77</v>
      </c>
      <c r="H799">
        <v>11.3</v>
      </c>
      <c r="J799">
        <v>0.80249999999999999</v>
      </c>
      <c r="K799" t="str">
        <f t="shared" si="42"/>
        <v>Refusé</v>
      </c>
      <c r="L799" t="str" cm="1">
        <f t="array" ref="L799">_xlfn.IFS(H799&gt;=16,"Excellent",
               H799&gt;=14,"Très bien",
               H799&gt;=12,"Bien",
               H799&gt;=10,"Passable",
               TRUE,"Insuffisant")</f>
        <v>Passable</v>
      </c>
      <c r="M799" t="str">
        <f t="shared" si="43"/>
        <v>A surveiller</v>
      </c>
      <c r="N799" t="str">
        <f t="shared" si="44"/>
        <v>Autre filière</v>
      </c>
    </row>
    <row r="800" spans="1:14" x14ac:dyDescent="0.45">
      <c r="A800" t="s">
        <v>1120</v>
      </c>
      <c r="B800" t="s">
        <v>859</v>
      </c>
      <c r="E800" t="s">
        <v>16</v>
      </c>
      <c r="F800">
        <v>13.73</v>
      </c>
      <c r="H800">
        <v>9.09</v>
      </c>
      <c r="J800">
        <v>0.74519999999999997</v>
      </c>
      <c r="K800" t="str">
        <f t="shared" si="42"/>
        <v>Refusé</v>
      </c>
      <c r="L800" t="str" cm="1">
        <f t="array" ref="L800">_xlfn.IFS(H800&gt;=16,"Excellent",
               H800&gt;=14,"Très bien",
               H800&gt;=12,"Bien",
               H800&gt;=10,"Passable",
               TRUE,"Insuffisant")</f>
        <v>Insuffisant</v>
      </c>
      <c r="M800" t="str">
        <f t="shared" si="43"/>
        <v>A surveiller</v>
      </c>
      <c r="N800" t="str">
        <f t="shared" si="44"/>
        <v>Data</v>
      </c>
    </row>
    <row r="801" spans="1:14" x14ac:dyDescent="0.45">
      <c r="A801" t="s">
        <v>1121</v>
      </c>
      <c r="B801" t="s">
        <v>41</v>
      </c>
      <c r="E801" t="s">
        <v>29</v>
      </c>
      <c r="F801">
        <v>10.43</v>
      </c>
      <c r="H801">
        <v>10.19</v>
      </c>
      <c r="J801">
        <v>0.90649999999999997</v>
      </c>
      <c r="K801" t="str">
        <f t="shared" si="42"/>
        <v>Admis sous condition</v>
      </c>
      <c r="L801" t="str" cm="1">
        <f t="array" ref="L801">_xlfn.IFS(H801&gt;=16,"Excellent",
               H801&gt;=14,"Très bien",
               H801&gt;=12,"Bien",
               H801&gt;=10,"Passable",
               TRUE,"Insuffisant")</f>
        <v>Passable</v>
      </c>
      <c r="M801" t="str">
        <f t="shared" si="43"/>
        <v>RAS</v>
      </c>
      <c r="N801" t="str">
        <f t="shared" si="44"/>
        <v>Autre filière</v>
      </c>
    </row>
    <row r="802" spans="1:14" x14ac:dyDescent="0.45">
      <c r="A802" t="s">
        <v>1122</v>
      </c>
      <c r="B802" t="s">
        <v>558</v>
      </c>
      <c r="E802" t="s">
        <v>21</v>
      </c>
      <c r="F802">
        <v>9.82</v>
      </c>
      <c r="H802">
        <v>19.39</v>
      </c>
      <c r="J802">
        <v>0.9163</v>
      </c>
      <c r="K802" t="str">
        <f t="shared" si="42"/>
        <v>Refusé</v>
      </c>
      <c r="L802" t="str" cm="1">
        <f t="array" ref="L802">_xlfn.IFS(H802&gt;=16,"Excellent",
               H802&gt;=14,"Très bien",
               H802&gt;=12,"Bien",
               H802&gt;=10,"Passable",
               TRUE,"Insuffisant")</f>
        <v>Excellent</v>
      </c>
      <c r="M802" t="str">
        <f t="shared" si="43"/>
        <v>A surveiller</v>
      </c>
      <c r="N802" t="str">
        <f t="shared" si="44"/>
        <v>Autre filière</v>
      </c>
    </row>
    <row r="803" spans="1:14" x14ac:dyDescent="0.45">
      <c r="A803" t="s">
        <v>1123</v>
      </c>
      <c r="B803" t="s">
        <v>245</v>
      </c>
      <c r="E803" t="s">
        <v>21</v>
      </c>
      <c r="F803">
        <v>8.94</v>
      </c>
      <c r="H803">
        <v>13.6</v>
      </c>
      <c r="J803">
        <v>0.92020000000000002</v>
      </c>
      <c r="K803" t="str">
        <f t="shared" si="42"/>
        <v>Refusé</v>
      </c>
      <c r="L803" t="str" cm="1">
        <f t="array" ref="L803">_xlfn.IFS(H803&gt;=16,"Excellent",
               H803&gt;=14,"Très bien",
               H803&gt;=12,"Bien",
               H803&gt;=10,"Passable",
               TRUE,"Insuffisant")</f>
        <v>Bien</v>
      </c>
      <c r="M803" t="str">
        <f t="shared" si="43"/>
        <v>A surveiller</v>
      </c>
      <c r="N803" t="str">
        <f t="shared" si="44"/>
        <v>Autre filière</v>
      </c>
    </row>
    <row r="804" spans="1:14" x14ac:dyDescent="0.45">
      <c r="A804" t="s">
        <v>1124</v>
      </c>
      <c r="B804" t="s">
        <v>1125</v>
      </c>
      <c r="E804" t="s">
        <v>29</v>
      </c>
      <c r="F804">
        <v>20</v>
      </c>
      <c r="H804">
        <v>20</v>
      </c>
      <c r="J804">
        <v>0.87329999999999997</v>
      </c>
      <c r="K804" t="str">
        <f t="shared" si="42"/>
        <v>Admis</v>
      </c>
      <c r="L804" t="str" cm="1">
        <f t="array" ref="L804">_xlfn.IFS(H804&gt;=16,"Excellent",
               H804&gt;=14,"Très bien",
               H804&gt;=12,"Bien",
               H804&gt;=10,"Passable",
               TRUE,"Insuffisant")</f>
        <v>Excellent</v>
      </c>
      <c r="M804" t="str">
        <f t="shared" si="43"/>
        <v>RAS</v>
      </c>
      <c r="N804" t="str">
        <f t="shared" si="44"/>
        <v>Autre filière</v>
      </c>
    </row>
    <row r="805" spans="1:14" x14ac:dyDescent="0.45">
      <c r="A805" t="s">
        <v>1126</v>
      </c>
      <c r="B805" t="s">
        <v>797</v>
      </c>
      <c r="E805" t="s">
        <v>29</v>
      </c>
      <c r="F805">
        <v>11.45</v>
      </c>
      <c r="H805">
        <v>9.36</v>
      </c>
      <c r="J805">
        <v>0.94850000000000001</v>
      </c>
      <c r="K805" t="str">
        <f t="shared" si="42"/>
        <v>Refusé</v>
      </c>
      <c r="L805" t="str" cm="1">
        <f t="array" ref="L805">_xlfn.IFS(H805&gt;=16,"Excellent",
               H805&gt;=14,"Très bien",
               H805&gt;=12,"Bien",
               H805&gt;=10,"Passable",
               TRUE,"Insuffisant")</f>
        <v>Insuffisant</v>
      </c>
      <c r="M805" t="str">
        <f t="shared" si="43"/>
        <v>A surveiller</v>
      </c>
      <c r="N805" t="str">
        <f t="shared" si="44"/>
        <v>Autre filière</v>
      </c>
    </row>
    <row r="806" spans="1:14" x14ac:dyDescent="0.45">
      <c r="A806" t="s">
        <v>1127</v>
      </c>
      <c r="B806" t="s">
        <v>237</v>
      </c>
      <c r="E806" t="s">
        <v>42</v>
      </c>
      <c r="F806">
        <v>14.25</v>
      </c>
      <c r="H806">
        <v>14.91</v>
      </c>
      <c r="J806">
        <v>0.89100000000000001</v>
      </c>
      <c r="K806" t="str">
        <f t="shared" si="42"/>
        <v>Admis</v>
      </c>
      <c r="L806" t="str" cm="1">
        <f t="array" ref="L806">_xlfn.IFS(H806&gt;=16,"Excellent",
               H806&gt;=14,"Très bien",
               H806&gt;=12,"Bien",
               H806&gt;=10,"Passable",
               TRUE,"Insuffisant")</f>
        <v>Très bien</v>
      </c>
      <c r="M806" t="str">
        <f t="shared" si="43"/>
        <v>RAS</v>
      </c>
      <c r="N806" t="str">
        <f t="shared" si="44"/>
        <v>Autre filière</v>
      </c>
    </row>
    <row r="807" spans="1:14" x14ac:dyDescent="0.45">
      <c r="A807" t="s">
        <v>1128</v>
      </c>
      <c r="B807" t="s">
        <v>427</v>
      </c>
      <c r="E807" t="s">
        <v>29</v>
      </c>
      <c r="F807">
        <v>12.36</v>
      </c>
      <c r="H807">
        <v>4.97</v>
      </c>
      <c r="J807">
        <v>0.84650000000000003</v>
      </c>
      <c r="K807" t="str">
        <f t="shared" si="42"/>
        <v>Refusé</v>
      </c>
      <c r="L807" t="str" cm="1">
        <f t="array" ref="L807">_xlfn.IFS(H807&gt;=16,"Excellent",
               H807&gt;=14,"Très bien",
               H807&gt;=12,"Bien",
               H807&gt;=10,"Passable",
               TRUE,"Insuffisant")</f>
        <v>Insuffisant</v>
      </c>
      <c r="M807" t="str">
        <f t="shared" si="43"/>
        <v>A surveiller</v>
      </c>
      <c r="N807" t="str">
        <f t="shared" si="44"/>
        <v>Autre filière</v>
      </c>
    </row>
    <row r="808" spans="1:14" x14ac:dyDescent="0.45">
      <c r="A808" t="s">
        <v>1129</v>
      </c>
      <c r="B808" t="s">
        <v>669</v>
      </c>
      <c r="E808" t="s">
        <v>16</v>
      </c>
      <c r="F808">
        <v>17.57</v>
      </c>
      <c r="H808">
        <v>20</v>
      </c>
      <c r="J808">
        <v>0.94710000000000005</v>
      </c>
      <c r="K808" t="str">
        <f t="shared" si="42"/>
        <v>Admis</v>
      </c>
      <c r="L808" t="str" cm="1">
        <f t="array" ref="L808">_xlfn.IFS(H808&gt;=16,"Excellent",
               H808&gt;=14,"Très bien",
               H808&gt;=12,"Bien",
               H808&gt;=10,"Passable",
               TRUE,"Insuffisant")</f>
        <v>Excellent</v>
      </c>
      <c r="M808" t="str">
        <f t="shared" si="43"/>
        <v>RAS</v>
      </c>
      <c r="N808" t="str">
        <f t="shared" si="44"/>
        <v>Data</v>
      </c>
    </row>
    <row r="809" spans="1:14" x14ac:dyDescent="0.45">
      <c r="A809" t="s">
        <v>1130</v>
      </c>
      <c r="B809" t="s">
        <v>59</v>
      </c>
      <c r="E809" t="s">
        <v>29</v>
      </c>
      <c r="F809">
        <v>14.31</v>
      </c>
      <c r="H809">
        <v>16.36</v>
      </c>
      <c r="J809">
        <v>0.92200000000000004</v>
      </c>
      <c r="K809" t="str">
        <f t="shared" si="42"/>
        <v>Admis</v>
      </c>
      <c r="L809" t="str" cm="1">
        <f t="array" ref="L809">_xlfn.IFS(H809&gt;=16,"Excellent",
               H809&gt;=14,"Très bien",
               H809&gt;=12,"Bien",
               H809&gt;=10,"Passable",
               TRUE,"Insuffisant")</f>
        <v>Excellent</v>
      </c>
      <c r="M809" t="str">
        <f t="shared" si="43"/>
        <v>RAS</v>
      </c>
      <c r="N809" t="str">
        <f t="shared" si="44"/>
        <v>Autre filière</v>
      </c>
    </row>
    <row r="810" spans="1:14" x14ac:dyDescent="0.45">
      <c r="A810" t="s">
        <v>1131</v>
      </c>
      <c r="B810" t="s">
        <v>468</v>
      </c>
      <c r="E810" t="s">
        <v>29</v>
      </c>
      <c r="F810">
        <v>15.05</v>
      </c>
      <c r="H810">
        <v>18.559999999999999</v>
      </c>
      <c r="J810">
        <v>0.95009999999999994</v>
      </c>
      <c r="K810" t="str">
        <f t="shared" si="42"/>
        <v>Admis</v>
      </c>
      <c r="L810" t="str" cm="1">
        <f t="array" ref="L810">_xlfn.IFS(H810&gt;=16,"Excellent",
               H810&gt;=14,"Très bien",
               H810&gt;=12,"Bien",
               H810&gt;=10,"Passable",
               TRUE,"Insuffisant")</f>
        <v>Excellent</v>
      </c>
      <c r="M810" t="str">
        <f t="shared" si="43"/>
        <v>RAS</v>
      </c>
      <c r="N810" t="str">
        <f t="shared" si="44"/>
        <v>Autre filière</v>
      </c>
    </row>
    <row r="811" spans="1:14" x14ac:dyDescent="0.45">
      <c r="A811" t="s">
        <v>1132</v>
      </c>
      <c r="B811" t="s">
        <v>31</v>
      </c>
      <c r="E811" t="s">
        <v>42</v>
      </c>
      <c r="F811">
        <v>9.01</v>
      </c>
      <c r="H811">
        <v>6.13</v>
      </c>
      <c r="J811">
        <v>0.74590000000000001</v>
      </c>
      <c r="K811" t="str">
        <f t="shared" si="42"/>
        <v>Refusé</v>
      </c>
      <c r="L811" t="str" cm="1">
        <f t="array" ref="L811">_xlfn.IFS(H811&gt;=16,"Excellent",
               H811&gt;=14,"Très bien",
               H811&gt;=12,"Bien",
               H811&gt;=10,"Passable",
               TRUE,"Insuffisant")</f>
        <v>Insuffisant</v>
      </c>
      <c r="M811" t="str">
        <f t="shared" si="43"/>
        <v>A surveiller</v>
      </c>
      <c r="N811" t="str">
        <f t="shared" si="44"/>
        <v>Autre filière</v>
      </c>
    </row>
    <row r="812" spans="1:14" x14ac:dyDescent="0.45">
      <c r="A812" t="s">
        <v>1133</v>
      </c>
      <c r="B812" t="s">
        <v>382</v>
      </c>
      <c r="E812" t="s">
        <v>21</v>
      </c>
      <c r="F812">
        <v>13.75</v>
      </c>
      <c r="H812">
        <v>16.309999999999999</v>
      </c>
      <c r="J812">
        <v>0.85399999999999998</v>
      </c>
      <c r="K812" t="str">
        <f t="shared" si="42"/>
        <v>Admis</v>
      </c>
      <c r="L812" t="str" cm="1">
        <f t="array" ref="L812">_xlfn.IFS(H812&gt;=16,"Excellent",
               H812&gt;=14,"Très bien",
               H812&gt;=12,"Bien",
               H812&gt;=10,"Passable",
               TRUE,"Insuffisant")</f>
        <v>Excellent</v>
      </c>
      <c r="M812" t="str">
        <f t="shared" si="43"/>
        <v>RAS</v>
      </c>
      <c r="N812" t="str">
        <f t="shared" si="44"/>
        <v>Autre filière</v>
      </c>
    </row>
    <row r="813" spans="1:14" x14ac:dyDescent="0.45">
      <c r="A813" t="s">
        <v>1134</v>
      </c>
      <c r="B813" t="s">
        <v>266</v>
      </c>
      <c r="E813" t="s">
        <v>42</v>
      </c>
      <c r="F813">
        <v>9.7200000000000006</v>
      </c>
      <c r="H813">
        <v>10.34</v>
      </c>
      <c r="J813">
        <v>0.7349</v>
      </c>
      <c r="K813" t="str">
        <f t="shared" si="42"/>
        <v>Refusé</v>
      </c>
      <c r="L813" t="str" cm="1">
        <f t="array" ref="L813">_xlfn.IFS(H813&gt;=16,"Excellent",
               H813&gt;=14,"Très bien",
               H813&gt;=12,"Bien",
               H813&gt;=10,"Passable",
               TRUE,"Insuffisant")</f>
        <v>Passable</v>
      </c>
      <c r="M813" t="str">
        <f t="shared" si="43"/>
        <v>A surveiller</v>
      </c>
      <c r="N813" t="str">
        <f t="shared" si="44"/>
        <v>Autre filière</v>
      </c>
    </row>
    <row r="814" spans="1:14" x14ac:dyDescent="0.45">
      <c r="A814" t="s">
        <v>1135</v>
      </c>
      <c r="B814" t="s">
        <v>1100</v>
      </c>
      <c r="E814" t="s">
        <v>29</v>
      </c>
      <c r="F814">
        <v>20</v>
      </c>
      <c r="H814">
        <v>17.07</v>
      </c>
      <c r="J814">
        <v>0.91690000000000005</v>
      </c>
      <c r="K814" t="str">
        <f t="shared" si="42"/>
        <v>Admis</v>
      </c>
      <c r="L814" t="str" cm="1">
        <f t="array" ref="L814">_xlfn.IFS(H814&gt;=16,"Excellent",
               H814&gt;=14,"Très bien",
               H814&gt;=12,"Bien",
               H814&gt;=10,"Passable",
               TRUE,"Insuffisant")</f>
        <v>Excellent</v>
      </c>
      <c r="M814" t="str">
        <f t="shared" si="43"/>
        <v>RAS</v>
      </c>
      <c r="N814" t="str">
        <f t="shared" si="44"/>
        <v>Autre filière</v>
      </c>
    </row>
    <row r="815" spans="1:14" x14ac:dyDescent="0.45">
      <c r="A815" t="s">
        <v>1136</v>
      </c>
      <c r="B815" t="s">
        <v>84</v>
      </c>
      <c r="E815" t="s">
        <v>42</v>
      </c>
      <c r="F815">
        <v>10.84</v>
      </c>
      <c r="H815">
        <v>12.95</v>
      </c>
      <c r="J815">
        <v>0.88139999999999996</v>
      </c>
      <c r="K815" t="str">
        <f t="shared" si="42"/>
        <v>Admis sous condition</v>
      </c>
      <c r="L815" t="str" cm="1">
        <f t="array" ref="L815">_xlfn.IFS(H815&gt;=16,"Excellent",
               H815&gt;=14,"Très bien",
               H815&gt;=12,"Bien",
               H815&gt;=10,"Passable",
               TRUE,"Insuffisant")</f>
        <v>Bien</v>
      </c>
      <c r="M815" t="str">
        <f t="shared" si="43"/>
        <v>RAS</v>
      </c>
      <c r="N815" t="str">
        <f t="shared" si="44"/>
        <v>Autre filière</v>
      </c>
    </row>
    <row r="816" spans="1:14" x14ac:dyDescent="0.45">
      <c r="A816" t="s">
        <v>1137</v>
      </c>
      <c r="B816" t="s">
        <v>73</v>
      </c>
      <c r="E816" t="s">
        <v>21</v>
      </c>
      <c r="F816">
        <v>12.91</v>
      </c>
      <c r="H816">
        <v>15.28</v>
      </c>
      <c r="J816">
        <v>0.92849999999999999</v>
      </c>
      <c r="K816" t="str">
        <f t="shared" si="42"/>
        <v>Admis</v>
      </c>
      <c r="L816" t="str" cm="1">
        <f t="array" ref="L816">_xlfn.IFS(H816&gt;=16,"Excellent",
               H816&gt;=14,"Très bien",
               H816&gt;=12,"Bien",
               H816&gt;=10,"Passable",
               TRUE,"Insuffisant")</f>
        <v>Très bien</v>
      </c>
      <c r="M816" t="str">
        <f t="shared" si="43"/>
        <v>RAS</v>
      </c>
      <c r="N816" t="str">
        <f t="shared" si="44"/>
        <v>Autre filière</v>
      </c>
    </row>
    <row r="817" spans="1:14" x14ac:dyDescent="0.45">
      <c r="A817" t="s">
        <v>1138</v>
      </c>
      <c r="B817" t="s">
        <v>409</v>
      </c>
      <c r="E817" t="s">
        <v>29</v>
      </c>
      <c r="F817">
        <v>6.67</v>
      </c>
      <c r="H817">
        <v>8.3699999999999992</v>
      </c>
      <c r="J817">
        <v>0.80820000000000003</v>
      </c>
      <c r="K817" t="str">
        <f t="shared" si="42"/>
        <v>Refusé</v>
      </c>
      <c r="L817" t="str" cm="1">
        <f t="array" ref="L817">_xlfn.IFS(H817&gt;=16,"Excellent",
               H817&gt;=14,"Très bien",
               H817&gt;=12,"Bien",
               H817&gt;=10,"Passable",
               TRUE,"Insuffisant")</f>
        <v>Insuffisant</v>
      </c>
      <c r="M817" t="str">
        <f t="shared" si="43"/>
        <v>A surveiller</v>
      </c>
      <c r="N817" t="str">
        <f t="shared" si="44"/>
        <v>Autre filière</v>
      </c>
    </row>
    <row r="818" spans="1:14" x14ac:dyDescent="0.45">
      <c r="A818" t="s">
        <v>1139</v>
      </c>
      <c r="B818" t="s">
        <v>569</v>
      </c>
      <c r="E818" t="s">
        <v>29</v>
      </c>
      <c r="F818">
        <v>9.0299999999999994</v>
      </c>
      <c r="H818">
        <v>14.87</v>
      </c>
      <c r="J818">
        <v>0.82210000000000005</v>
      </c>
      <c r="K818" t="str">
        <f t="shared" si="42"/>
        <v>Refusé</v>
      </c>
      <c r="L818" t="str" cm="1">
        <f t="array" ref="L818">_xlfn.IFS(H818&gt;=16,"Excellent",
               H818&gt;=14,"Très bien",
               H818&gt;=12,"Bien",
               H818&gt;=10,"Passable",
               TRUE,"Insuffisant")</f>
        <v>Très bien</v>
      </c>
      <c r="M818" t="str">
        <f t="shared" si="43"/>
        <v>A surveiller</v>
      </c>
      <c r="N818" t="str">
        <f t="shared" si="44"/>
        <v>Autre filière</v>
      </c>
    </row>
    <row r="819" spans="1:14" x14ac:dyDescent="0.45">
      <c r="A819" t="s">
        <v>1140</v>
      </c>
      <c r="B819" t="s">
        <v>1141</v>
      </c>
      <c r="E819" t="s">
        <v>16</v>
      </c>
      <c r="F819">
        <v>17.41</v>
      </c>
      <c r="H819">
        <v>17.84</v>
      </c>
      <c r="J819">
        <v>0.86709999999999998</v>
      </c>
      <c r="K819" t="str">
        <f t="shared" si="42"/>
        <v>Admis</v>
      </c>
      <c r="L819" t="str" cm="1">
        <f t="array" ref="L819">_xlfn.IFS(H819&gt;=16,"Excellent",
               H819&gt;=14,"Très bien",
               H819&gt;=12,"Bien",
               H819&gt;=10,"Passable",
               TRUE,"Insuffisant")</f>
        <v>Excellent</v>
      </c>
      <c r="M819" t="str">
        <f t="shared" si="43"/>
        <v>RAS</v>
      </c>
      <c r="N819" t="str">
        <f t="shared" si="44"/>
        <v>Data</v>
      </c>
    </row>
    <row r="820" spans="1:14" x14ac:dyDescent="0.45">
      <c r="A820" t="s">
        <v>1142</v>
      </c>
      <c r="B820" t="s">
        <v>714</v>
      </c>
      <c r="E820" t="s">
        <v>21</v>
      </c>
      <c r="F820">
        <v>18.690000000000001</v>
      </c>
      <c r="H820">
        <v>15.79</v>
      </c>
      <c r="J820">
        <v>0.95279999999999998</v>
      </c>
      <c r="K820" t="str">
        <f t="shared" si="42"/>
        <v>Admis</v>
      </c>
      <c r="L820" t="str" cm="1">
        <f t="array" ref="L820">_xlfn.IFS(H820&gt;=16,"Excellent",
               H820&gt;=14,"Très bien",
               H820&gt;=12,"Bien",
               H820&gt;=10,"Passable",
               TRUE,"Insuffisant")</f>
        <v>Très bien</v>
      </c>
      <c r="M820" t="str">
        <f t="shared" si="43"/>
        <v>RAS</v>
      </c>
      <c r="N820" t="str">
        <f t="shared" si="44"/>
        <v>Autre filière</v>
      </c>
    </row>
    <row r="821" spans="1:14" x14ac:dyDescent="0.45">
      <c r="A821" t="s">
        <v>1143</v>
      </c>
      <c r="B821" t="s">
        <v>44</v>
      </c>
      <c r="E821" t="s">
        <v>21</v>
      </c>
      <c r="F821">
        <v>16.5</v>
      </c>
      <c r="H821">
        <v>14.6</v>
      </c>
      <c r="J821">
        <v>0.95979999999999999</v>
      </c>
      <c r="K821" t="str">
        <f t="shared" si="42"/>
        <v>Admis</v>
      </c>
      <c r="L821" t="str" cm="1">
        <f t="array" ref="L821">_xlfn.IFS(H821&gt;=16,"Excellent",
               H821&gt;=14,"Très bien",
               H821&gt;=12,"Bien",
               H821&gt;=10,"Passable",
               TRUE,"Insuffisant")</f>
        <v>Très bien</v>
      </c>
      <c r="M821" t="str">
        <f t="shared" si="43"/>
        <v>RAS</v>
      </c>
      <c r="N821" t="str">
        <f t="shared" si="44"/>
        <v>Autre filière</v>
      </c>
    </row>
    <row r="822" spans="1:14" x14ac:dyDescent="0.45">
      <c r="A822" t="s">
        <v>1144</v>
      </c>
      <c r="B822" t="s">
        <v>1092</v>
      </c>
      <c r="E822" t="s">
        <v>16</v>
      </c>
      <c r="F822">
        <v>8.4499999999999993</v>
      </c>
      <c r="H822">
        <v>6.23</v>
      </c>
      <c r="J822">
        <v>0.84289999999999998</v>
      </c>
      <c r="K822" t="str">
        <f t="shared" si="42"/>
        <v>Refusé</v>
      </c>
      <c r="L822" t="str" cm="1">
        <f t="array" ref="L822">_xlfn.IFS(H822&gt;=16,"Excellent",
               H822&gt;=14,"Très bien",
               H822&gt;=12,"Bien",
               H822&gt;=10,"Passable",
               TRUE,"Insuffisant")</f>
        <v>Insuffisant</v>
      </c>
      <c r="M822" t="str">
        <f t="shared" si="43"/>
        <v>A surveiller</v>
      </c>
      <c r="N822" t="str">
        <f t="shared" si="44"/>
        <v>Data</v>
      </c>
    </row>
    <row r="823" spans="1:14" x14ac:dyDescent="0.45">
      <c r="A823" t="s">
        <v>1145</v>
      </c>
      <c r="B823" t="s">
        <v>645</v>
      </c>
      <c r="E823" t="s">
        <v>29</v>
      </c>
      <c r="F823">
        <v>14.1</v>
      </c>
      <c r="H823">
        <v>17.79</v>
      </c>
      <c r="J823">
        <v>0.96679999999999999</v>
      </c>
      <c r="K823" t="str">
        <f t="shared" si="42"/>
        <v>Admis</v>
      </c>
      <c r="L823" t="str" cm="1">
        <f t="array" ref="L823">_xlfn.IFS(H823&gt;=16,"Excellent",
               H823&gt;=14,"Très bien",
               H823&gt;=12,"Bien",
               H823&gt;=10,"Passable",
               TRUE,"Insuffisant")</f>
        <v>Excellent</v>
      </c>
      <c r="M823" t="str">
        <f t="shared" si="43"/>
        <v>RAS</v>
      </c>
      <c r="N823" t="str">
        <f t="shared" si="44"/>
        <v>Autre filière</v>
      </c>
    </row>
    <row r="824" spans="1:14" x14ac:dyDescent="0.45">
      <c r="A824" t="s">
        <v>1146</v>
      </c>
      <c r="B824" t="s">
        <v>282</v>
      </c>
      <c r="E824" t="s">
        <v>29</v>
      </c>
      <c r="F824">
        <v>16.11</v>
      </c>
      <c r="H824">
        <v>14.83</v>
      </c>
      <c r="J824">
        <v>0.95730000000000004</v>
      </c>
      <c r="K824" t="str">
        <f t="shared" si="42"/>
        <v>Admis</v>
      </c>
      <c r="L824" t="str" cm="1">
        <f t="array" ref="L824">_xlfn.IFS(H824&gt;=16,"Excellent",
               H824&gt;=14,"Très bien",
               H824&gt;=12,"Bien",
               H824&gt;=10,"Passable",
               TRUE,"Insuffisant")</f>
        <v>Très bien</v>
      </c>
      <c r="M824" t="str">
        <f t="shared" si="43"/>
        <v>RAS</v>
      </c>
      <c r="N824" t="str">
        <f t="shared" si="44"/>
        <v>Autre filière</v>
      </c>
    </row>
    <row r="825" spans="1:14" x14ac:dyDescent="0.45">
      <c r="A825" t="s">
        <v>1147</v>
      </c>
      <c r="B825" t="s">
        <v>71</v>
      </c>
      <c r="E825" t="s">
        <v>21</v>
      </c>
      <c r="F825">
        <v>8.68</v>
      </c>
      <c r="H825">
        <v>12.31</v>
      </c>
      <c r="J825">
        <v>0.94520000000000004</v>
      </c>
      <c r="K825" t="str">
        <f t="shared" si="42"/>
        <v>Refusé</v>
      </c>
      <c r="L825" t="str" cm="1">
        <f t="array" ref="L825">_xlfn.IFS(H825&gt;=16,"Excellent",
               H825&gt;=14,"Très bien",
               H825&gt;=12,"Bien",
               H825&gt;=10,"Passable",
               TRUE,"Insuffisant")</f>
        <v>Bien</v>
      </c>
      <c r="M825" t="str">
        <f t="shared" si="43"/>
        <v>A surveiller</v>
      </c>
      <c r="N825" t="str">
        <f t="shared" si="44"/>
        <v>Autre filière</v>
      </c>
    </row>
    <row r="826" spans="1:14" x14ac:dyDescent="0.45">
      <c r="A826" t="s">
        <v>1148</v>
      </c>
      <c r="B826" t="s">
        <v>207</v>
      </c>
      <c r="E826" t="s">
        <v>16</v>
      </c>
      <c r="F826">
        <v>13.06</v>
      </c>
      <c r="H826">
        <v>14.83</v>
      </c>
      <c r="J826">
        <v>0.88039999999999996</v>
      </c>
      <c r="K826" t="str">
        <f t="shared" si="42"/>
        <v>Admis</v>
      </c>
      <c r="L826" t="str" cm="1">
        <f t="array" ref="L826">_xlfn.IFS(H826&gt;=16,"Excellent",
               H826&gt;=14,"Très bien",
               H826&gt;=12,"Bien",
               H826&gt;=10,"Passable",
               TRUE,"Insuffisant")</f>
        <v>Très bien</v>
      </c>
      <c r="M826" t="str">
        <f t="shared" si="43"/>
        <v>RAS</v>
      </c>
      <c r="N826" t="str">
        <f t="shared" si="44"/>
        <v>Data</v>
      </c>
    </row>
    <row r="827" spans="1:14" x14ac:dyDescent="0.45">
      <c r="A827" t="s">
        <v>1149</v>
      </c>
      <c r="B827" t="s">
        <v>129</v>
      </c>
      <c r="E827" t="s">
        <v>16</v>
      </c>
      <c r="F827">
        <v>14.82</v>
      </c>
      <c r="H827">
        <v>15.19</v>
      </c>
      <c r="J827">
        <v>0.93130000000000002</v>
      </c>
      <c r="K827" t="str">
        <f t="shared" si="42"/>
        <v>Admis</v>
      </c>
      <c r="L827" t="str" cm="1">
        <f t="array" ref="L827">_xlfn.IFS(H827&gt;=16,"Excellent",
               H827&gt;=14,"Très bien",
               H827&gt;=12,"Bien",
               H827&gt;=10,"Passable",
               TRUE,"Insuffisant")</f>
        <v>Très bien</v>
      </c>
      <c r="M827" t="str">
        <f t="shared" si="43"/>
        <v>RAS</v>
      </c>
      <c r="N827" t="str">
        <f t="shared" si="44"/>
        <v>Data</v>
      </c>
    </row>
    <row r="828" spans="1:14" x14ac:dyDescent="0.45">
      <c r="A828" t="s">
        <v>1150</v>
      </c>
      <c r="B828" t="s">
        <v>406</v>
      </c>
      <c r="E828" t="s">
        <v>29</v>
      </c>
      <c r="F828">
        <v>14.31</v>
      </c>
      <c r="H828">
        <v>12.18</v>
      </c>
      <c r="J828">
        <v>0.73350000000000004</v>
      </c>
      <c r="K828" t="str">
        <f t="shared" si="42"/>
        <v>Admis sous condition</v>
      </c>
      <c r="L828" t="str" cm="1">
        <f t="array" ref="L828">_xlfn.IFS(H828&gt;=16,"Excellent",
               H828&gt;=14,"Très bien",
               H828&gt;=12,"Bien",
               H828&gt;=10,"Passable",
               TRUE,"Insuffisant")</f>
        <v>Bien</v>
      </c>
      <c r="M828" t="str">
        <f t="shared" si="43"/>
        <v>RAS</v>
      </c>
      <c r="N828" t="str">
        <f t="shared" si="44"/>
        <v>Autre filière</v>
      </c>
    </row>
    <row r="829" spans="1:14" x14ac:dyDescent="0.45">
      <c r="A829" t="s">
        <v>1151</v>
      </c>
      <c r="B829" t="s">
        <v>398</v>
      </c>
      <c r="E829" t="s">
        <v>42</v>
      </c>
      <c r="F829">
        <v>5.61</v>
      </c>
      <c r="H829">
        <v>9.9700000000000006</v>
      </c>
      <c r="J829">
        <v>0.97170000000000001</v>
      </c>
      <c r="K829" t="str">
        <f t="shared" si="42"/>
        <v>Refusé</v>
      </c>
      <c r="L829" t="str" cm="1">
        <f t="array" ref="L829">_xlfn.IFS(H829&gt;=16,"Excellent",
               H829&gt;=14,"Très bien",
               H829&gt;=12,"Bien",
               H829&gt;=10,"Passable",
               TRUE,"Insuffisant")</f>
        <v>Insuffisant</v>
      </c>
      <c r="M829" t="str">
        <f t="shared" si="43"/>
        <v>A surveiller</v>
      </c>
      <c r="N829" t="str">
        <f t="shared" si="44"/>
        <v>Autre filière</v>
      </c>
    </row>
    <row r="830" spans="1:14" x14ac:dyDescent="0.45">
      <c r="A830" t="s">
        <v>1152</v>
      </c>
      <c r="B830" t="s">
        <v>691</v>
      </c>
      <c r="E830" t="s">
        <v>16</v>
      </c>
      <c r="F830">
        <v>10.28</v>
      </c>
      <c r="H830">
        <v>12.75</v>
      </c>
      <c r="J830">
        <v>0.81640000000000001</v>
      </c>
      <c r="K830" t="str">
        <f t="shared" si="42"/>
        <v>Admis sous condition</v>
      </c>
      <c r="L830" t="str" cm="1">
        <f t="array" ref="L830">_xlfn.IFS(H830&gt;=16,"Excellent",
               H830&gt;=14,"Très bien",
               H830&gt;=12,"Bien",
               H830&gt;=10,"Passable",
               TRUE,"Insuffisant")</f>
        <v>Bien</v>
      </c>
      <c r="M830" t="str">
        <f t="shared" si="43"/>
        <v>RAS</v>
      </c>
      <c r="N830" t="str">
        <f t="shared" si="44"/>
        <v>Data</v>
      </c>
    </row>
    <row r="831" spans="1:14" x14ac:dyDescent="0.45">
      <c r="A831" t="s">
        <v>1153</v>
      </c>
      <c r="B831" t="s">
        <v>180</v>
      </c>
      <c r="E831" t="s">
        <v>42</v>
      </c>
      <c r="F831">
        <v>8.74</v>
      </c>
      <c r="H831">
        <v>11.97</v>
      </c>
      <c r="J831">
        <v>0.98939999999999995</v>
      </c>
      <c r="K831" t="str">
        <f t="shared" si="42"/>
        <v>Refusé</v>
      </c>
      <c r="L831" t="str" cm="1">
        <f t="array" ref="L831">_xlfn.IFS(H831&gt;=16,"Excellent",
               H831&gt;=14,"Très bien",
               H831&gt;=12,"Bien",
               H831&gt;=10,"Passable",
               TRUE,"Insuffisant")</f>
        <v>Passable</v>
      </c>
      <c r="M831" t="str">
        <f t="shared" si="43"/>
        <v>A surveiller</v>
      </c>
      <c r="N831" t="str">
        <f t="shared" si="44"/>
        <v>Autre filière</v>
      </c>
    </row>
    <row r="832" spans="1:14" x14ac:dyDescent="0.45">
      <c r="A832" t="s">
        <v>1154</v>
      </c>
      <c r="B832" t="s">
        <v>125</v>
      </c>
      <c r="E832" t="s">
        <v>42</v>
      </c>
      <c r="F832">
        <v>14.99</v>
      </c>
      <c r="H832">
        <v>14.82</v>
      </c>
      <c r="J832">
        <v>0.87290000000000001</v>
      </c>
      <c r="K832" t="str">
        <f t="shared" si="42"/>
        <v>Admis</v>
      </c>
      <c r="L832" t="str" cm="1">
        <f t="array" ref="L832">_xlfn.IFS(H832&gt;=16,"Excellent",
               H832&gt;=14,"Très bien",
               H832&gt;=12,"Bien",
               H832&gt;=10,"Passable",
               TRUE,"Insuffisant")</f>
        <v>Très bien</v>
      </c>
      <c r="M832" t="str">
        <f t="shared" si="43"/>
        <v>RAS</v>
      </c>
      <c r="N832" t="str">
        <f t="shared" si="44"/>
        <v>Autre filière</v>
      </c>
    </row>
    <row r="833" spans="1:14" x14ac:dyDescent="0.45">
      <c r="A833" t="s">
        <v>1155</v>
      </c>
      <c r="B833" t="s">
        <v>404</v>
      </c>
      <c r="E833" t="s">
        <v>21</v>
      </c>
      <c r="F833">
        <v>12.47</v>
      </c>
      <c r="H833">
        <v>11.81</v>
      </c>
      <c r="J833">
        <v>0.77400000000000002</v>
      </c>
      <c r="K833" t="str">
        <f t="shared" si="42"/>
        <v>Admis sous condition</v>
      </c>
      <c r="L833" t="str" cm="1">
        <f t="array" ref="L833">_xlfn.IFS(H833&gt;=16,"Excellent",
               H833&gt;=14,"Très bien",
               H833&gt;=12,"Bien",
               H833&gt;=10,"Passable",
               TRUE,"Insuffisant")</f>
        <v>Passable</v>
      </c>
      <c r="M833" t="str">
        <f t="shared" si="43"/>
        <v>RAS</v>
      </c>
      <c r="N833" t="str">
        <f t="shared" si="44"/>
        <v>Autre filière</v>
      </c>
    </row>
    <row r="834" spans="1:14" x14ac:dyDescent="0.45">
      <c r="A834" t="s">
        <v>1156</v>
      </c>
      <c r="B834" t="s">
        <v>351</v>
      </c>
      <c r="E834" t="s">
        <v>16</v>
      </c>
      <c r="F834">
        <v>13.37</v>
      </c>
      <c r="H834">
        <v>10.7</v>
      </c>
      <c r="J834">
        <v>0.88780000000000003</v>
      </c>
      <c r="K834" t="str">
        <f t="shared" si="42"/>
        <v>Admis sous condition</v>
      </c>
      <c r="L834" t="str" cm="1">
        <f t="array" ref="L834">_xlfn.IFS(H834&gt;=16,"Excellent",
               H834&gt;=14,"Très bien",
               H834&gt;=12,"Bien",
               H834&gt;=10,"Passable",
               TRUE,"Insuffisant")</f>
        <v>Passable</v>
      </c>
      <c r="M834" t="str">
        <f t="shared" si="43"/>
        <v>RAS</v>
      </c>
      <c r="N834" t="str">
        <f t="shared" si="44"/>
        <v>Data</v>
      </c>
    </row>
    <row r="835" spans="1:14" x14ac:dyDescent="0.45">
      <c r="A835" t="s">
        <v>1157</v>
      </c>
      <c r="B835" t="s">
        <v>67</v>
      </c>
      <c r="E835" t="s">
        <v>16</v>
      </c>
      <c r="F835">
        <v>10.24</v>
      </c>
      <c r="H835">
        <v>14.91</v>
      </c>
      <c r="J835">
        <v>0.86470000000000002</v>
      </c>
      <c r="K835" t="str">
        <f t="shared" si="42"/>
        <v>Admis sous condition</v>
      </c>
      <c r="L835" t="str" cm="1">
        <f t="array" ref="L835">_xlfn.IFS(H835&gt;=16,"Excellent",
               H835&gt;=14,"Très bien",
               H835&gt;=12,"Bien",
               H835&gt;=10,"Passable",
               TRUE,"Insuffisant")</f>
        <v>Très bien</v>
      </c>
      <c r="M835" t="str">
        <f t="shared" si="43"/>
        <v>RAS</v>
      </c>
      <c r="N835" t="str">
        <f t="shared" si="44"/>
        <v>Data</v>
      </c>
    </row>
    <row r="836" spans="1:14" x14ac:dyDescent="0.45">
      <c r="A836" t="s">
        <v>1158</v>
      </c>
      <c r="B836" t="s">
        <v>135</v>
      </c>
      <c r="E836" t="s">
        <v>16</v>
      </c>
      <c r="F836">
        <v>18.670000000000002</v>
      </c>
      <c r="H836">
        <v>14.8</v>
      </c>
      <c r="J836">
        <v>0.84540000000000004</v>
      </c>
      <c r="K836" t="str">
        <f t="shared" si="42"/>
        <v>Admis</v>
      </c>
      <c r="L836" t="str" cm="1">
        <f t="array" ref="L836">_xlfn.IFS(H836&gt;=16,"Excellent",
               H836&gt;=14,"Très bien",
               H836&gt;=12,"Bien",
               H836&gt;=10,"Passable",
               TRUE,"Insuffisant")</f>
        <v>Très bien</v>
      </c>
      <c r="M836" t="str">
        <f t="shared" si="43"/>
        <v>RAS</v>
      </c>
      <c r="N836" t="str">
        <f t="shared" si="44"/>
        <v>Data</v>
      </c>
    </row>
    <row r="837" spans="1:14" x14ac:dyDescent="0.45">
      <c r="A837" t="s">
        <v>1159</v>
      </c>
      <c r="B837" t="s">
        <v>409</v>
      </c>
      <c r="E837" t="s">
        <v>21</v>
      </c>
      <c r="F837">
        <v>11.31</v>
      </c>
      <c r="H837">
        <v>13.92</v>
      </c>
      <c r="J837">
        <v>0.98080000000000001</v>
      </c>
      <c r="K837" t="str">
        <f t="shared" si="42"/>
        <v>Admis sous condition</v>
      </c>
      <c r="L837" t="str" cm="1">
        <f t="array" ref="L837">_xlfn.IFS(H837&gt;=16,"Excellent",
               H837&gt;=14,"Très bien",
               H837&gt;=12,"Bien",
               H837&gt;=10,"Passable",
               TRUE,"Insuffisant")</f>
        <v>Bien</v>
      </c>
      <c r="M837" t="str">
        <f t="shared" si="43"/>
        <v>RAS</v>
      </c>
      <c r="N837" t="str">
        <f t="shared" si="44"/>
        <v>Autre filière</v>
      </c>
    </row>
    <row r="838" spans="1:14" x14ac:dyDescent="0.45">
      <c r="A838" t="s">
        <v>1160</v>
      </c>
      <c r="B838" t="s">
        <v>96</v>
      </c>
      <c r="E838" t="s">
        <v>42</v>
      </c>
      <c r="F838">
        <v>12.72</v>
      </c>
      <c r="H838">
        <v>11.55</v>
      </c>
      <c r="J838">
        <v>0.69789999999999996</v>
      </c>
      <c r="K838" t="str">
        <f t="shared" si="42"/>
        <v>Admis sous condition</v>
      </c>
      <c r="L838" t="str" cm="1">
        <f t="array" ref="L838">_xlfn.IFS(H838&gt;=16,"Excellent",
               H838&gt;=14,"Très bien",
               H838&gt;=12,"Bien",
               H838&gt;=10,"Passable",
               TRUE,"Insuffisant")</f>
        <v>Passable</v>
      </c>
      <c r="M838" t="str">
        <f t="shared" si="43"/>
        <v>A surveiller</v>
      </c>
      <c r="N838" t="str">
        <f t="shared" si="44"/>
        <v>Autre filière</v>
      </c>
    </row>
    <row r="839" spans="1:14" x14ac:dyDescent="0.45">
      <c r="A839" t="s">
        <v>1161</v>
      </c>
      <c r="B839" t="s">
        <v>1030</v>
      </c>
      <c r="E839" t="s">
        <v>42</v>
      </c>
      <c r="F839">
        <v>15.64</v>
      </c>
      <c r="H839">
        <v>11.3</v>
      </c>
      <c r="J839">
        <v>0.60809999999999997</v>
      </c>
      <c r="K839" t="str">
        <f t="shared" si="42"/>
        <v>Admis sous condition</v>
      </c>
      <c r="L839" t="str" cm="1">
        <f t="array" ref="L839">_xlfn.IFS(H839&gt;=16,"Excellent",
               H839&gt;=14,"Très bien",
               H839&gt;=12,"Bien",
               H839&gt;=10,"Passable",
               TRUE,"Insuffisant")</f>
        <v>Passable</v>
      </c>
      <c r="M839" t="str">
        <f t="shared" si="43"/>
        <v>A surveiller</v>
      </c>
      <c r="N839" t="str">
        <f t="shared" si="44"/>
        <v>Autre filière</v>
      </c>
    </row>
    <row r="840" spans="1:14" x14ac:dyDescent="0.45">
      <c r="A840" t="s">
        <v>1162</v>
      </c>
      <c r="B840" t="s">
        <v>425</v>
      </c>
      <c r="E840" t="s">
        <v>21</v>
      </c>
      <c r="F840">
        <v>5.95</v>
      </c>
      <c r="H840">
        <v>12.14</v>
      </c>
      <c r="J840">
        <v>0.7288</v>
      </c>
      <c r="K840" t="str">
        <f t="shared" si="42"/>
        <v>Refusé</v>
      </c>
      <c r="L840" t="str" cm="1">
        <f t="array" ref="L840">_xlfn.IFS(H840&gt;=16,"Excellent",
               H840&gt;=14,"Très bien",
               H840&gt;=12,"Bien",
               H840&gt;=10,"Passable",
               TRUE,"Insuffisant")</f>
        <v>Bien</v>
      </c>
      <c r="M840" t="str">
        <f t="shared" si="43"/>
        <v>A surveiller</v>
      </c>
      <c r="N840" t="str">
        <f t="shared" si="44"/>
        <v>Autre filière</v>
      </c>
    </row>
    <row r="841" spans="1:14" x14ac:dyDescent="0.45">
      <c r="A841" t="s">
        <v>1163</v>
      </c>
      <c r="B841" t="s">
        <v>512</v>
      </c>
      <c r="E841" t="s">
        <v>42</v>
      </c>
      <c r="F841">
        <v>13.63</v>
      </c>
      <c r="H841">
        <v>18.440000000000001</v>
      </c>
      <c r="J841">
        <v>0.92059999999999997</v>
      </c>
      <c r="K841" t="str">
        <f t="shared" si="42"/>
        <v>Admis</v>
      </c>
      <c r="L841" t="str" cm="1">
        <f t="array" ref="L841">_xlfn.IFS(H841&gt;=16,"Excellent",
               H841&gt;=14,"Très bien",
               H841&gt;=12,"Bien",
               H841&gt;=10,"Passable",
               TRUE,"Insuffisant")</f>
        <v>Excellent</v>
      </c>
      <c r="M841" t="str">
        <f t="shared" si="43"/>
        <v>RAS</v>
      </c>
      <c r="N841" t="str">
        <f t="shared" si="44"/>
        <v>Autre filière</v>
      </c>
    </row>
    <row r="842" spans="1:14" x14ac:dyDescent="0.45">
      <c r="A842" t="s">
        <v>1164</v>
      </c>
      <c r="B842" t="s">
        <v>1032</v>
      </c>
      <c r="E842" t="s">
        <v>16</v>
      </c>
      <c r="F842">
        <v>13.89</v>
      </c>
      <c r="H842">
        <v>15.64</v>
      </c>
      <c r="J842">
        <v>0.69040000000000001</v>
      </c>
      <c r="K842" t="str">
        <f t="shared" si="42"/>
        <v>Admis sous condition</v>
      </c>
      <c r="L842" t="str" cm="1">
        <f t="array" ref="L842">_xlfn.IFS(H842&gt;=16,"Excellent",
               H842&gt;=14,"Très bien",
               H842&gt;=12,"Bien",
               H842&gt;=10,"Passable",
               TRUE,"Insuffisant")</f>
        <v>Très bien</v>
      </c>
      <c r="M842" t="str">
        <f t="shared" si="43"/>
        <v>A surveiller</v>
      </c>
      <c r="N842" t="str">
        <f t="shared" si="44"/>
        <v>Data</v>
      </c>
    </row>
    <row r="843" spans="1:14" x14ac:dyDescent="0.45">
      <c r="A843" t="s">
        <v>1165</v>
      </c>
      <c r="B843" t="s">
        <v>98</v>
      </c>
      <c r="E843" t="s">
        <v>42</v>
      </c>
      <c r="F843">
        <v>19.899999999999999</v>
      </c>
      <c r="H843">
        <v>12.96</v>
      </c>
      <c r="J843">
        <v>0.93700000000000006</v>
      </c>
      <c r="K843" t="str">
        <f t="shared" si="42"/>
        <v>Admis</v>
      </c>
      <c r="L843" t="str" cm="1">
        <f t="array" ref="L843">_xlfn.IFS(H843&gt;=16,"Excellent",
               H843&gt;=14,"Très bien",
               H843&gt;=12,"Bien",
               H843&gt;=10,"Passable",
               TRUE,"Insuffisant")</f>
        <v>Bien</v>
      </c>
      <c r="M843" t="str">
        <f t="shared" si="43"/>
        <v>RAS</v>
      </c>
      <c r="N843" t="str">
        <f t="shared" si="44"/>
        <v>Autre filière</v>
      </c>
    </row>
    <row r="844" spans="1:14" x14ac:dyDescent="0.45">
      <c r="A844" t="s">
        <v>1166</v>
      </c>
      <c r="B844" t="s">
        <v>105</v>
      </c>
      <c r="E844" t="s">
        <v>42</v>
      </c>
      <c r="F844">
        <v>16.850000000000001</v>
      </c>
      <c r="H844">
        <v>15.73</v>
      </c>
      <c r="J844">
        <v>0.77559999999999996</v>
      </c>
      <c r="K844" t="str">
        <f t="shared" si="42"/>
        <v>Admis sous condition</v>
      </c>
      <c r="L844" t="str" cm="1">
        <f t="array" ref="L844">_xlfn.IFS(H844&gt;=16,"Excellent",
               H844&gt;=14,"Très bien",
               H844&gt;=12,"Bien",
               H844&gt;=10,"Passable",
               TRUE,"Insuffisant")</f>
        <v>Très bien</v>
      </c>
      <c r="M844" t="str">
        <f t="shared" si="43"/>
        <v>RAS</v>
      </c>
      <c r="N844" t="str">
        <f t="shared" si="44"/>
        <v>Autre filière</v>
      </c>
    </row>
    <row r="845" spans="1:14" x14ac:dyDescent="0.45">
      <c r="A845" t="s">
        <v>1167</v>
      </c>
      <c r="B845" t="s">
        <v>366</v>
      </c>
      <c r="E845" t="s">
        <v>16</v>
      </c>
      <c r="F845">
        <v>11.57</v>
      </c>
      <c r="H845">
        <v>11.27</v>
      </c>
      <c r="J845">
        <v>0.63160000000000005</v>
      </c>
      <c r="K845" t="str">
        <f t="shared" si="42"/>
        <v>Admis sous condition</v>
      </c>
      <c r="L845" t="str" cm="1">
        <f t="array" ref="L845">_xlfn.IFS(H845&gt;=16,"Excellent",
               H845&gt;=14,"Très bien",
               H845&gt;=12,"Bien",
               H845&gt;=10,"Passable",
               TRUE,"Insuffisant")</f>
        <v>Passable</v>
      </c>
      <c r="M845" t="str">
        <f t="shared" si="43"/>
        <v>A surveiller</v>
      </c>
      <c r="N845" t="str">
        <f t="shared" si="44"/>
        <v>Data</v>
      </c>
    </row>
    <row r="846" spans="1:14" x14ac:dyDescent="0.45">
      <c r="A846" t="s">
        <v>1168</v>
      </c>
      <c r="B846" t="s">
        <v>268</v>
      </c>
      <c r="E846" t="s">
        <v>42</v>
      </c>
      <c r="F846">
        <v>10.63</v>
      </c>
      <c r="H846">
        <v>7.39</v>
      </c>
      <c r="J846">
        <v>0.99750000000000005</v>
      </c>
      <c r="K846" t="str">
        <f t="shared" si="42"/>
        <v>Refusé</v>
      </c>
      <c r="L846" t="str" cm="1">
        <f t="array" ref="L846">_xlfn.IFS(H846&gt;=16,"Excellent",
               H846&gt;=14,"Très bien",
               H846&gt;=12,"Bien",
               H846&gt;=10,"Passable",
               TRUE,"Insuffisant")</f>
        <v>Insuffisant</v>
      </c>
      <c r="M846" t="str">
        <f t="shared" si="43"/>
        <v>A surveiller</v>
      </c>
      <c r="N846" t="str">
        <f t="shared" si="44"/>
        <v>Autre filière</v>
      </c>
    </row>
    <row r="847" spans="1:14" x14ac:dyDescent="0.45">
      <c r="A847" t="s">
        <v>1169</v>
      </c>
      <c r="B847" t="s">
        <v>419</v>
      </c>
      <c r="E847" t="s">
        <v>29</v>
      </c>
      <c r="F847">
        <v>15.08</v>
      </c>
      <c r="H847">
        <v>13.08</v>
      </c>
      <c r="J847">
        <v>0.91039999999999999</v>
      </c>
      <c r="K847" t="str">
        <f t="shared" si="42"/>
        <v>Admis</v>
      </c>
      <c r="L847" t="str" cm="1">
        <f t="array" ref="L847">_xlfn.IFS(H847&gt;=16,"Excellent",
               H847&gt;=14,"Très bien",
               H847&gt;=12,"Bien",
               H847&gt;=10,"Passable",
               TRUE,"Insuffisant")</f>
        <v>Bien</v>
      </c>
      <c r="M847" t="str">
        <f t="shared" si="43"/>
        <v>RAS</v>
      </c>
      <c r="N847" t="str">
        <f t="shared" si="44"/>
        <v>Autre filière</v>
      </c>
    </row>
    <row r="848" spans="1:14" x14ac:dyDescent="0.45">
      <c r="A848" t="s">
        <v>1170</v>
      </c>
      <c r="B848" t="s">
        <v>751</v>
      </c>
      <c r="E848" t="s">
        <v>16</v>
      </c>
      <c r="F848">
        <v>11.3</v>
      </c>
      <c r="H848">
        <v>17.8</v>
      </c>
      <c r="J848">
        <v>0.83069999999999999</v>
      </c>
      <c r="K848" t="str">
        <f t="shared" si="42"/>
        <v>Admis sous condition</v>
      </c>
      <c r="L848" t="str" cm="1">
        <f t="array" ref="L848">_xlfn.IFS(H848&gt;=16,"Excellent",
               H848&gt;=14,"Très bien",
               H848&gt;=12,"Bien",
               H848&gt;=10,"Passable",
               TRUE,"Insuffisant")</f>
        <v>Excellent</v>
      </c>
      <c r="M848" t="str">
        <f t="shared" si="43"/>
        <v>RAS</v>
      </c>
      <c r="N848" t="str">
        <f t="shared" si="44"/>
        <v>Data</v>
      </c>
    </row>
    <row r="849" spans="1:14" x14ac:dyDescent="0.45">
      <c r="A849" t="s">
        <v>1171</v>
      </c>
      <c r="B849" t="s">
        <v>351</v>
      </c>
      <c r="E849" t="s">
        <v>29</v>
      </c>
      <c r="F849">
        <v>16.309999999999999</v>
      </c>
      <c r="H849">
        <v>14.07</v>
      </c>
      <c r="J849">
        <v>0.86129999999999995</v>
      </c>
      <c r="K849" t="str">
        <f t="shared" si="42"/>
        <v>Admis</v>
      </c>
      <c r="L849" t="str" cm="1">
        <f t="array" ref="L849">_xlfn.IFS(H849&gt;=16,"Excellent",
               H849&gt;=14,"Très bien",
               H849&gt;=12,"Bien",
               H849&gt;=10,"Passable",
               TRUE,"Insuffisant")</f>
        <v>Très bien</v>
      </c>
      <c r="M849" t="str">
        <f t="shared" si="43"/>
        <v>RAS</v>
      </c>
      <c r="N849" t="str">
        <f t="shared" si="44"/>
        <v>Autre filière</v>
      </c>
    </row>
    <row r="850" spans="1:14" x14ac:dyDescent="0.45">
      <c r="A850" t="s">
        <v>1172</v>
      </c>
      <c r="B850" t="s">
        <v>943</v>
      </c>
      <c r="E850" t="s">
        <v>29</v>
      </c>
      <c r="F850">
        <v>8.91</v>
      </c>
      <c r="H850">
        <v>16.3</v>
      </c>
      <c r="J850">
        <v>0.55000000000000004</v>
      </c>
      <c r="K850" t="str">
        <f t="shared" si="42"/>
        <v>Refusé</v>
      </c>
      <c r="L850" t="str" cm="1">
        <f t="array" ref="L850">_xlfn.IFS(H850&gt;=16,"Excellent",
               H850&gt;=14,"Très bien",
               H850&gt;=12,"Bien",
               H850&gt;=10,"Passable",
               TRUE,"Insuffisant")</f>
        <v>Excellent</v>
      </c>
      <c r="M850" t="str">
        <f t="shared" si="43"/>
        <v>A surveiller</v>
      </c>
      <c r="N850" t="str">
        <f t="shared" si="44"/>
        <v>Autre filière</v>
      </c>
    </row>
    <row r="851" spans="1:14" x14ac:dyDescent="0.45">
      <c r="A851" t="s">
        <v>1173</v>
      </c>
      <c r="B851" t="s">
        <v>742</v>
      </c>
      <c r="E851" t="s">
        <v>29</v>
      </c>
      <c r="F851">
        <v>18.88</v>
      </c>
      <c r="H851">
        <v>12.48</v>
      </c>
      <c r="J851">
        <v>0.55000000000000004</v>
      </c>
      <c r="K851" t="str">
        <f t="shared" si="42"/>
        <v>Admis sous condition</v>
      </c>
      <c r="L851" t="str" cm="1">
        <f t="array" ref="L851">_xlfn.IFS(H851&gt;=16,"Excellent",
               H851&gt;=14,"Très bien",
               H851&gt;=12,"Bien",
               H851&gt;=10,"Passable",
               TRUE,"Insuffisant")</f>
        <v>Bien</v>
      </c>
      <c r="M851" t="str">
        <f t="shared" si="43"/>
        <v>A surveiller</v>
      </c>
      <c r="N851" t="str">
        <f t="shared" si="44"/>
        <v>Autre filière</v>
      </c>
    </row>
    <row r="852" spans="1:14" x14ac:dyDescent="0.45">
      <c r="A852" t="s">
        <v>1174</v>
      </c>
      <c r="B852" t="s">
        <v>473</v>
      </c>
      <c r="E852" t="s">
        <v>29</v>
      </c>
      <c r="F852">
        <v>16.55</v>
      </c>
      <c r="H852">
        <v>17.45</v>
      </c>
      <c r="J852">
        <v>0.91310000000000002</v>
      </c>
      <c r="K852" t="str">
        <f t="shared" si="42"/>
        <v>Admis</v>
      </c>
      <c r="L852" t="str" cm="1">
        <f t="array" ref="L852">_xlfn.IFS(H852&gt;=16,"Excellent",
               H852&gt;=14,"Très bien",
               H852&gt;=12,"Bien",
               H852&gt;=10,"Passable",
               TRUE,"Insuffisant")</f>
        <v>Excellent</v>
      </c>
      <c r="M852" t="str">
        <f t="shared" si="43"/>
        <v>RAS</v>
      </c>
      <c r="N852" t="str">
        <f t="shared" si="44"/>
        <v>Autre filière</v>
      </c>
    </row>
    <row r="853" spans="1:14" x14ac:dyDescent="0.45">
      <c r="A853" t="s">
        <v>1175</v>
      </c>
      <c r="B853" t="s">
        <v>231</v>
      </c>
      <c r="E853" t="s">
        <v>42</v>
      </c>
      <c r="F853">
        <v>9.02</v>
      </c>
      <c r="H853">
        <v>19.61</v>
      </c>
      <c r="J853">
        <v>0.95920000000000005</v>
      </c>
      <c r="K853" t="str">
        <f t="shared" si="42"/>
        <v>Refusé</v>
      </c>
      <c r="L853" t="str" cm="1">
        <f t="array" ref="L853">_xlfn.IFS(H853&gt;=16,"Excellent",
               H853&gt;=14,"Très bien",
               H853&gt;=12,"Bien",
               H853&gt;=10,"Passable",
               TRUE,"Insuffisant")</f>
        <v>Excellent</v>
      </c>
      <c r="M853" t="str">
        <f t="shared" si="43"/>
        <v>A surveiller</v>
      </c>
      <c r="N853" t="str">
        <f t="shared" si="44"/>
        <v>Autre filière</v>
      </c>
    </row>
    <row r="854" spans="1:14" x14ac:dyDescent="0.45">
      <c r="A854" t="s">
        <v>1176</v>
      </c>
      <c r="B854" t="s">
        <v>402</v>
      </c>
      <c r="E854" t="s">
        <v>29</v>
      </c>
      <c r="F854">
        <v>12.02</v>
      </c>
      <c r="H854">
        <v>13.04</v>
      </c>
      <c r="J854">
        <v>0.96989999999999998</v>
      </c>
      <c r="K854" t="str">
        <f t="shared" si="42"/>
        <v>Admis</v>
      </c>
      <c r="L854" t="str" cm="1">
        <f t="array" ref="L854">_xlfn.IFS(H854&gt;=16,"Excellent",
               H854&gt;=14,"Très bien",
               H854&gt;=12,"Bien",
               H854&gt;=10,"Passable",
               TRUE,"Insuffisant")</f>
        <v>Bien</v>
      </c>
      <c r="M854" t="str">
        <f t="shared" si="43"/>
        <v>RAS</v>
      </c>
      <c r="N854" t="str">
        <f t="shared" si="44"/>
        <v>Autre filière</v>
      </c>
    </row>
    <row r="855" spans="1:14" x14ac:dyDescent="0.45">
      <c r="A855" t="s">
        <v>1177</v>
      </c>
      <c r="B855" t="s">
        <v>1178</v>
      </c>
      <c r="E855" t="s">
        <v>29</v>
      </c>
      <c r="F855">
        <v>9.0399999999999991</v>
      </c>
      <c r="H855">
        <v>7.22</v>
      </c>
      <c r="J855">
        <v>0.86260000000000003</v>
      </c>
      <c r="K855" t="str">
        <f t="shared" ref="K855:K918" si="45">IF(AND(F855&gt;=12,H855&gt;=12,J855&gt;=0.8),"Admis",
   IF(AND(F855&gt;=10,H855&gt;=10),"Admis sous condition","Refusé"))</f>
        <v>Refusé</v>
      </c>
      <c r="L855" t="str" cm="1">
        <f t="array" ref="L855">_xlfn.IFS(H855&gt;=16,"Excellent",
               H855&gt;=14,"Très bien",
               H855&gt;=12,"Bien",
               H855&gt;=10,"Passable",
               TRUE,"Insuffisant")</f>
        <v>Insuffisant</v>
      </c>
      <c r="M855" t="str">
        <f t="shared" ref="M855:M918" si="46">IF(OR(F855&lt;10,H855&lt;10,J855&lt;0.7),"A surveiller","RAS")</f>
        <v>A surveiller</v>
      </c>
      <c r="N855" t="str">
        <f t="shared" ref="N855:N918" si="47">IF(NOT(E855="Data"),"Autre filière","Data")</f>
        <v>Autre filière</v>
      </c>
    </row>
    <row r="856" spans="1:14" x14ac:dyDescent="0.45">
      <c r="A856" t="s">
        <v>1179</v>
      </c>
      <c r="B856" t="s">
        <v>924</v>
      </c>
      <c r="E856" t="s">
        <v>21</v>
      </c>
      <c r="F856">
        <v>15.13</v>
      </c>
      <c r="H856">
        <v>13.28</v>
      </c>
      <c r="J856">
        <v>0.8266</v>
      </c>
      <c r="K856" t="str">
        <f t="shared" si="45"/>
        <v>Admis</v>
      </c>
      <c r="L856" t="str" cm="1">
        <f t="array" ref="L856">_xlfn.IFS(H856&gt;=16,"Excellent",
               H856&gt;=14,"Très bien",
               H856&gt;=12,"Bien",
               H856&gt;=10,"Passable",
               TRUE,"Insuffisant")</f>
        <v>Bien</v>
      </c>
      <c r="M856" t="str">
        <f t="shared" si="46"/>
        <v>RAS</v>
      </c>
      <c r="N856" t="str">
        <f t="shared" si="47"/>
        <v>Autre filière</v>
      </c>
    </row>
    <row r="857" spans="1:14" x14ac:dyDescent="0.45">
      <c r="A857" t="s">
        <v>1180</v>
      </c>
      <c r="B857" t="s">
        <v>906</v>
      </c>
      <c r="E857" t="s">
        <v>16</v>
      </c>
      <c r="F857">
        <v>18.489999999999998</v>
      </c>
      <c r="H857">
        <v>19.5</v>
      </c>
      <c r="J857">
        <v>0.88739999999999997</v>
      </c>
      <c r="K857" t="str">
        <f t="shared" si="45"/>
        <v>Admis</v>
      </c>
      <c r="L857" t="str" cm="1">
        <f t="array" ref="L857">_xlfn.IFS(H857&gt;=16,"Excellent",
               H857&gt;=14,"Très bien",
               H857&gt;=12,"Bien",
               H857&gt;=10,"Passable",
               TRUE,"Insuffisant")</f>
        <v>Excellent</v>
      </c>
      <c r="M857" t="str">
        <f t="shared" si="46"/>
        <v>RAS</v>
      </c>
      <c r="N857" t="str">
        <f t="shared" si="47"/>
        <v>Data</v>
      </c>
    </row>
    <row r="858" spans="1:14" x14ac:dyDescent="0.45">
      <c r="A858" t="s">
        <v>1181</v>
      </c>
      <c r="B858" t="s">
        <v>594</v>
      </c>
      <c r="E858" t="s">
        <v>29</v>
      </c>
      <c r="F858">
        <v>13.43</v>
      </c>
      <c r="H858">
        <v>13.81</v>
      </c>
      <c r="J858">
        <v>0.57750000000000001</v>
      </c>
      <c r="K858" t="str">
        <f t="shared" si="45"/>
        <v>Admis sous condition</v>
      </c>
      <c r="L858" t="str" cm="1">
        <f t="array" ref="L858">_xlfn.IFS(H858&gt;=16,"Excellent",
               H858&gt;=14,"Très bien",
               H858&gt;=12,"Bien",
               H858&gt;=10,"Passable",
               TRUE,"Insuffisant")</f>
        <v>Bien</v>
      </c>
      <c r="M858" t="str">
        <f t="shared" si="46"/>
        <v>A surveiller</v>
      </c>
      <c r="N858" t="str">
        <f t="shared" si="47"/>
        <v>Autre filière</v>
      </c>
    </row>
    <row r="859" spans="1:14" x14ac:dyDescent="0.45">
      <c r="A859" t="s">
        <v>1182</v>
      </c>
      <c r="B859" t="s">
        <v>673</v>
      </c>
      <c r="E859" t="s">
        <v>16</v>
      </c>
      <c r="F859">
        <v>8.16</v>
      </c>
      <c r="H859">
        <v>11.03</v>
      </c>
      <c r="J859">
        <v>0.82110000000000005</v>
      </c>
      <c r="K859" t="str">
        <f t="shared" si="45"/>
        <v>Refusé</v>
      </c>
      <c r="L859" t="str" cm="1">
        <f t="array" ref="L859">_xlfn.IFS(H859&gt;=16,"Excellent",
               H859&gt;=14,"Très bien",
               H859&gt;=12,"Bien",
               H859&gt;=10,"Passable",
               TRUE,"Insuffisant")</f>
        <v>Passable</v>
      </c>
      <c r="M859" t="str">
        <f t="shared" si="46"/>
        <v>A surveiller</v>
      </c>
      <c r="N859" t="str">
        <f t="shared" si="47"/>
        <v>Data</v>
      </c>
    </row>
    <row r="860" spans="1:14" x14ac:dyDescent="0.45">
      <c r="A860" t="s">
        <v>1183</v>
      </c>
      <c r="B860" t="s">
        <v>37</v>
      </c>
      <c r="E860" t="s">
        <v>21</v>
      </c>
      <c r="F860">
        <v>15.23</v>
      </c>
      <c r="H860">
        <v>12.87</v>
      </c>
      <c r="J860">
        <v>0.97829999999999995</v>
      </c>
      <c r="K860" t="str">
        <f t="shared" si="45"/>
        <v>Admis</v>
      </c>
      <c r="L860" t="str" cm="1">
        <f t="array" ref="L860">_xlfn.IFS(H860&gt;=16,"Excellent",
               H860&gt;=14,"Très bien",
               H860&gt;=12,"Bien",
               H860&gt;=10,"Passable",
               TRUE,"Insuffisant")</f>
        <v>Bien</v>
      </c>
      <c r="M860" t="str">
        <f t="shared" si="46"/>
        <v>RAS</v>
      </c>
      <c r="N860" t="str">
        <f t="shared" si="47"/>
        <v>Autre filière</v>
      </c>
    </row>
    <row r="861" spans="1:14" x14ac:dyDescent="0.45">
      <c r="A861" t="s">
        <v>1184</v>
      </c>
      <c r="B861" t="s">
        <v>46</v>
      </c>
      <c r="E861" t="s">
        <v>16</v>
      </c>
      <c r="F861">
        <v>15.98</v>
      </c>
      <c r="H861">
        <v>19.53</v>
      </c>
      <c r="J861">
        <v>0.85309999999999997</v>
      </c>
      <c r="K861" t="str">
        <f t="shared" si="45"/>
        <v>Admis</v>
      </c>
      <c r="L861" t="str" cm="1">
        <f t="array" ref="L861">_xlfn.IFS(H861&gt;=16,"Excellent",
               H861&gt;=14,"Très bien",
               H861&gt;=12,"Bien",
               H861&gt;=10,"Passable",
               TRUE,"Insuffisant")</f>
        <v>Excellent</v>
      </c>
      <c r="M861" t="str">
        <f t="shared" si="46"/>
        <v>RAS</v>
      </c>
      <c r="N861" t="str">
        <f t="shared" si="47"/>
        <v>Data</v>
      </c>
    </row>
    <row r="862" spans="1:14" x14ac:dyDescent="0.45">
      <c r="A862" t="s">
        <v>1185</v>
      </c>
      <c r="B862" t="s">
        <v>645</v>
      </c>
      <c r="E862" t="s">
        <v>21</v>
      </c>
      <c r="F862">
        <v>17.100000000000001</v>
      </c>
      <c r="H862">
        <v>20</v>
      </c>
      <c r="J862">
        <v>0.83660000000000001</v>
      </c>
      <c r="K862" t="str">
        <f t="shared" si="45"/>
        <v>Admis</v>
      </c>
      <c r="L862" t="str" cm="1">
        <f t="array" ref="L862">_xlfn.IFS(H862&gt;=16,"Excellent",
               H862&gt;=14,"Très bien",
               H862&gt;=12,"Bien",
               H862&gt;=10,"Passable",
               TRUE,"Insuffisant")</f>
        <v>Excellent</v>
      </c>
      <c r="M862" t="str">
        <f t="shared" si="46"/>
        <v>RAS</v>
      </c>
      <c r="N862" t="str">
        <f t="shared" si="47"/>
        <v>Autre filière</v>
      </c>
    </row>
    <row r="863" spans="1:14" x14ac:dyDescent="0.45">
      <c r="A863" t="s">
        <v>1186</v>
      </c>
      <c r="B863" t="s">
        <v>336</v>
      </c>
      <c r="E863" t="s">
        <v>16</v>
      </c>
      <c r="F863">
        <v>13.75</v>
      </c>
      <c r="H863">
        <v>11.18</v>
      </c>
      <c r="J863">
        <v>0.8891</v>
      </c>
      <c r="K863" t="str">
        <f t="shared" si="45"/>
        <v>Admis sous condition</v>
      </c>
      <c r="L863" t="str" cm="1">
        <f t="array" ref="L863">_xlfn.IFS(H863&gt;=16,"Excellent",
               H863&gt;=14,"Très bien",
               H863&gt;=12,"Bien",
               H863&gt;=10,"Passable",
               TRUE,"Insuffisant")</f>
        <v>Passable</v>
      </c>
      <c r="M863" t="str">
        <f t="shared" si="46"/>
        <v>RAS</v>
      </c>
      <c r="N863" t="str">
        <f t="shared" si="47"/>
        <v>Data</v>
      </c>
    </row>
    <row r="864" spans="1:14" x14ac:dyDescent="0.45">
      <c r="A864" t="s">
        <v>1187</v>
      </c>
      <c r="B864" t="s">
        <v>1068</v>
      </c>
      <c r="E864" t="s">
        <v>29</v>
      </c>
      <c r="F864">
        <v>11</v>
      </c>
      <c r="H864">
        <v>10.53</v>
      </c>
      <c r="J864">
        <v>0.99199999999999999</v>
      </c>
      <c r="K864" t="str">
        <f t="shared" si="45"/>
        <v>Admis sous condition</v>
      </c>
      <c r="L864" t="str" cm="1">
        <f t="array" ref="L864">_xlfn.IFS(H864&gt;=16,"Excellent",
               H864&gt;=14,"Très bien",
               H864&gt;=12,"Bien",
               H864&gt;=10,"Passable",
               TRUE,"Insuffisant")</f>
        <v>Passable</v>
      </c>
      <c r="M864" t="str">
        <f t="shared" si="46"/>
        <v>RAS</v>
      </c>
      <c r="N864" t="str">
        <f t="shared" si="47"/>
        <v>Autre filière</v>
      </c>
    </row>
    <row r="865" spans="1:14" x14ac:dyDescent="0.45">
      <c r="A865" t="s">
        <v>1188</v>
      </c>
      <c r="B865" t="s">
        <v>661</v>
      </c>
      <c r="E865" t="s">
        <v>42</v>
      </c>
      <c r="F865">
        <v>16.28</v>
      </c>
      <c r="H865">
        <v>19.170000000000002</v>
      </c>
      <c r="J865">
        <v>0.71740000000000004</v>
      </c>
      <c r="K865" t="str">
        <f t="shared" si="45"/>
        <v>Admis sous condition</v>
      </c>
      <c r="L865" t="str" cm="1">
        <f t="array" ref="L865">_xlfn.IFS(H865&gt;=16,"Excellent",
               H865&gt;=14,"Très bien",
               H865&gt;=12,"Bien",
               H865&gt;=10,"Passable",
               TRUE,"Insuffisant")</f>
        <v>Excellent</v>
      </c>
      <c r="M865" t="str">
        <f t="shared" si="46"/>
        <v>RAS</v>
      </c>
      <c r="N865" t="str">
        <f t="shared" si="47"/>
        <v>Autre filière</v>
      </c>
    </row>
    <row r="866" spans="1:14" x14ac:dyDescent="0.45">
      <c r="A866" t="s">
        <v>1189</v>
      </c>
      <c r="B866" t="s">
        <v>71</v>
      </c>
      <c r="E866" t="s">
        <v>21</v>
      </c>
      <c r="F866">
        <v>13.81</v>
      </c>
      <c r="H866">
        <v>13.06</v>
      </c>
      <c r="J866">
        <v>0.81459999999999999</v>
      </c>
      <c r="K866" t="str">
        <f t="shared" si="45"/>
        <v>Admis</v>
      </c>
      <c r="L866" t="str" cm="1">
        <f t="array" ref="L866">_xlfn.IFS(H866&gt;=16,"Excellent",
               H866&gt;=14,"Très bien",
               H866&gt;=12,"Bien",
               H866&gt;=10,"Passable",
               TRUE,"Insuffisant")</f>
        <v>Bien</v>
      </c>
      <c r="M866" t="str">
        <f t="shared" si="46"/>
        <v>RAS</v>
      </c>
      <c r="N866" t="str">
        <f t="shared" si="47"/>
        <v>Autre filière</v>
      </c>
    </row>
    <row r="867" spans="1:14" x14ac:dyDescent="0.45">
      <c r="A867" t="s">
        <v>1190</v>
      </c>
      <c r="B867" t="s">
        <v>198</v>
      </c>
      <c r="E867" t="s">
        <v>16</v>
      </c>
      <c r="F867">
        <v>6.95</v>
      </c>
      <c r="H867">
        <v>8.14</v>
      </c>
      <c r="J867">
        <v>0.88529999999999998</v>
      </c>
      <c r="K867" t="str">
        <f t="shared" si="45"/>
        <v>Refusé</v>
      </c>
      <c r="L867" t="str" cm="1">
        <f t="array" ref="L867">_xlfn.IFS(H867&gt;=16,"Excellent",
               H867&gt;=14,"Très bien",
               H867&gt;=12,"Bien",
               H867&gt;=10,"Passable",
               TRUE,"Insuffisant")</f>
        <v>Insuffisant</v>
      </c>
      <c r="M867" t="str">
        <f t="shared" si="46"/>
        <v>A surveiller</v>
      </c>
      <c r="N867" t="str">
        <f t="shared" si="47"/>
        <v>Data</v>
      </c>
    </row>
    <row r="868" spans="1:14" x14ac:dyDescent="0.45">
      <c r="A868" t="s">
        <v>1191</v>
      </c>
      <c r="B868" t="s">
        <v>409</v>
      </c>
      <c r="E868" t="s">
        <v>16</v>
      </c>
      <c r="F868">
        <v>11.76</v>
      </c>
      <c r="H868">
        <v>10.98</v>
      </c>
      <c r="J868">
        <v>0.9496</v>
      </c>
      <c r="K868" t="str">
        <f t="shared" si="45"/>
        <v>Admis sous condition</v>
      </c>
      <c r="L868" t="str" cm="1">
        <f t="array" ref="L868">_xlfn.IFS(H868&gt;=16,"Excellent",
               H868&gt;=14,"Très bien",
               H868&gt;=12,"Bien",
               H868&gt;=10,"Passable",
               TRUE,"Insuffisant")</f>
        <v>Passable</v>
      </c>
      <c r="M868" t="str">
        <f t="shared" si="46"/>
        <v>RAS</v>
      </c>
      <c r="N868" t="str">
        <f t="shared" si="47"/>
        <v>Data</v>
      </c>
    </row>
    <row r="869" spans="1:14" x14ac:dyDescent="0.45">
      <c r="A869" t="s">
        <v>1192</v>
      </c>
      <c r="B869" t="s">
        <v>274</v>
      </c>
      <c r="E869" t="s">
        <v>21</v>
      </c>
      <c r="F869">
        <v>15.15</v>
      </c>
      <c r="H869">
        <v>13.9</v>
      </c>
      <c r="J869">
        <v>0.7762</v>
      </c>
      <c r="K869" t="str">
        <f t="shared" si="45"/>
        <v>Admis sous condition</v>
      </c>
      <c r="L869" t="str" cm="1">
        <f t="array" ref="L869">_xlfn.IFS(H869&gt;=16,"Excellent",
               H869&gt;=14,"Très bien",
               H869&gt;=12,"Bien",
               H869&gt;=10,"Passable",
               TRUE,"Insuffisant")</f>
        <v>Bien</v>
      </c>
      <c r="M869" t="str">
        <f t="shared" si="46"/>
        <v>RAS</v>
      </c>
      <c r="N869" t="str">
        <f t="shared" si="47"/>
        <v>Autre filière</v>
      </c>
    </row>
    <row r="870" spans="1:14" x14ac:dyDescent="0.45">
      <c r="A870" t="s">
        <v>1193</v>
      </c>
      <c r="B870" t="s">
        <v>486</v>
      </c>
      <c r="E870" t="s">
        <v>29</v>
      </c>
      <c r="F870">
        <v>18.100000000000001</v>
      </c>
      <c r="H870">
        <v>10.75</v>
      </c>
      <c r="J870">
        <v>0.78990000000000005</v>
      </c>
      <c r="K870" t="str">
        <f t="shared" si="45"/>
        <v>Admis sous condition</v>
      </c>
      <c r="L870" t="str" cm="1">
        <f t="array" ref="L870">_xlfn.IFS(H870&gt;=16,"Excellent",
               H870&gt;=14,"Très bien",
               H870&gt;=12,"Bien",
               H870&gt;=10,"Passable",
               TRUE,"Insuffisant")</f>
        <v>Passable</v>
      </c>
      <c r="M870" t="str">
        <f t="shared" si="46"/>
        <v>RAS</v>
      </c>
      <c r="N870" t="str">
        <f t="shared" si="47"/>
        <v>Autre filière</v>
      </c>
    </row>
    <row r="871" spans="1:14" x14ac:dyDescent="0.45">
      <c r="A871" t="s">
        <v>1194</v>
      </c>
      <c r="B871" t="s">
        <v>39</v>
      </c>
      <c r="E871" t="s">
        <v>16</v>
      </c>
      <c r="F871">
        <v>15.39</v>
      </c>
      <c r="H871">
        <v>12.94</v>
      </c>
      <c r="J871">
        <v>0.86750000000000005</v>
      </c>
      <c r="K871" t="str">
        <f t="shared" si="45"/>
        <v>Admis</v>
      </c>
      <c r="L871" t="str" cm="1">
        <f t="array" ref="L871">_xlfn.IFS(H871&gt;=16,"Excellent",
               H871&gt;=14,"Très bien",
               H871&gt;=12,"Bien",
               H871&gt;=10,"Passable",
               TRUE,"Insuffisant")</f>
        <v>Bien</v>
      </c>
      <c r="M871" t="str">
        <f t="shared" si="46"/>
        <v>RAS</v>
      </c>
      <c r="N871" t="str">
        <f t="shared" si="47"/>
        <v>Data</v>
      </c>
    </row>
    <row r="872" spans="1:14" x14ac:dyDescent="0.45">
      <c r="A872" t="s">
        <v>1195</v>
      </c>
      <c r="B872" t="s">
        <v>558</v>
      </c>
      <c r="E872" t="s">
        <v>42</v>
      </c>
      <c r="F872">
        <v>8.98</v>
      </c>
      <c r="H872">
        <v>14.61</v>
      </c>
      <c r="J872">
        <v>0.97450000000000003</v>
      </c>
      <c r="K872" t="str">
        <f t="shared" si="45"/>
        <v>Refusé</v>
      </c>
      <c r="L872" t="str" cm="1">
        <f t="array" ref="L872">_xlfn.IFS(H872&gt;=16,"Excellent",
               H872&gt;=14,"Très bien",
               H872&gt;=12,"Bien",
               H872&gt;=10,"Passable",
               TRUE,"Insuffisant")</f>
        <v>Très bien</v>
      </c>
      <c r="M872" t="str">
        <f t="shared" si="46"/>
        <v>A surveiller</v>
      </c>
      <c r="N872" t="str">
        <f t="shared" si="47"/>
        <v>Autre filière</v>
      </c>
    </row>
    <row r="873" spans="1:14" x14ac:dyDescent="0.45">
      <c r="A873" t="s">
        <v>1196</v>
      </c>
      <c r="B873" t="s">
        <v>569</v>
      </c>
      <c r="E873" t="s">
        <v>16</v>
      </c>
      <c r="F873">
        <v>10.8</v>
      </c>
      <c r="H873">
        <v>17.010000000000002</v>
      </c>
      <c r="J873">
        <v>0.97970000000000002</v>
      </c>
      <c r="K873" t="str">
        <f t="shared" si="45"/>
        <v>Admis sous condition</v>
      </c>
      <c r="L873" t="str" cm="1">
        <f t="array" ref="L873">_xlfn.IFS(H873&gt;=16,"Excellent",
               H873&gt;=14,"Très bien",
               H873&gt;=12,"Bien",
               H873&gt;=10,"Passable",
               TRUE,"Insuffisant")</f>
        <v>Excellent</v>
      </c>
      <c r="M873" t="str">
        <f t="shared" si="46"/>
        <v>RAS</v>
      </c>
      <c r="N873" t="str">
        <f t="shared" si="47"/>
        <v>Data</v>
      </c>
    </row>
    <row r="874" spans="1:14" x14ac:dyDescent="0.45">
      <c r="A874" t="s">
        <v>1197</v>
      </c>
      <c r="B874" t="s">
        <v>1198</v>
      </c>
      <c r="E874" t="s">
        <v>21</v>
      </c>
      <c r="F874">
        <v>12.59</v>
      </c>
      <c r="H874">
        <v>11.96</v>
      </c>
      <c r="J874">
        <v>0.92959999999999998</v>
      </c>
      <c r="K874" t="str">
        <f t="shared" si="45"/>
        <v>Admis sous condition</v>
      </c>
      <c r="L874" t="str" cm="1">
        <f t="array" ref="L874">_xlfn.IFS(H874&gt;=16,"Excellent",
               H874&gt;=14,"Très bien",
               H874&gt;=12,"Bien",
               H874&gt;=10,"Passable",
               TRUE,"Insuffisant")</f>
        <v>Passable</v>
      </c>
      <c r="M874" t="str">
        <f t="shared" si="46"/>
        <v>RAS</v>
      </c>
      <c r="N874" t="str">
        <f t="shared" si="47"/>
        <v>Autre filière</v>
      </c>
    </row>
    <row r="875" spans="1:14" x14ac:dyDescent="0.45">
      <c r="A875" t="s">
        <v>1199</v>
      </c>
      <c r="B875" t="s">
        <v>731</v>
      </c>
      <c r="E875" t="s">
        <v>21</v>
      </c>
      <c r="F875">
        <v>11.64</v>
      </c>
      <c r="H875">
        <v>10.46</v>
      </c>
      <c r="J875">
        <v>0.6784</v>
      </c>
      <c r="K875" t="str">
        <f t="shared" si="45"/>
        <v>Admis sous condition</v>
      </c>
      <c r="L875" t="str" cm="1">
        <f t="array" ref="L875">_xlfn.IFS(H875&gt;=16,"Excellent",
               H875&gt;=14,"Très bien",
               H875&gt;=12,"Bien",
               H875&gt;=10,"Passable",
               TRUE,"Insuffisant")</f>
        <v>Passable</v>
      </c>
      <c r="M875" t="str">
        <f t="shared" si="46"/>
        <v>A surveiller</v>
      </c>
      <c r="N875" t="str">
        <f t="shared" si="47"/>
        <v>Autre filière</v>
      </c>
    </row>
    <row r="876" spans="1:14" x14ac:dyDescent="0.45">
      <c r="A876" t="s">
        <v>1200</v>
      </c>
      <c r="B876" t="s">
        <v>311</v>
      </c>
      <c r="E876" t="s">
        <v>21</v>
      </c>
      <c r="F876">
        <v>16.04</v>
      </c>
      <c r="H876">
        <v>13.87</v>
      </c>
      <c r="J876">
        <v>0.68859999999999999</v>
      </c>
      <c r="K876" t="str">
        <f t="shared" si="45"/>
        <v>Admis sous condition</v>
      </c>
      <c r="L876" t="str" cm="1">
        <f t="array" ref="L876">_xlfn.IFS(H876&gt;=16,"Excellent",
               H876&gt;=14,"Très bien",
               H876&gt;=12,"Bien",
               H876&gt;=10,"Passable",
               TRUE,"Insuffisant")</f>
        <v>Bien</v>
      </c>
      <c r="M876" t="str">
        <f t="shared" si="46"/>
        <v>A surveiller</v>
      </c>
      <c r="N876" t="str">
        <f t="shared" si="47"/>
        <v>Autre filière</v>
      </c>
    </row>
    <row r="877" spans="1:14" x14ac:dyDescent="0.45">
      <c r="A877" t="s">
        <v>1201</v>
      </c>
      <c r="B877" t="s">
        <v>771</v>
      </c>
      <c r="E877" t="s">
        <v>29</v>
      </c>
      <c r="F877">
        <v>14.02</v>
      </c>
      <c r="H877">
        <v>20</v>
      </c>
      <c r="J877">
        <v>0.92969999999999997</v>
      </c>
      <c r="K877" t="str">
        <f t="shared" si="45"/>
        <v>Admis</v>
      </c>
      <c r="L877" t="str" cm="1">
        <f t="array" ref="L877">_xlfn.IFS(H877&gt;=16,"Excellent",
               H877&gt;=14,"Très bien",
               H877&gt;=12,"Bien",
               H877&gt;=10,"Passable",
               TRUE,"Insuffisant")</f>
        <v>Excellent</v>
      </c>
      <c r="M877" t="str">
        <f t="shared" si="46"/>
        <v>RAS</v>
      </c>
      <c r="N877" t="str">
        <f t="shared" si="47"/>
        <v>Autre filière</v>
      </c>
    </row>
    <row r="878" spans="1:14" x14ac:dyDescent="0.45">
      <c r="A878" t="s">
        <v>1202</v>
      </c>
      <c r="B878" t="s">
        <v>49</v>
      </c>
      <c r="E878" t="s">
        <v>16</v>
      </c>
      <c r="F878">
        <v>10.08</v>
      </c>
      <c r="H878">
        <v>8.74</v>
      </c>
      <c r="J878">
        <v>0.97289999999999999</v>
      </c>
      <c r="K878" t="str">
        <f t="shared" si="45"/>
        <v>Refusé</v>
      </c>
      <c r="L878" t="str" cm="1">
        <f t="array" ref="L878">_xlfn.IFS(H878&gt;=16,"Excellent",
               H878&gt;=14,"Très bien",
               H878&gt;=12,"Bien",
               H878&gt;=10,"Passable",
               TRUE,"Insuffisant")</f>
        <v>Insuffisant</v>
      </c>
      <c r="M878" t="str">
        <f t="shared" si="46"/>
        <v>A surveiller</v>
      </c>
      <c r="N878" t="str">
        <f t="shared" si="47"/>
        <v>Data</v>
      </c>
    </row>
    <row r="879" spans="1:14" x14ac:dyDescent="0.45">
      <c r="A879" t="s">
        <v>1203</v>
      </c>
      <c r="B879" t="s">
        <v>436</v>
      </c>
      <c r="E879" t="s">
        <v>29</v>
      </c>
      <c r="F879">
        <v>11.69</v>
      </c>
      <c r="H879">
        <v>10.88</v>
      </c>
      <c r="J879">
        <v>0.82310000000000005</v>
      </c>
      <c r="K879" t="str">
        <f t="shared" si="45"/>
        <v>Admis sous condition</v>
      </c>
      <c r="L879" t="str" cm="1">
        <f t="array" ref="L879">_xlfn.IFS(H879&gt;=16,"Excellent",
               H879&gt;=14,"Très bien",
               H879&gt;=12,"Bien",
               H879&gt;=10,"Passable",
               TRUE,"Insuffisant")</f>
        <v>Passable</v>
      </c>
      <c r="M879" t="str">
        <f t="shared" si="46"/>
        <v>RAS</v>
      </c>
      <c r="N879" t="str">
        <f t="shared" si="47"/>
        <v>Autre filière</v>
      </c>
    </row>
    <row r="880" spans="1:14" x14ac:dyDescent="0.45">
      <c r="A880" t="s">
        <v>1204</v>
      </c>
      <c r="B880" t="s">
        <v>18</v>
      </c>
      <c r="E880" t="s">
        <v>29</v>
      </c>
      <c r="F880">
        <v>6.81</v>
      </c>
      <c r="H880">
        <v>4.55</v>
      </c>
      <c r="J880">
        <v>0.77610000000000001</v>
      </c>
      <c r="K880" t="str">
        <f t="shared" si="45"/>
        <v>Refusé</v>
      </c>
      <c r="L880" t="str" cm="1">
        <f t="array" ref="L880">_xlfn.IFS(H880&gt;=16,"Excellent",
               H880&gt;=14,"Très bien",
               H880&gt;=12,"Bien",
               H880&gt;=10,"Passable",
               TRUE,"Insuffisant")</f>
        <v>Insuffisant</v>
      </c>
      <c r="M880" t="str">
        <f t="shared" si="46"/>
        <v>A surveiller</v>
      </c>
      <c r="N880" t="str">
        <f t="shared" si="47"/>
        <v>Autre filière</v>
      </c>
    </row>
    <row r="881" spans="1:14" x14ac:dyDescent="0.45">
      <c r="A881" t="s">
        <v>1205</v>
      </c>
      <c r="B881" t="s">
        <v>121</v>
      </c>
      <c r="E881" t="s">
        <v>21</v>
      </c>
      <c r="F881">
        <v>12.65</v>
      </c>
      <c r="H881">
        <v>17.14</v>
      </c>
      <c r="J881">
        <v>0.94079999999999997</v>
      </c>
      <c r="K881" t="str">
        <f t="shared" si="45"/>
        <v>Admis</v>
      </c>
      <c r="L881" t="str" cm="1">
        <f t="array" ref="L881">_xlfn.IFS(H881&gt;=16,"Excellent",
               H881&gt;=14,"Très bien",
               H881&gt;=12,"Bien",
               H881&gt;=10,"Passable",
               TRUE,"Insuffisant")</f>
        <v>Excellent</v>
      </c>
      <c r="M881" t="str">
        <f t="shared" si="46"/>
        <v>RAS</v>
      </c>
      <c r="N881" t="str">
        <f t="shared" si="47"/>
        <v>Autre filière</v>
      </c>
    </row>
    <row r="882" spans="1:14" x14ac:dyDescent="0.45">
      <c r="A882" t="s">
        <v>1206</v>
      </c>
      <c r="B882" t="s">
        <v>601</v>
      </c>
      <c r="E882" t="s">
        <v>42</v>
      </c>
      <c r="F882">
        <v>10.42</v>
      </c>
      <c r="H882">
        <v>9.52</v>
      </c>
      <c r="J882">
        <v>0.65229999999999999</v>
      </c>
      <c r="K882" t="str">
        <f t="shared" si="45"/>
        <v>Refusé</v>
      </c>
      <c r="L882" t="str" cm="1">
        <f t="array" ref="L882">_xlfn.IFS(H882&gt;=16,"Excellent",
               H882&gt;=14,"Très bien",
               H882&gt;=12,"Bien",
               H882&gt;=10,"Passable",
               TRUE,"Insuffisant")</f>
        <v>Insuffisant</v>
      </c>
      <c r="M882" t="str">
        <f t="shared" si="46"/>
        <v>A surveiller</v>
      </c>
      <c r="N882" t="str">
        <f t="shared" si="47"/>
        <v>Autre filière</v>
      </c>
    </row>
    <row r="883" spans="1:14" x14ac:dyDescent="0.45">
      <c r="A883" t="s">
        <v>1207</v>
      </c>
      <c r="B883" t="s">
        <v>79</v>
      </c>
      <c r="E883" t="s">
        <v>21</v>
      </c>
      <c r="F883">
        <v>13.62</v>
      </c>
      <c r="H883">
        <v>14.93</v>
      </c>
      <c r="J883">
        <v>0.55000000000000004</v>
      </c>
      <c r="K883" t="str">
        <f t="shared" si="45"/>
        <v>Admis sous condition</v>
      </c>
      <c r="L883" t="str" cm="1">
        <f t="array" ref="L883">_xlfn.IFS(H883&gt;=16,"Excellent",
               H883&gt;=14,"Très bien",
               H883&gt;=12,"Bien",
               H883&gt;=10,"Passable",
               TRUE,"Insuffisant")</f>
        <v>Très bien</v>
      </c>
      <c r="M883" t="str">
        <f t="shared" si="46"/>
        <v>A surveiller</v>
      </c>
      <c r="N883" t="str">
        <f t="shared" si="47"/>
        <v>Autre filière</v>
      </c>
    </row>
    <row r="884" spans="1:14" x14ac:dyDescent="0.45">
      <c r="A884" t="s">
        <v>1208</v>
      </c>
      <c r="B884" t="s">
        <v>827</v>
      </c>
      <c r="E884" t="s">
        <v>21</v>
      </c>
      <c r="F884">
        <v>15.32</v>
      </c>
      <c r="H884">
        <v>15.28</v>
      </c>
      <c r="J884">
        <v>0.61939999999999995</v>
      </c>
      <c r="K884" t="str">
        <f t="shared" si="45"/>
        <v>Admis sous condition</v>
      </c>
      <c r="L884" t="str" cm="1">
        <f t="array" ref="L884">_xlfn.IFS(H884&gt;=16,"Excellent",
               H884&gt;=14,"Très bien",
               H884&gt;=12,"Bien",
               H884&gt;=10,"Passable",
               TRUE,"Insuffisant")</f>
        <v>Très bien</v>
      </c>
      <c r="M884" t="str">
        <f t="shared" si="46"/>
        <v>A surveiller</v>
      </c>
      <c r="N884" t="str">
        <f t="shared" si="47"/>
        <v>Autre filière</v>
      </c>
    </row>
    <row r="885" spans="1:14" x14ac:dyDescent="0.45">
      <c r="A885" t="s">
        <v>1209</v>
      </c>
      <c r="B885" t="s">
        <v>366</v>
      </c>
      <c r="E885" t="s">
        <v>42</v>
      </c>
      <c r="F885">
        <v>13.85</v>
      </c>
      <c r="H885">
        <v>13.25</v>
      </c>
      <c r="J885">
        <v>0.72609999999999997</v>
      </c>
      <c r="K885" t="str">
        <f t="shared" si="45"/>
        <v>Admis sous condition</v>
      </c>
      <c r="L885" t="str" cm="1">
        <f t="array" ref="L885">_xlfn.IFS(H885&gt;=16,"Excellent",
               H885&gt;=14,"Très bien",
               H885&gt;=12,"Bien",
               H885&gt;=10,"Passable",
               TRUE,"Insuffisant")</f>
        <v>Bien</v>
      </c>
      <c r="M885" t="str">
        <f t="shared" si="46"/>
        <v>RAS</v>
      </c>
      <c r="N885" t="str">
        <f t="shared" si="47"/>
        <v>Autre filière</v>
      </c>
    </row>
    <row r="886" spans="1:14" x14ac:dyDescent="0.45">
      <c r="A886" t="s">
        <v>1210</v>
      </c>
      <c r="B886" t="s">
        <v>1028</v>
      </c>
      <c r="E886" t="s">
        <v>16</v>
      </c>
      <c r="F886">
        <v>13.13</v>
      </c>
      <c r="H886">
        <v>15.82</v>
      </c>
      <c r="J886">
        <v>0.76170000000000004</v>
      </c>
      <c r="K886" t="str">
        <f t="shared" si="45"/>
        <v>Admis sous condition</v>
      </c>
      <c r="L886" t="str" cm="1">
        <f t="array" ref="L886">_xlfn.IFS(H886&gt;=16,"Excellent",
               H886&gt;=14,"Très bien",
               H886&gt;=12,"Bien",
               H886&gt;=10,"Passable",
               TRUE,"Insuffisant")</f>
        <v>Très bien</v>
      </c>
      <c r="M886" t="str">
        <f t="shared" si="46"/>
        <v>RAS</v>
      </c>
      <c r="N886" t="str">
        <f t="shared" si="47"/>
        <v>Data</v>
      </c>
    </row>
    <row r="887" spans="1:14" x14ac:dyDescent="0.45">
      <c r="A887" t="s">
        <v>1211</v>
      </c>
      <c r="B887" t="s">
        <v>714</v>
      </c>
      <c r="E887" t="s">
        <v>16</v>
      </c>
      <c r="F887">
        <v>9.74</v>
      </c>
      <c r="H887">
        <v>11.87</v>
      </c>
      <c r="J887">
        <v>0.66259999999999997</v>
      </c>
      <c r="K887" t="str">
        <f t="shared" si="45"/>
        <v>Refusé</v>
      </c>
      <c r="L887" t="str" cm="1">
        <f t="array" ref="L887">_xlfn.IFS(H887&gt;=16,"Excellent",
               H887&gt;=14,"Très bien",
               H887&gt;=12,"Bien",
               H887&gt;=10,"Passable",
               TRUE,"Insuffisant")</f>
        <v>Passable</v>
      </c>
      <c r="M887" t="str">
        <f t="shared" si="46"/>
        <v>A surveiller</v>
      </c>
      <c r="N887" t="str">
        <f t="shared" si="47"/>
        <v>Data</v>
      </c>
    </row>
    <row r="888" spans="1:14" x14ac:dyDescent="0.45">
      <c r="A888" t="s">
        <v>1212</v>
      </c>
      <c r="B888" t="s">
        <v>556</v>
      </c>
      <c r="E888" t="s">
        <v>16</v>
      </c>
      <c r="F888">
        <v>19.73</v>
      </c>
      <c r="H888">
        <v>17.98</v>
      </c>
      <c r="J888">
        <v>0.90469999999999995</v>
      </c>
      <c r="K888" t="str">
        <f t="shared" si="45"/>
        <v>Admis</v>
      </c>
      <c r="L888" t="str" cm="1">
        <f t="array" ref="L888">_xlfn.IFS(H888&gt;=16,"Excellent",
               H888&gt;=14,"Très bien",
               H888&gt;=12,"Bien",
               H888&gt;=10,"Passable",
               TRUE,"Insuffisant")</f>
        <v>Excellent</v>
      </c>
      <c r="M888" t="str">
        <f t="shared" si="46"/>
        <v>RAS</v>
      </c>
      <c r="N888" t="str">
        <f t="shared" si="47"/>
        <v>Data</v>
      </c>
    </row>
    <row r="889" spans="1:14" x14ac:dyDescent="0.45">
      <c r="A889" t="s">
        <v>1213</v>
      </c>
      <c r="B889" t="s">
        <v>712</v>
      </c>
      <c r="E889" t="s">
        <v>42</v>
      </c>
      <c r="F889">
        <v>13.5</v>
      </c>
      <c r="H889">
        <v>13.36</v>
      </c>
      <c r="J889">
        <v>0.84689999999999999</v>
      </c>
      <c r="K889" t="str">
        <f t="shared" si="45"/>
        <v>Admis</v>
      </c>
      <c r="L889" t="str" cm="1">
        <f t="array" ref="L889">_xlfn.IFS(H889&gt;=16,"Excellent",
               H889&gt;=14,"Très bien",
               H889&gt;=12,"Bien",
               H889&gt;=10,"Passable",
               TRUE,"Insuffisant")</f>
        <v>Bien</v>
      </c>
      <c r="M889" t="str">
        <f t="shared" si="46"/>
        <v>RAS</v>
      </c>
      <c r="N889" t="str">
        <f t="shared" si="47"/>
        <v>Autre filière</v>
      </c>
    </row>
    <row r="890" spans="1:14" x14ac:dyDescent="0.45">
      <c r="A890" t="s">
        <v>1214</v>
      </c>
      <c r="B890" t="s">
        <v>319</v>
      </c>
      <c r="E890" t="s">
        <v>16</v>
      </c>
      <c r="F890">
        <v>10.31</v>
      </c>
      <c r="H890">
        <v>13.47</v>
      </c>
      <c r="J890">
        <v>0.82040000000000002</v>
      </c>
      <c r="K890" t="str">
        <f t="shared" si="45"/>
        <v>Admis sous condition</v>
      </c>
      <c r="L890" t="str" cm="1">
        <f t="array" ref="L890">_xlfn.IFS(H890&gt;=16,"Excellent",
               H890&gt;=14,"Très bien",
               H890&gt;=12,"Bien",
               H890&gt;=10,"Passable",
               TRUE,"Insuffisant")</f>
        <v>Bien</v>
      </c>
      <c r="M890" t="str">
        <f t="shared" si="46"/>
        <v>RAS</v>
      </c>
      <c r="N890" t="str">
        <f t="shared" si="47"/>
        <v>Data</v>
      </c>
    </row>
    <row r="891" spans="1:14" x14ac:dyDescent="0.45">
      <c r="A891" t="s">
        <v>1215</v>
      </c>
      <c r="B891" t="s">
        <v>59</v>
      </c>
      <c r="E891" t="s">
        <v>21</v>
      </c>
      <c r="F891">
        <v>12.88</v>
      </c>
      <c r="H891">
        <v>12.37</v>
      </c>
      <c r="J891">
        <v>0.73619999999999997</v>
      </c>
      <c r="K891" t="str">
        <f t="shared" si="45"/>
        <v>Admis sous condition</v>
      </c>
      <c r="L891" t="str" cm="1">
        <f t="array" ref="L891">_xlfn.IFS(H891&gt;=16,"Excellent",
               H891&gt;=14,"Très bien",
               H891&gt;=12,"Bien",
               H891&gt;=10,"Passable",
               TRUE,"Insuffisant")</f>
        <v>Bien</v>
      </c>
      <c r="M891" t="str">
        <f t="shared" si="46"/>
        <v>RAS</v>
      </c>
      <c r="N891" t="str">
        <f t="shared" si="47"/>
        <v>Autre filière</v>
      </c>
    </row>
    <row r="892" spans="1:14" x14ac:dyDescent="0.45">
      <c r="A892" t="s">
        <v>1216</v>
      </c>
      <c r="B892" t="s">
        <v>172</v>
      </c>
      <c r="E892" t="s">
        <v>16</v>
      </c>
      <c r="F892">
        <v>16.57</v>
      </c>
      <c r="H892">
        <v>17.39</v>
      </c>
      <c r="J892">
        <v>0.80800000000000005</v>
      </c>
      <c r="K892" t="str">
        <f t="shared" si="45"/>
        <v>Admis</v>
      </c>
      <c r="L892" t="str" cm="1">
        <f t="array" ref="L892">_xlfn.IFS(H892&gt;=16,"Excellent",
               H892&gt;=14,"Très bien",
               H892&gt;=12,"Bien",
               H892&gt;=10,"Passable",
               TRUE,"Insuffisant")</f>
        <v>Excellent</v>
      </c>
      <c r="M892" t="str">
        <f t="shared" si="46"/>
        <v>RAS</v>
      </c>
      <c r="N892" t="str">
        <f t="shared" si="47"/>
        <v>Data</v>
      </c>
    </row>
    <row r="893" spans="1:14" x14ac:dyDescent="0.45">
      <c r="A893" t="s">
        <v>1217</v>
      </c>
      <c r="B893" t="s">
        <v>44</v>
      </c>
      <c r="E893" t="s">
        <v>21</v>
      </c>
      <c r="F893">
        <v>13.75</v>
      </c>
      <c r="H893">
        <v>13.79</v>
      </c>
      <c r="J893">
        <v>0.62170000000000003</v>
      </c>
      <c r="K893" t="str">
        <f t="shared" si="45"/>
        <v>Admis sous condition</v>
      </c>
      <c r="L893" t="str" cm="1">
        <f t="array" ref="L893">_xlfn.IFS(H893&gt;=16,"Excellent",
               H893&gt;=14,"Très bien",
               H893&gt;=12,"Bien",
               H893&gt;=10,"Passable",
               TRUE,"Insuffisant")</f>
        <v>Bien</v>
      </c>
      <c r="M893" t="str">
        <f t="shared" si="46"/>
        <v>A surveiller</v>
      </c>
      <c r="N893" t="str">
        <f t="shared" si="47"/>
        <v>Autre filière</v>
      </c>
    </row>
    <row r="894" spans="1:14" x14ac:dyDescent="0.45">
      <c r="A894" t="s">
        <v>1218</v>
      </c>
      <c r="B894" t="s">
        <v>254</v>
      </c>
      <c r="E894" t="s">
        <v>42</v>
      </c>
      <c r="F894">
        <v>9.5500000000000007</v>
      </c>
      <c r="H894">
        <v>9.9</v>
      </c>
      <c r="J894">
        <v>0.85919999999999996</v>
      </c>
      <c r="K894" t="str">
        <f t="shared" si="45"/>
        <v>Refusé</v>
      </c>
      <c r="L894" t="str" cm="1">
        <f t="array" ref="L894">_xlfn.IFS(H894&gt;=16,"Excellent",
               H894&gt;=14,"Très bien",
               H894&gt;=12,"Bien",
               H894&gt;=10,"Passable",
               TRUE,"Insuffisant")</f>
        <v>Insuffisant</v>
      </c>
      <c r="M894" t="str">
        <f t="shared" si="46"/>
        <v>A surveiller</v>
      </c>
      <c r="N894" t="str">
        <f t="shared" si="47"/>
        <v>Autre filière</v>
      </c>
    </row>
    <row r="895" spans="1:14" x14ac:dyDescent="0.45">
      <c r="A895" t="s">
        <v>1219</v>
      </c>
      <c r="B895" t="s">
        <v>46</v>
      </c>
      <c r="E895" t="s">
        <v>16</v>
      </c>
      <c r="F895">
        <v>15.25</v>
      </c>
      <c r="H895">
        <v>13.17</v>
      </c>
      <c r="J895">
        <v>0.87939999999999996</v>
      </c>
      <c r="K895" t="str">
        <f t="shared" si="45"/>
        <v>Admis</v>
      </c>
      <c r="L895" t="str" cm="1">
        <f t="array" ref="L895">_xlfn.IFS(H895&gt;=16,"Excellent",
               H895&gt;=14,"Très bien",
               H895&gt;=12,"Bien",
               H895&gt;=10,"Passable",
               TRUE,"Insuffisant")</f>
        <v>Bien</v>
      </c>
      <c r="M895" t="str">
        <f t="shared" si="46"/>
        <v>RAS</v>
      </c>
      <c r="N895" t="str">
        <f t="shared" si="47"/>
        <v>Data</v>
      </c>
    </row>
    <row r="896" spans="1:14" x14ac:dyDescent="0.45">
      <c r="A896" t="s">
        <v>1220</v>
      </c>
      <c r="B896" t="s">
        <v>579</v>
      </c>
      <c r="E896" t="s">
        <v>16</v>
      </c>
      <c r="F896">
        <v>10.85</v>
      </c>
      <c r="H896">
        <v>11.21</v>
      </c>
      <c r="J896">
        <v>0.89259999999999995</v>
      </c>
      <c r="K896" t="str">
        <f t="shared" si="45"/>
        <v>Admis sous condition</v>
      </c>
      <c r="L896" t="str" cm="1">
        <f t="array" ref="L896">_xlfn.IFS(H896&gt;=16,"Excellent",
               H896&gt;=14,"Très bien",
               H896&gt;=12,"Bien",
               H896&gt;=10,"Passable",
               TRUE,"Insuffisant")</f>
        <v>Passable</v>
      </c>
      <c r="M896" t="str">
        <f t="shared" si="46"/>
        <v>RAS</v>
      </c>
      <c r="N896" t="str">
        <f t="shared" si="47"/>
        <v>Data</v>
      </c>
    </row>
    <row r="897" spans="1:14" x14ac:dyDescent="0.45">
      <c r="A897" t="s">
        <v>1221</v>
      </c>
      <c r="B897" t="s">
        <v>617</v>
      </c>
      <c r="E897" t="s">
        <v>29</v>
      </c>
      <c r="F897">
        <v>12.27</v>
      </c>
      <c r="H897">
        <v>17.75</v>
      </c>
      <c r="J897">
        <v>0.78939999999999999</v>
      </c>
      <c r="K897" t="str">
        <f t="shared" si="45"/>
        <v>Admis sous condition</v>
      </c>
      <c r="L897" t="str" cm="1">
        <f t="array" ref="L897">_xlfn.IFS(H897&gt;=16,"Excellent",
               H897&gt;=14,"Très bien",
               H897&gt;=12,"Bien",
               H897&gt;=10,"Passable",
               TRUE,"Insuffisant")</f>
        <v>Excellent</v>
      </c>
      <c r="M897" t="str">
        <f t="shared" si="46"/>
        <v>RAS</v>
      </c>
      <c r="N897" t="str">
        <f t="shared" si="47"/>
        <v>Autre filière</v>
      </c>
    </row>
    <row r="898" spans="1:14" x14ac:dyDescent="0.45">
      <c r="A898" t="s">
        <v>1222</v>
      </c>
      <c r="B898" t="s">
        <v>123</v>
      </c>
      <c r="E898" t="s">
        <v>29</v>
      </c>
      <c r="F898">
        <v>20</v>
      </c>
      <c r="H898">
        <v>15.38</v>
      </c>
      <c r="J898">
        <v>0.94220000000000004</v>
      </c>
      <c r="K898" t="str">
        <f t="shared" si="45"/>
        <v>Admis</v>
      </c>
      <c r="L898" t="str" cm="1">
        <f t="array" ref="L898">_xlfn.IFS(H898&gt;=16,"Excellent",
               H898&gt;=14,"Très bien",
               H898&gt;=12,"Bien",
               H898&gt;=10,"Passable",
               TRUE,"Insuffisant")</f>
        <v>Très bien</v>
      </c>
      <c r="M898" t="str">
        <f t="shared" si="46"/>
        <v>RAS</v>
      </c>
      <c r="N898" t="str">
        <f t="shared" si="47"/>
        <v>Autre filière</v>
      </c>
    </row>
    <row r="899" spans="1:14" x14ac:dyDescent="0.45">
      <c r="A899" t="s">
        <v>1223</v>
      </c>
      <c r="B899" t="s">
        <v>69</v>
      </c>
      <c r="E899" t="s">
        <v>29</v>
      </c>
      <c r="F899">
        <v>13.99</v>
      </c>
      <c r="H899">
        <v>14.39</v>
      </c>
      <c r="J899">
        <v>0.90300000000000002</v>
      </c>
      <c r="K899" t="str">
        <f t="shared" si="45"/>
        <v>Admis</v>
      </c>
      <c r="L899" t="str" cm="1">
        <f t="array" ref="L899">_xlfn.IFS(H899&gt;=16,"Excellent",
               H899&gt;=14,"Très bien",
               H899&gt;=12,"Bien",
               H899&gt;=10,"Passable",
               TRUE,"Insuffisant")</f>
        <v>Très bien</v>
      </c>
      <c r="M899" t="str">
        <f t="shared" si="46"/>
        <v>RAS</v>
      </c>
      <c r="N899" t="str">
        <f t="shared" si="47"/>
        <v>Autre filière</v>
      </c>
    </row>
    <row r="900" spans="1:14" x14ac:dyDescent="0.45">
      <c r="A900" t="s">
        <v>1224</v>
      </c>
      <c r="B900" t="s">
        <v>94</v>
      </c>
      <c r="E900" t="s">
        <v>42</v>
      </c>
      <c r="F900">
        <v>15.22</v>
      </c>
      <c r="H900">
        <v>14.44</v>
      </c>
      <c r="J900">
        <v>0.92100000000000004</v>
      </c>
      <c r="K900" t="str">
        <f t="shared" si="45"/>
        <v>Admis</v>
      </c>
      <c r="L900" t="str" cm="1">
        <f t="array" ref="L900">_xlfn.IFS(H900&gt;=16,"Excellent",
               H900&gt;=14,"Très bien",
               H900&gt;=12,"Bien",
               H900&gt;=10,"Passable",
               TRUE,"Insuffisant")</f>
        <v>Très bien</v>
      </c>
      <c r="M900" t="str">
        <f t="shared" si="46"/>
        <v>RAS</v>
      </c>
      <c r="N900" t="str">
        <f t="shared" si="47"/>
        <v>Autre filière</v>
      </c>
    </row>
    <row r="901" spans="1:14" x14ac:dyDescent="0.45">
      <c r="A901" t="s">
        <v>1225</v>
      </c>
      <c r="B901" t="s">
        <v>1226</v>
      </c>
      <c r="E901" t="s">
        <v>16</v>
      </c>
      <c r="F901">
        <v>9.8800000000000008</v>
      </c>
      <c r="H901">
        <v>11.76</v>
      </c>
      <c r="J901">
        <v>0.85929999999999995</v>
      </c>
      <c r="K901" t="str">
        <f t="shared" si="45"/>
        <v>Refusé</v>
      </c>
      <c r="L901" t="str" cm="1">
        <f t="array" ref="L901">_xlfn.IFS(H901&gt;=16,"Excellent",
               H901&gt;=14,"Très bien",
               H901&gt;=12,"Bien",
               H901&gt;=10,"Passable",
               TRUE,"Insuffisant")</f>
        <v>Passable</v>
      </c>
      <c r="M901" t="str">
        <f t="shared" si="46"/>
        <v>A surveiller</v>
      </c>
      <c r="N901" t="str">
        <f t="shared" si="47"/>
        <v>Data</v>
      </c>
    </row>
    <row r="902" spans="1:14" x14ac:dyDescent="0.45">
      <c r="A902" t="s">
        <v>1227</v>
      </c>
      <c r="B902" t="s">
        <v>933</v>
      </c>
      <c r="E902" t="s">
        <v>16</v>
      </c>
      <c r="F902">
        <v>14.36</v>
      </c>
      <c r="H902">
        <v>15.32</v>
      </c>
      <c r="J902">
        <v>0.7581</v>
      </c>
      <c r="K902" t="str">
        <f t="shared" si="45"/>
        <v>Admis sous condition</v>
      </c>
      <c r="L902" t="str" cm="1">
        <f t="array" ref="L902">_xlfn.IFS(H902&gt;=16,"Excellent",
               H902&gt;=14,"Très bien",
               H902&gt;=12,"Bien",
               H902&gt;=10,"Passable",
               TRUE,"Insuffisant")</f>
        <v>Très bien</v>
      </c>
      <c r="M902" t="str">
        <f t="shared" si="46"/>
        <v>RAS</v>
      </c>
      <c r="N902" t="str">
        <f t="shared" si="47"/>
        <v>Data</v>
      </c>
    </row>
    <row r="903" spans="1:14" x14ac:dyDescent="0.45">
      <c r="A903" t="s">
        <v>1228</v>
      </c>
      <c r="B903" t="s">
        <v>314</v>
      </c>
      <c r="E903" t="s">
        <v>42</v>
      </c>
      <c r="F903">
        <v>10.98</v>
      </c>
      <c r="H903">
        <v>10.45</v>
      </c>
      <c r="J903">
        <v>0.92469999999999997</v>
      </c>
      <c r="K903" t="str">
        <f t="shared" si="45"/>
        <v>Admis sous condition</v>
      </c>
      <c r="L903" t="str" cm="1">
        <f t="array" ref="L903">_xlfn.IFS(H903&gt;=16,"Excellent",
               H903&gt;=14,"Très bien",
               H903&gt;=12,"Bien",
               H903&gt;=10,"Passable",
               TRUE,"Insuffisant")</f>
        <v>Passable</v>
      </c>
      <c r="M903" t="str">
        <f t="shared" si="46"/>
        <v>RAS</v>
      </c>
      <c r="N903" t="str">
        <f t="shared" si="47"/>
        <v>Autre filière</v>
      </c>
    </row>
    <row r="904" spans="1:14" x14ac:dyDescent="0.45">
      <c r="A904" t="s">
        <v>1229</v>
      </c>
      <c r="B904" t="s">
        <v>537</v>
      </c>
      <c r="E904" t="s">
        <v>21</v>
      </c>
      <c r="F904">
        <v>17.39</v>
      </c>
      <c r="H904">
        <v>19.52</v>
      </c>
      <c r="J904">
        <v>0.70069999999999999</v>
      </c>
      <c r="K904" t="str">
        <f t="shared" si="45"/>
        <v>Admis sous condition</v>
      </c>
      <c r="L904" t="str" cm="1">
        <f t="array" ref="L904">_xlfn.IFS(H904&gt;=16,"Excellent",
               H904&gt;=14,"Très bien",
               H904&gt;=12,"Bien",
               H904&gt;=10,"Passable",
               TRUE,"Insuffisant")</f>
        <v>Excellent</v>
      </c>
      <c r="M904" t="str">
        <f t="shared" si="46"/>
        <v>RAS</v>
      </c>
      <c r="N904" t="str">
        <f t="shared" si="47"/>
        <v>Autre filière</v>
      </c>
    </row>
    <row r="905" spans="1:14" x14ac:dyDescent="0.45">
      <c r="A905" t="s">
        <v>1230</v>
      </c>
      <c r="B905" t="s">
        <v>787</v>
      </c>
      <c r="E905" t="s">
        <v>29</v>
      </c>
      <c r="F905">
        <v>14.65</v>
      </c>
      <c r="H905">
        <v>18.47</v>
      </c>
      <c r="J905">
        <v>0.77449999999999997</v>
      </c>
      <c r="K905" t="str">
        <f t="shared" si="45"/>
        <v>Admis sous condition</v>
      </c>
      <c r="L905" t="str" cm="1">
        <f t="array" ref="L905">_xlfn.IFS(H905&gt;=16,"Excellent",
               H905&gt;=14,"Très bien",
               H905&gt;=12,"Bien",
               H905&gt;=10,"Passable",
               TRUE,"Insuffisant")</f>
        <v>Excellent</v>
      </c>
      <c r="M905" t="str">
        <f t="shared" si="46"/>
        <v>RAS</v>
      </c>
      <c r="N905" t="str">
        <f t="shared" si="47"/>
        <v>Autre filière</v>
      </c>
    </row>
    <row r="906" spans="1:14" x14ac:dyDescent="0.45">
      <c r="A906" t="s">
        <v>1231</v>
      </c>
      <c r="B906" t="s">
        <v>282</v>
      </c>
      <c r="E906" t="s">
        <v>21</v>
      </c>
      <c r="F906">
        <v>13.59</v>
      </c>
      <c r="H906">
        <v>12.73</v>
      </c>
      <c r="J906">
        <v>0.55000000000000004</v>
      </c>
      <c r="K906" t="str">
        <f t="shared" si="45"/>
        <v>Admis sous condition</v>
      </c>
      <c r="L906" t="str" cm="1">
        <f t="array" ref="L906">_xlfn.IFS(H906&gt;=16,"Excellent",
               H906&gt;=14,"Très bien",
               H906&gt;=12,"Bien",
               H906&gt;=10,"Passable",
               TRUE,"Insuffisant")</f>
        <v>Bien</v>
      </c>
      <c r="M906" t="str">
        <f t="shared" si="46"/>
        <v>A surveiller</v>
      </c>
      <c r="N906" t="str">
        <f t="shared" si="47"/>
        <v>Autre filière</v>
      </c>
    </row>
    <row r="907" spans="1:14" x14ac:dyDescent="0.45">
      <c r="A907" t="s">
        <v>1232</v>
      </c>
      <c r="B907" t="s">
        <v>465</v>
      </c>
      <c r="E907" t="s">
        <v>29</v>
      </c>
      <c r="F907">
        <v>10.34</v>
      </c>
      <c r="H907">
        <v>14.55</v>
      </c>
      <c r="J907">
        <v>0.84130000000000005</v>
      </c>
      <c r="K907" t="str">
        <f t="shared" si="45"/>
        <v>Admis sous condition</v>
      </c>
      <c r="L907" t="str" cm="1">
        <f t="array" ref="L907">_xlfn.IFS(H907&gt;=16,"Excellent",
               H907&gt;=14,"Très bien",
               H907&gt;=12,"Bien",
               H907&gt;=10,"Passable",
               TRUE,"Insuffisant")</f>
        <v>Très bien</v>
      </c>
      <c r="M907" t="str">
        <f t="shared" si="46"/>
        <v>RAS</v>
      </c>
      <c r="N907" t="str">
        <f t="shared" si="47"/>
        <v>Autre filière</v>
      </c>
    </row>
    <row r="908" spans="1:14" x14ac:dyDescent="0.45">
      <c r="A908" t="s">
        <v>1233</v>
      </c>
      <c r="B908" t="s">
        <v>115</v>
      </c>
      <c r="E908" t="s">
        <v>29</v>
      </c>
      <c r="F908">
        <v>9.16</v>
      </c>
      <c r="H908">
        <v>6</v>
      </c>
      <c r="J908">
        <v>0.92610000000000003</v>
      </c>
      <c r="K908" t="str">
        <f t="shared" si="45"/>
        <v>Refusé</v>
      </c>
      <c r="L908" t="str" cm="1">
        <f t="array" ref="L908">_xlfn.IFS(H908&gt;=16,"Excellent",
               H908&gt;=14,"Très bien",
               H908&gt;=12,"Bien",
               H908&gt;=10,"Passable",
               TRUE,"Insuffisant")</f>
        <v>Insuffisant</v>
      </c>
      <c r="M908" t="str">
        <f t="shared" si="46"/>
        <v>A surveiller</v>
      </c>
      <c r="N908" t="str">
        <f t="shared" si="47"/>
        <v>Autre filière</v>
      </c>
    </row>
    <row r="909" spans="1:14" x14ac:dyDescent="0.45">
      <c r="A909" t="s">
        <v>1234</v>
      </c>
      <c r="B909" t="s">
        <v>172</v>
      </c>
      <c r="E909" t="s">
        <v>16</v>
      </c>
      <c r="F909">
        <v>9.98</v>
      </c>
      <c r="H909">
        <v>5.09</v>
      </c>
      <c r="J909">
        <v>0.91759999999999997</v>
      </c>
      <c r="K909" t="str">
        <f t="shared" si="45"/>
        <v>Refusé</v>
      </c>
      <c r="L909" t="str" cm="1">
        <f t="array" ref="L909">_xlfn.IFS(H909&gt;=16,"Excellent",
               H909&gt;=14,"Très bien",
               H909&gt;=12,"Bien",
               H909&gt;=10,"Passable",
               TRUE,"Insuffisant")</f>
        <v>Insuffisant</v>
      </c>
      <c r="M909" t="str">
        <f t="shared" si="46"/>
        <v>A surveiller</v>
      </c>
      <c r="N909" t="str">
        <f t="shared" si="47"/>
        <v>Data</v>
      </c>
    </row>
    <row r="910" spans="1:14" x14ac:dyDescent="0.45">
      <c r="A910" t="s">
        <v>1235</v>
      </c>
      <c r="B910" t="s">
        <v>67</v>
      </c>
      <c r="E910" t="s">
        <v>29</v>
      </c>
      <c r="F910">
        <v>11.2</v>
      </c>
      <c r="H910">
        <v>7.7</v>
      </c>
      <c r="J910">
        <v>0.64249999999999996</v>
      </c>
      <c r="K910" t="str">
        <f t="shared" si="45"/>
        <v>Refusé</v>
      </c>
      <c r="L910" t="str" cm="1">
        <f t="array" ref="L910">_xlfn.IFS(H910&gt;=16,"Excellent",
               H910&gt;=14,"Très bien",
               H910&gt;=12,"Bien",
               H910&gt;=10,"Passable",
               TRUE,"Insuffisant")</f>
        <v>Insuffisant</v>
      </c>
      <c r="M910" t="str">
        <f t="shared" si="46"/>
        <v>A surveiller</v>
      </c>
      <c r="N910" t="str">
        <f t="shared" si="47"/>
        <v>Autre filière</v>
      </c>
    </row>
    <row r="911" spans="1:14" x14ac:dyDescent="0.45">
      <c r="A911" t="s">
        <v>1236</v>
      </c>
      <c r="B911" t="s">
        <v>643</v>
      </c>
      <c r="E911" t="s">
        <v>29</v>
      </c>
      <c r="F911">
        <v>11.39</v>
      </c>
      <c r="H911">
        <v>12.71</v>
      </c>
      <c r="J911">
        <v>0.88639999999999997</v>
      </c>
      <c r="K911" t="str">
        <f t="shared" si="45"/>
        <v>Admis sous condition</v>
      </c>
      <c r="L911" t="str" cm="1">
        <f t="array" ref="L911">_xlfn.IFS(H911&gt;=16,"Excellent",
               H911&gt;=14,"Très bien",
               H911&gt;=12,"Bien",
               H911&gt;=10,"Passable",
               TRUE,"Insuffisant")</f>
        <v>Bien</v>
      </c>
      <c r="M911" t="str">
        <f t="shared" si="46"/>
        <v>RAS</v>
      </c>
      <c r="N911" t="str">
        <f t="shared" si="47"/>
        <v>Autre filière</v>
      </c>
    </row>
    <row r="912" spans="1:14" x14ac:dyDescent="0.45">
      <c r="A912" t="s">
        <v>1237</v>
      </c>
      <c r="B912" t="s">
        <v>605</v>
      </c>
      <c r="E912" t="s">
        <v>42</v>
      </c>
      <c r="F912">
        <v>15.67</v>
      </c>
      <c r="H912">
        <v>18.239999999999998</v>
      </c>
      <c r="J912">
        <v>0.95789999999999997</v>
      </c>
      <c r="K912" t="str">
        <f t="shared" si="45"/>
        <v>Admis</v>
      </c>
      <c r="L912" t="str" cm="1">
        <f t="array" ref="L912">_xlfn.IFS(H912&gt;=16,"Excellent",
               H912&gt;=14,"Très bien",
               H912&gt;=12,"Bien",
               H912&gt;=10,"Passable",
               TRUE,"Insuffisant")</f>
        <v>Excellent</v>
      </c>
      <c r="M912" t="str">
        <f t="shared" si="46"/>
        <v>RAS</v>
      </c>
      <c r="N912" t="str">
        <f t="shared" si="47"/>
        <v>Autre filière</v>
      </c>
    </row>
    <row r="913" spans="1:14" x14ac:dyDescent="0.45">
      <c r="A913" t="s">
        <v>1238</v>
      </c>
      <c r="B913" t="s">
        <v>1239</v>
      </c>
      <c r="E913" t="s">
        <v>16</v>
      </c>
      <c r="F913">
        <v>13.21</v>
      </c>
      <c r="H913">
        <v>18.14</v>
      </c>
      <c r="J913">
        <v>0.85370000000000001</v>
      </c>
      <c r="K913" t="str">
        <f t="shared" si="45"/>
        <v>Admis</v>
      </c>
      <c r="L913" t="str" cm="1">
        <f t="array" ref="L913">_xlfn.IFS(H913&gt;=16,"Excellent",
               H913&gt;=14,"Très bien",
               H913&gt;=12,"Bien",
               H913&gt;=10,"Passable",
               TRUE,"Insuffisant")</f>
        <v>Excellent</v>
      </c>
      <c r="M913" t="str">
        <f t="shared" si="46"/>
        <v>RAS</v>
      </c>
      <c r="N913" t="str">
        <f t="shared" si="47"/>
        <v>Data</v>
      </c>
    </row>
    <row r="914" spans="1:14" x14ac:dyDescent="0.45">
      <c r="A914" t="s">
        <v>1240</v>
      </c>
      <c r="B914" t="s">
        <v>486</v>
      </c>
      <c r="E914" t="s">
        <v>16</v>
      </c>
      <c r="F914">
        <v>6.55</v>
      </c>
      <c r="H914">
        <v>11.17</v>
      </c>
      <c r="J914">
        <v>0.82720000000000005</v>
      </c>
      <c r="K914" t="str">
        <f t="shared" si="45"/>
        <v>Refusé</v>
      </c>
      <c r="L914" t="str" cm="1">
        <f t="array" ref="L914">_xlfn.IFS(H914&gt;=16,"Excellent",
               H914&gt;=14,"Très bien",
               H914&gt;=12,"Bien",
               H914&gt;=10,"Passable",
               TRUE,"Insuffisant")</f>
        <v>Passable</v>
      </c>
      <c r="M914" t="str">
        <f t="shared" si="46"/>
        <v>A surveiller</v>
      </c>
      <c r="N914" t="str">
        <f t="shared" si="47"/>
        <v>Data</v>
      </c>
    </row>
    <row r="915" spans="1:14" x14ac:dyDescent="0.45">
      <c r="A915" t="s">
        <v>1241</v>
      </c>
      <c r="B915" t="s">
        <v>207</v>
      </c>
      <c r="E915" t="s">
        <v>29</v>
      </c>
      <c r="F915">
        <v>13.74</v>
      </c>
      <c r="H915">
        <v>13.23</v>
      </c>
      <c r="J915">
        <v>0.90839999999999999</v>
      </c>
      <c r="K915" t="str">
        <f t="shared" si="45"/>
        <v>Admis</v>
      </c>
      <c r="L915" t="str" cm="1">
        <f t="array" ref="L915">_xlfn.IFS(H915&gt;=16,"Excellent",
               H915&gt;=14,"Très bien",
               H915&gt;=12,"Bien",
               H915&gt;=10,"Passable",
               TRUE,"Insuffisant")</f>
        <v>Bien</v>
      </c>
      <c r="M915" t="str">
        <f t="shared" si="46"/>
        <v>RAS</v>
      </c>
      <c r="N915" t="str">
        <f t="shared" si="47"/>
        <v>Autre filière</v>
      </c>
    </row>
    <row r="916" spans="1:14" x14ac:dyDescent="0.45">
      <c r="A916" t="s">
        <v>1242</v>
      </c>
      <c r="B916" t="s">
        <v>1226</v>
      </c>
      <c r="E916" t="s">
        <v>16</v>
      </c>
      <c r="F916">
        <v>13.93</v>
      </c>
      <c r="H916">
        <v>18.559999999999999</v>
      </c>
      <c r="J916">
        <v>0.81840000000000002</v>
      </c>
      <c r="K916" t="str">
        <f t="shared" si="45"/>
        <v>Admis</v>
      </c>
      <c r="L916" t="str" cm="1">
        <f t="array" ref="L916">_xlfn.IFS(H916&gt;=16,"Excellent",
               H916&gt;=14,"Très bien",
               H916&gt;=12,"Bien",
               H916&gt;=10,"Passable",
               TRUE,"Insuffisant")</f>
        <v>Excellent</v>
      </c>
      <c r="M916" t="str">
        <f t="shared" si="46"/>
        <v>RAS</v>
      </c>
      <c r="N916" t="str">
        <f t="shared" si="47"/>
        <v>Data</v>
      </c>
    </row>
    <row r="917" spans="1:14" x14ac:dyDescent="0.45">
      <c r="A917" t="s">
        <v>1243</v>
      </c>
      <c r="B917" t="s">
        <v>41</v>
      </c>
      <c r="E917" t="s">
        <v>16</v>
      </c>
      <c r="F917">
        <v>10.61</v>
      </c>
      <c r="H917">
        <v>12.45</v>
      </c>
      <c r="J917">
        <v>0.65190000000000003</v>
      </c>
      <c r="K917" t="str">
        <f t="shared" si="45"/>
        <v>Admis sous condition</v>
      </c>
      <c r="L917" t="str" cm="1">
        <f t="array" ref="L917">_xlfn.IFS(H917&gt;=16,"Excellent",
               H917&gt;=14,"Très bien",
               H917&gt;=12,"Bien",
               H917&gt;=10,"Passable",
               TRUE,"Insuffisant")</f>
        <v>Bien</v>
      </c>
      <c r="M917" t="str">
        <f t="shared" si="46"/>
        <v>A surveiller</v>
      </c>
      <c r="N917" t="str">
        <f t="shared" si="47"/>
        <v>Data</v>
      </c>
    </row>
    <row r="918" spans="1:14" x14ac:dyDescent="0.45">
      <c r="A918" t="s">
        <v>1244</v>
      </c>
      <c r="B918" t="s">
        <v>465</v>
      </c>
      <c r="E918" t="s">
        <v>42</v>
      </c>
      <c r="F918">
        <v>9.35</v>
      </c>
      <c r="H918">
        <v>14.75</v>
      </c>
      <c r="J918">
        <v>0.93179999999999996</v>
      </c>
      <c r="K918" t="str">
        <f t="shared" si="45"/>
        <v>Refusé</v>
      </c>
      <c r="L918" t="str" cm="1">
        <f t="array" ref="L918">_xlfn.IFS(H918&gt;=16,"Excellent",
               H918&gt;=14,"Très bien",
               H918&gt;=12,"Bien",
               H918&gt;=10,"Passable",
               TRUE,"Insuffisant")</f>
        <v>Très bien</v>
      </c>
      <c r="M918" t="str">
        <f t="shared" si="46"/>
        <v>A surveiller</v>
      </c>
      <c r="N918" t="str">
        <f t="shared" si="47"/>
        <v>Autre filière</v>
      </c>
    </row>
    <row r="919" spans="1:14" x14ac:dyDescent="0.45">
      <c r="A919" t="s">
        <v>1245</v>
      </c>
      <c r="B919" t="s">
        <v>370</v>
      </c>
      <c r="E919" t="s">
        <v>21</v>
      </c>
      <c r="F919">
        <v>5.64</v>
      </c>
      <c r="H919">
        <v>6.93</v>
      </c>
      <c r="J919">
        <v>0.89249999999999996</v>
      </c>
      <c r="K919" t="str">
        <f t="shared" ref="K919:K921" si="48">IF(AND(F919&gt;=12,H919&gt;=12,J919&gt;=0.8),"Admis",
   IF(AND(F919&gt;=10,H919&gt;=10),"Admis sous condition","Refusé"))</f>
        <v>Refusé</v>
      </c>
      <c r="L919" t="str" cm="1">
        <f t="array" ref="L919">_xlfn.IFS(H919&gt;=16,"Excellent",
               H919&gt;=14,"Très bien",
               H919&gt;=12,"Bien",
               H919&gt;=10,"Passable",
               TRUE,"Insuffisant")</f>
        <v>Insuffisant</v>
      </c>
      <c r="M919" t="str">
        <f t="shared" ref="M919:M921" si="49">IF(OR(F919&lt;10,H919&lt;10,J919&lt;0.7),"A surveiller","RAS")</f>
        <v>A surveiller</v>
      </c>
      <c r="N919" t="str">
        <f t="shared" ref="N919:N921" si="50">IF(NOT(E919="Data"),"Autre filière","Data")</f>
        <v>Autre filière</v>
      </c>
    </row>
    <row r="920" spans="1:14" x14ac:dyDescent="0.45">
      <c r="A920" t="s">
        <v>1246</v>
      </c>
      <c r="B920" t="s">
        <v>443</v>
      </c>
      <c r="E920" t="s">
        <v>42</v>
      </c>
      <c r="F920">
        <v>16.89</v>
      </c>
      <c r="H920">
        <v>17.489999999999998</v>
      </c>
      <c r="J920">
        <v>0.91790000000000005</v>
      </c>
      <c r="K920" t="str">
        <f t="shared" si="48"/>
        <v>Admis</v>
      </c>
      <c r="L920" t="str" cm="1">
        <f t="array" ref="L920">_xlfn.IFS(H920&gt;=16,"Excellent",
               H920&gt;=14,"Très bien",
               H920&gt;=12,"Bien",
               H920&gt;=10,"Passable",
               TRUE,"Insuffisant")</f>
        <v>Excellent</v>
      </c>
      <c r="M920" t="str">
        <f t="shared" si="49"/>
        <v>RAS</v>
      </c>
      <c r="N920" t="str">
        <f t="shared" si="50"/>
        <v>Autre filière</v>
      </c>
    </row>
    <row r="921" spans="1:14" x14ac:dyDescent="0.45">
      <c r="A921" t="s">
        <v>1247</v>
      </c>
      <c r="B921" t="s">
        <v>649</v>
      </c>
      <c r="E921" t="s">
        <v>16</v>
      </c>
      <c r="F921">
        <v>11.41</v>
      </c>
      <c r="H921">
        <v>10.49</v>
      </c>
      <c r="J921">
        <v>0.76900000000000002</v>
      </c>
      <c r="K921" t="str">
        <f t="shared" si="48"/>
        <v>Admis sous condition</v>
      </c>
      <c r="L921" t="str" cm="1">
        <f t="array" ref="L921">_xlfn.IFS(H921&gt;=16,"Excellent",
               H921&gt;=14,"Très bien",
               H921&gt;=12,"Bien",
               H921&gt;=10,"Passable",
               TRUE,"Insuffisant")</f>
        <v>Passable</v>
      </c>
      <c r="M921" t="str">
        <f t="shared" si="49"/>
        <v>RAS</v>
      </c>
      <c r="N921" t="str">
        <f t="shared" si="50"/>
        <v>Data</v>
      </c>
    </row>
    <row r="922" spans="1:14" x14ac:dyDescent="0.45">
      <c r="A922" t="s">
        <v>1248</v>
      </c>
      <c r="B922" t="s">
        <v>640</v>
      </c>
      <c r="E922" t="s">
        <v>21</v>
      </c>
      <c r="F922">
        <v>14.47</v>
      </c>
      <c r="H922">
        <v>18.16</v>
      </c>
      <c r="J922">
        <v>0.90559999999999996</v>
      </c>
      <c r="K922" t="str">
        <f>IF(AND(F922&gt;=12,H922&gt;=12,J922&gt;=0.8),"Admis",
   IF(AND(F922&gt;=10,H922&gt;=10),"Admis sous condition","Refusé"))</f>
        <v>Admis</v>
      </c>
      <c r="L922" t="str" cm="1">
        <f t="array" ref="L922">_xlfn.IFS(H922&gt;=16,"Excellent",
               H922&gt;=14,"Très bien",
               H922&gt;=12,"Bien",
               H922&gt;=10,"Passable",
               TRUE,"Insuffisant")</f>
        <v>Excellent</v>
      </c>
      <c r="M922" t="str">
        <f>IF(OR(F922&lt;10,H922&lt;10,J922&lt;0.7),"A surveiller","RAS")</f>
        <v>RAS</v>
      </c>
      <c r="N922" t="str">
        <f>IF(NOT(E922="Data"),"Autre filière","Data")</f>
        <v>Autre filière</v>
      </c>
    </row>
    <row r="923" spans="1:14" x14ac:dyDescent="0.45">
      <c r="A923" t="s">
        <v>1249</v>
      </c>
      <c r="B923" t="s">
        <v>123</v>
      </c>
      <c r="E923" t="s">
        <v>42</v>
      </c>
      <c r="F923">
        <v>6.92</v>
      </c>
      <c r="H923">
        <v>7.59</v>
      </c>
      <c r="J923">
        <v>0.89639999999999997</v>
      </c>
      <c r="K923" t="str">
        <f t="shared" ref="K923:K986" si="51">IF(AND(F923&gt;=12,H923&gt;=12,J923&gt;=0.8),"Admis",
   IF(AND(F923&gt;=10,H923&gt;=10),"Admis sous condition","Refusé"))</f>
        <v>Refusé</v>
      </c>
      <c r="L923" t="str" cm="1">
        <f t="array" ref="L923">_xlfn.IFS(H923&gt;=16,"Excellent",
               H923&gt;=14,"Très bien",
               H923&gt;=12,"Bien",
               H923&gt;=10,"Passable",
               TRUE,"Insuffisant")</f>
        <v>Insuffisant</v>
      </c>
      <c r="M923" t="str">
        <f t="shared" ref="M923:M986" si="52">IF(OR(F923&lt;10,H923&lt;10,J923&lt;0.7),"A surveiller","RAS")</f>
        <v>A surveiller</v>
      </c>
      <c r="N923" t="str">
        <f t="shared" ref="N923:N986" si="53">IF(NOT(E923="Data"),"Autre filière","Data")</f>
        <v>Autre filière</v>
      </c>
    </row>
    <row r="924" spans="1:14" x14ac:dyDescent="0.45">
      <c r="A924" t="s">
        <v>1250</v>
      </c>
      <c r="B924" t="s">
        <v>1239</v>
      </c>
      <c r="E924" t="s">
        <v>42</v>
      </c>
      <c r="F924">
        <v>11.64</v>
      </c>
      <c r="H924">
        <v>16.850000000000001</v>
      </c>
      <c r="J924">
        <v>0.89459999999999995</v>
      </c>
      <c r="K924" t="str">
        <f t="shared" si="51"/>
        <v>Admis sous condition</v>
      </c>
      <c r="L924" t="str" cm="1">
        <f t="array" ref="L924">_xlfn.IFS(H924&gt;=16,"Excellent",
               H924&gt;=14,"Très bien",
               H924&gt;=12,"Bien",
               H924&gt;=10,"Passable",
               TRUE,"Insuffisant")</f>
        <v>Excellent</v>
      </c>
      <c r="M924" t="str">
        <f t="shared" si="52"/>
        <v>RAS</v>
      </c>
      <c r="N924" t="str">
        <f t="shared" si="53"/>
        <v>Autre filière</v>
      </c>
    </row>
    <row r="925" spans="1:14" x14ac:dyDescent="0.45">
      <c r="A925" t="s">
        <v>1251</v>
      </c>
      <c r="B925" t="s">
        <v>1032</v>
      </c>
      <c r="E925" t="s">
        <v>16</v>
      </c>
      <c r="F925">
        <v>13.86</v>
      </c>
      <c r="H925">
        <v>16.440000000000001</v>
      </c>
      <c r="J925">
        <v>0.76690000000000003</v>
      </c>
      <c r="K925" t="str">
        <f t="shared" si="51"/>
        <v>Admis sous condition</v>
      </c>
      <c r="L925" t="str" cm="1">
        <f t="array" ref="L925">_xlfn.IFS(H925&gt;=16,"Excellent",
               H925&gt;=14,"Très bien",
               H925&gt;=12,"Bien",
               H925&gt;=10,"Passable",
               TRUE,"Insuffisant")</f>
        <v>Excellent</v>
      </c>
      <c r="M925" t="str">
        <f t="shared" si="52"/>
        <v>RAS</v>
      </c>
      <c r="N925" t="str">
        <f t="shared" si="53"/>
        <v>Data</v>
      </c>
    </row>
    <row r="926" spans="1:14" x14ac:dyDescent="0.45">
      <c r="A926" t="s">
        <v>1252</v>
      </c>
      <c r="B926" t="s">
        <v>82</v>
      </c>
      <c r="E926" t="s">
        <v>42</v>
      </c>
      <c r="F926">
        <v>11.21</v>
      </c>
      <c r="H926">
        <v>10.79</v>
      </c>
      <c r="J926">
        <v>0.80840000000000001</v>
      </c>
      <c r="K926" t="str">
        <f t="shared" si="51"/>
        <v>Admis sous condition</v>
      </c>
      <c r="L926" t="str" cm="1">
        <f t="array" ref="L926">_xlfn.IFS(H926&gt;=16,"Excellent",
               H926&gt;=14,"Très bien",
               H926&gt;=12,"Bien",
               H926&gt;=10,"Passable",
               TRUE,"Insuffisant")</f>
        <v>Passable</v>
      </c>
      <c r="M926" t="str">
        <f t="shared" si="52"/>
        <v>RAS</v>
      </c>
      <c r="N926" t="str">
        <f t="shared" si="53"/>
        <v>Autre filière</v>
      </c>
    </row>
    <row r="927" spans="1:14" x14ac:dyDescent="0.45">
      <c r="A927" t="s">
        <v>1253</v>
      </c>
      <c r="B927" t="s">
        <v>714</v>
      </c>
      <c r="E927" t="s">
        <v>16</v>
      </c>
      <c r="F927">
        <v>12.23</v>
      </c>
      <c r="H927">
        <v>11.91</v>
      </c>
      <c r="J927">
        <v>0.85250000000000004</v>
      </c>
      <c r="K927" t="str">
        <f t="shared" si="51"/>
        <v>Admis sous condition</v>
      </c>
      <c r="L927" t="str" cm="1">
        <f t="array" ref="L927">_xlfn.IFS(H927&gt;=16,"Excellent",
               H927&gt;=14,"Très bien",
               H927&gt;=12,"Bien",
               H927&gt;=10,"Passable",
               TRUE,"Insuffisant")</f>
        <v>Passable</v>
      </c>
      <c r="M927" t="str">
        <f t="shared" si="52"/>
        <v>RAS</v>
      </c>
      <c r="N927" t="str">
        <f t="shared" si="53"/>
        <v>Data</v>
      </c>
    </row>
    <row r="928" spans="1:14" x14ac:dyDescent="0.45">
      <c r="A928" t="s">
        <v>1254</v>
      </c>
      <c r="B928" t="s">
        <v>140</v>
      </c>
      <c r="E928" t="s">
        <v>42</v>
      </c>
      <c r="F928">
        <v>9.4499999999999993</v>
      </c>
      <c r="H928">
        <v>7</v>
      </c>
      <c r="J928">
        <v>0.95640000000000003</v>
      </c>
      <c r="K928" t="str">
        <f t="shared" si="51"/>
        <v>Refusé</v>
      </c>
      <c r="L928" t="str" cm="1">
        <f t="array" ref="L928">_xlfn.IFS(H928&gt;=16,"Excellent",
               H928&gt;=14,"Très bien",
               H928&gt;=12,"Bien",
               H928&gt;=10,"Passable",
               TRUE,"Insuffisant")</f>
        <v>Insuffisant</v>
      </c>
      <c r="M928" t="str">
        <f t="shared" si="52"/>
        <v>A surveiller</v>
      </c>
      <c r="N928" t="str">
        <f t="shared" si="53"/>
        <v>Autre filière</v>
      </c>
    </row>
    <row r="929" spans="1:14" x14ac:dyDescent="0.45">
      <c r="A929" t="s">
        <v>1255</v>
      </c>
      <c r="B929" t="s">
        <v>146</v>
      </c>
      <c r="E929" t="s">
        <v>16</v>
      </c>
      <c r="F929">
        <v>14.14</v>
      </c>
      <c r="H929">
        <v>7.1</v>
      </c>
      <c r="J929">
        <v>0.97670000000000001</v>
      </c>
      <c r="K929" t="str">
        <f t="shared" si="51"/>
        <v>Refusé</v>
      </c>
      <c r="L929" t="str" cm="1">
        <f t="array" ref="L929">_xlfn.IFS(H929&gt;=16,"Excellent",
               H929&gt;=14,"Très bien",
               H929&gt;=12,"Bien",
               H929&gt;=10,"Passable",
               TRUE,"Insuffisant")</f>
        <v>Insuffisant</v>
      </c>
      <c r="M929" t="str">
        <f t="shared" si="52"/>
        <v>A surveiller</v>
      </c>
      <c r="N929" t="str">
        <f t="shared" si="53"/>
        <v>Data</v>
      </c>
    </row>
    <row r="930" spans="1:14" x14ac:dyDescent="0.45">
      <c r="A930" t="s">
        <v>1256</v>
      </c>
      <c r="B930" t="s">
        <v>1178</v>
      </c>
      <c r="E930" t="s">
        <v>21</v>
      </c>
      <c r="F930">
        <v>10.25</v>
      </c>
      <c r="H930">
        <v>5.33</v>
      </c>
      <c r="J930">
        <v>0.79890000000000005</v>
      </c>
      <c r="K930" t="str">
        <f t="shared" si="51"/>
        <v>Refusé</v>
      </c>
      <c r="L930" t="str" cm="1">
        <f t="array" ref="L930">_xlfn.IFS(H930&gt;=16,"Excellent",
               H930&gt;=14,"Très bien",
               H930&gt;=12,"Bien",
               H930&gt;=10,"Passable",
               TRUE,"Insuffisant")</f>
        <v>Insuffisant</v>
      </c>
      <c r="M930" t="str">
        <f t="shared" si="52"/>
        <v>A surveiller</v>
      </c>
      <c r="N930" t="str">
        <f t="shared" si="53"/>
        <v>Autre filière</v>
      </c>
    </row>
    <row r="931" spans="1:14" x14ac:dyDescent="0.45">
      <c r="A931" t="s">
        <v>1257</v>
      </c>
      <c r="B931" t="s">
        <v>819</v>
      </c>
      <c r="E931" t="s">
        <v>16</v>
      </c>
      <c r="F931">
        <v>9.2100000000000009</v>
      </c>
      <c r="H931">
        <v>12.16</v>
      </c>
      <c r="J931">
        <v>0.98309999999999997</v>
      </c>
      <c r="K931" t="str">
        <f t="shared" si="51"/>
        <v>Refusé</v>
      </c>
      <c r="L931" t="str" cm="1">
        <f t="array" ref="L931">_xlfn.IFS(H931&gt;=16,"Excellent",
               H931&gt;=14,"Très bien",
               H931&gt;=12,"Bien",
               H931&gt;=10,"Passable",
               TRUE,"Insuffisant")</f>
        <v>Bien</v>
      </c>
      <c r="M931" t="str">
        <f t="shared" si="52"/>
        <v>A surveiller</v>
      </c>
      <c r="N931" t="str">
        <f t="shared" si="53"/>
        <v>Data</v>
      </c>
    </row>
    <row r="932" spans="1:14" x14ac:dyDescent="0.45">
      <c r="A932" t="s">
        <v>1258</v>
      </c>
      <c r="B932" t="s">
        <v>338</v>
      </c>
      <c r="E932" t="s">
        <v>42</v>
      </c>
      <c r="F932">
        <v>14.06</v>
      </c>
      <c r="H932">
        <v>17.68</v>
      </c>
      <c r="J932">
        <v>0.60460000000000003</v>
      </c>
      <c r="K932" t="str">
        <f t="shared" si="51"/>
        <v>Admis sous condition</v>
      </c>
      <c r="L932" t="str" cm="1">
        <f t="array" ref="L932">_xlfn.IFS(H932&gt;=16,"Excellent",
               H932&gt;=14,"Très bien",
               H932&gt;=12,"Bien",
               H932&gt;=10,"Passable",
               TRUE,"Insuffisant")</f>
        <v>Excellent</v>
      </c>
      <c r="M932" t="str">
        <f t="shared" si="52"/>
        <v>A surveiller</v>
      </c>
      <c r="N932" t="str">
        <f t="shared" si="53"/>
        <v>Autre filière</v>
      </c>
    </row>
    <row r="933" spans="1:14" x14ac:dyDescent="0.45">
      <c r="A933" t="s">
        <v>1259</v>
      </c>
      <c r="B933" t="s">
        <v>775</v>
      </c>
      <c r="E933" t="s">
        <v>16</v>
      </c>
      <c r="F933">
        <v>11.8</v>
      </c>
      <c r="H933">
        <v>16.59</v>
      </c>
      <c r="J933">
        <v>0.55000000000000004</v>
      </c>
      <c r="K933" t="str">
        <f t="shared" si="51"/>
        <v>Admis sous condition</v>
      </c>
      <c r="L933" t="str" cm="1">
        <f t="array" ref="L933">_xlfn.IFS(H933&gt;=16,"Excellent",
               H933&gt;=14,"Très bien",
               H933&gt;=12,"Bien",
               H933&gt;=10,"Passable",
               TRUE,"Insuffisant")</f>
        <v>Excellent</v>
      </c>
      <c r="M933" t="str">
        <f t="shared" si="52"/>
        <v>A surveiller</v>
      </c>
      <c r="N933" t="str">
        <f t="shared" si="53"/>
        <v>Data</v>
      </c>
    </row>
    <row r="934" spans="1:14" x14ac:dyDescent="0.45">
      <c r="A934" t="s">
        <v>1260</v>
      </c>
      <c r="B934" t="s">
        <v>285</v>
      </c>
      <c r="E934" t="s">
        <v>42</v>
      </c>
      <c r="F934">
        <v>14.97</v>
      </c>
      <c r="H934">
        <v>10.65</v>
      </c>
      <c r="J934">
        <v>0.81569999999999998</v>
      </c>
      <c r="K934" t="str">
        <f t="shared" si="51"/>
        <v>Admis sous condition</v>
      </c>
      <c r="L934" t="str" cm="1">
        <f t="array" ref="L934">_xlfn.IFS(H934&gt;=16,"Excellent",
               H934&gt;=14,"Très bien",
               H934&gt;=12,"Bien",
               H934&gt;=10,"Passable",
               TRUE,"Insuffisant")</f>
        <v>Passable</v>
      </c>
      <c r="M934" t="str">
        <f t="shared" si="52"/>
        <v>RAS</v>
      </c>
      <c r="N934" t="str">
        <f t="shared" si="53"/>
        <v>Autre filière</v>
      </c>
    </row>
    <row r="935" spans="1:14" x14ac:dyDescent="0.45">
      <c r="A935" t="s">
        <v>1261</v>
      </c>
      <c r="B935" t="s">
        <v>693</v>
      </c>
      <c r="E935" t="s">
        <v>29</v>
      </c>
      <c r="F935">
        <v>8.07</v>
      </c>
      <c r="H935">
        <v>9.3000000000000007</v>
      </c>
      <c r="J935">
        <v>0.91720000000000002</v>
      </c>
      <c r="K935" t="str">
        <f t="shared" si="51"/>
        <v>Refusé</v>
      </c>
      <c r="L935" t="str" cm="1">
        <f t="array" ref="L935">_xlfn.IFS(H935&gt;=16,"Excellent",
               H935&gt;=14,"Très bien",
               H935&gt;=12,"Bien",
               H935&gt;=10,"Passable",
               TRUE,"Insuffisant")</f>
        <v>Insuffisant</v>
      </c>
      <c r="M935" t="str">
        <f t="shared" si="52"/>
        <v>A surveiller</v>
      </c>
      <c r="N935" t="str">
        <f t="shared" si="53"/>
        <v>Autre filière</v>
      </c>
    </row>
    <row r="936" spans="1:14" x14ac:dyDescent="0.45">
      <c r="A936" t="s">
        <v>1262</v>
      </c>
      <c r="B936" t="s">
        <v>63</v>
      </c>
      <c r="E936" t="s">
        <v>21</v>
      </c>
      <c r="F936">
        <v>15.98</v>
      </c>
      <c r="H936">
        <v>15.78</v>
      </c>
      <c r="J936">
        <v>0.82989999999999997</v>
      </c>
      <c r="K936" t="str">
        <f t="shared" si="51"/>
        <v>Admis</v>
      </c>
      <c r="L936" t="str" cm="1">
        <f t="array" ref="L936">_xlfn.IFS(H936&gt;=16,"Excellent",
               H936&gt;=14,"Très bien",
               H936&gt;=12,"Bien",
               H936&gt;=10,"Passable",
               TRUE,"Insuffisant")</f>
        <v>Très bien</v>
      </c>
      <c r="M936" t="str">
        <f t="shared" si="52"/>
        <v>RAS</v>
      </c>
      <c r="N936" t="str">
        <f t="shared" si="53"/>
        <v>Autre filière</v>
      </c>
    </row>
    <row r="937" spans="1:14" x14ac:dyDescent="0.45">
      <c r="A937" t="s">
        <v>1263</v>
      </c>
      <c r="B937" t="s">
        <v>771</v>
      </c>
      <c r="E937" t="s">
        <v>42</v>
      </c>
      <c r="F937">
        <v>17.850000000000001</v>
      </c>
      <c r="H937">
        <v>15.41</v>
      </c>
      <c r="J937">
        <v>0.95130000000000003</v>
      </c>
      <c r="K937" t="str">
        <f t="shared" si="51"/>
        <v>Admis</v>
      </c>
      <c r="L937" t="str" cm="1">
        <f t="array" ref="L937">_xlfn.IFS(H937&gt;=16,"Excellent",
               H937&gt;=14,"Très bien",
               H937&gt;=12,"Bien",
               H937&gt;=10,"Passable",
               TRUE,"Insuffisant")</f>
        <v>Très bien</v>
      </c>
      <c r="M937" t="str">
        <f t="shared" si="52"/>
        <v>RAS</v>
      </c>
      <c r="N937" t="str">
        <f t="shared" si="53"/>
        <v>Autre filière</v>
      </c>
    </row>
    <row r="938" spans="1:14" x14ac:dyDescent="0.45">
      <c r="A938" t="s">
        <v>1264</v>
      </c>
      <c r="B938" t="s">
        <v>594</v>
      </c>
      <c r="E938" t="s">
        <v>29</v>
      </c>
      <c r="F938">
        <v>9.91</v>
      </c>
      <c r="H938">
        <v>11.12</v>
      </c>
      <c r="J938">
        <v>0.55000000000000004</v>
      </c>
      <c r="K938" t="str">
        <f t="shared" si="51"/>
        <v>Refusé</v>
      </c>
      <c r="L938" t="str" cm="1">
        <f t="array" ref="L938">_xlfn.IFS(H938&gt;=16,"Excellent",
               H938&gt;=14,"Très bien",
               H938&gt;=12,"Bien",
               H938&gt;=10,"Passable",
               TRUE,"Insuffisant")</f>
        <v>Passable</v>
      </c>
      <c r="M938" t="str">
        <f t="shared" si="52"/>
        <v>A surveiller</v>
      </c>
      <c r="N938" t="str">
        <f t="shared" si="53"/>
        <v>Autre filière</v>
      </c>
    </row>
    <row r="939" spans="1:14" x14ac:dyDescent="0.45">
      <c r="A939" t="s">
        <v>1265</v>
      </c>
      <c r="B939" t="s">
        <v>289</v>
      </c>
      <c r="E939" t="s">
        <v>16</v>
      </c>
      <c r="F939">
        <v>13.82</v>
      </c>
      <c r="H939">
        <v>19.059999999999999</v>
      </c>
      <c r="J939">
        <v>0.85319999999999996</v>
      </c>
      <c r="K939" t="str">
        <f t="shared" si="51"/>
        <v>Admis</v>
      </c>
      <c r="L939" t="str" cm="1">
        <f t="array" ref="L939">_xlfn.IFS(H939&gt;=16,"Excellent",
               H939&gt;=14,"Très bien",
               H939&gt;=12,"Bien",
               H939&gt;=10,"Passable",
               TRUE,"Insuffisant")</f>
        <v>Excellent</v>
      </c>
      <c r="M939" t="str">
        <f t="shared" si="52"/>
        <v>RAS</v>
      </c>
      <c r="N939" t="str">
        <f t="shared" si="53"/>
        <v>Data</v>
      </c>
    </row>
    <row r="940" spans="1:14" x14ac:dyDescent="0.45">
      <c r="A940" t="s">
        <v>1266</v>
      </c>
      <c r="B940" t="s">
        <v>619</v>
      </c>
      <c r="E940" t="s">
        <v>42</v>
      </c>
      <c r="F940">
        <v>9.09</v>
      </c>
      <c r="H940">
        <v>15.38</v>
      </c>
      <c r="J940">
        <v>0.71779999999999999</v>
      </c>
      <c r="K940" t="str">
        <f t="shared" si="51"/>
        <v>Refusé</v>
      </c>
      <c r="L940" t="str" cm="1">
        <f t="array" ref="L940">_xlfn.IFS(H940&gt;=16,"Excellent",
               H940&gt;=14,"Très bien",
               H940&gt;=12,"Bien",
               H940&gt;=10,"Passable",
               TRUE,"Insuffisant")</f>
        <v>Très bien</v>
      </c>
      <c r="M940" t="str">
        <f t="shared" si="52"/>
        <v>A surveiller</v>
      </c>
      <c r="N940" t="str">
        <f t="shared" si="53"/>
        <v>Autre filière</v>
      </c>
    </row>
    <row r="941" spans="1:14" x14ac:dyDescent="0.45">
      <c r="A941" t="s">
        <v>1267</v>
      </c>
      <c r="B941" t="s">
        <v>465</v>
      </c>
      <c r="E941" t="s">
        <v>29</v>
      </c>
      <c r="F941">
        <v>13.1</v>
      </c>
      <c r="H941">
        <v>14.84</v>
      </c>
      <c r="J941">
        <v>0.9123</v>
      </c>
      <c r="K941" t="str">
        <f t="shared" si="51"/>
        <v>Admis</v>
      </c>
      <c r="L941" t="str" cm="1">
        <f t="array" ref="L941">_xlfn.IFS(H941&gt;=16,"Excellent",
               H941&gt;=14,"Très bien",
               H941&gt;=12,"Bien",
               H941&gt;=10,"Passable",
               TRUE,"Insuffisant")</f>
        <v>Très bien</v>
      </c>
      <c r="M941" t="str">
        <f t="shared" si="52"/>
        <v>RAS</v>
      </c>
      <c r="N941" t="str">
        <f t="shared" si="53"/>
        <v>Autre filière</v>
      </c>
    </row>
    <row r="942" spans="1:14" x14ac:dyDescent="0.45">
      <c r="A942" t="s">
        <v>1268</v>
      </c>
      <c r="B942" t="s">
        <v>409</v>
      </c>
      <c r="E942" t="s">
        <v>16</v>
      </c>
      <c r="F942">
        <v>10.4</v>
      </c>
      <c r="H942">
        <v>14.09</v>
      </c>
      <c r="J942">
        <v>0.82010000000000005</v>
      </c>
      <c r="K942" t="str">
        <f t="shared" si="51"/>
        <v>Admis sous condition</v>
      </c>
      <c r="L942" t="str" cm="1">
        <f t="array" ref="L942">_xlfn.IFS(H942&gt;=16,"Excellent",
               H942&gt;=14,"Très bien",
               H942&gt;=12,"Bien",
               H942&gt;=10,"Passable",
               TRUE,"Insuffisant")</f>
        <v>Très bien</v>
      </c>
      <c r="M942" t="str">
        <f t="shared" si="52"/>
        <v>RAS</v>
      </c>
      <c r="N942" t="str">
        <f t="shared" si="53"/>
        <v>Data</v>
      </c>
    </row>
    <row r="943" spans="1:14" x14ac:dyDescent="0.45">
      <c r="A943" t="s">
        <v>1269</v>
      </c>
      <c r="B943" t="s">
        <v>764</v>
      </c>
      <c r="E943" t="s">
        <v>42</v>
      </c>
      <c r="F943">
        <v>13.49</v>
      </c>
      <c r="H943">
        <v>9.5399999999999991</v>
      </c>
      <c r="J943">
        <v>0.88200000000000001</v>
      </c>
      <c r="K943" t="str">
        <f t="shared" si="51"/>
        <v>Refusé</v>
      </c>
      <c r="L943" t="str" cm="1">
        <f t="array" ref="L943">_xlfn.IFS(H943&gt;=16,"Excellent",
               H943&gt;=14,"Très bien",
               H943&gt;=12,"Bien",
               H943&gt;=10,"Passable",
               TRUE,"Insuffisant")</f>
        <v>Insuffisant</v>
      </c>
      <c r="M943" t="str">
        <f t="shared" si="52"/>
        <v>A surveiller</v>
      </c>
      <c r="N943" t="str">
        <f t="shared" si="53"/>
        <v>Autre filière</v>
      </c>
    </row>
    <row r="944" spans="1:14" x14ac:dyDescent="0.45">
      <c r="A944" t="s">
        <v>1270</v>
      </c>
      <c r="B944" t="s">
        <v>105</v>
      </c>
      <c r="E944" t="s">
        <v>16</v>
      </c>
      <c r="F944">
        <v>16.190000000000001</v>
      </c>
      <c r="H944">
        <v>18.32</v>
      </c>
      <c r="J944">
        <v>0.9002</v>
      </c>
      <c r="K944" t="str">
        <f t="shared" si="51"/>
        <v>Admis</v>
      </c>
      <c r="L944" t="str" cm="1">
        <f t="array" ref="L944">_xlfn.IFS(H944&gt;=16,"Excellent",
               H944&gt;=14,"Très bien",
               H944&gt;=12,"Bien",
               H944&gt;=10,"Passable",
               TRUE,"Insuffisant")</f>
        <v>Excellent</v>
      </c>
      <c r="M944" t="str">
        <f t="shared" si="52"/>
        <v>RAS</v>
      </c>
      <c r="N944" t="str">
        <f t="shared" si="53"/>
        <v>Data</v>
      </c>
    </row>
    <row r="945" spans="1:14" x14ac:dyDescent="0.45">
      <c r="A945" t="s">
        <v>1271</v>
      </c>
      <c r="B945" t="s">
        <v>353</v>
      </c>
      <c r="E945" t="s">
        <v>16</v>
      </c>
      <c r="F945">
        <v>12.43</v>
      </c>
      <c r="H945">
        <v>11.68</v>
      </c>
      <c r="J945">
        <v>0.78869999999999996</v>
      </c>
      <c r="K945" t="str">
        <f t="shared" si="51"/>
        <v>Admis sous condition</v>
      </c>
      <c r="L945" t="str" cm="1">
        <f t="array" ref="L945">_xlfn.IFS(H945&gt;=16,"Excellent",
               H945&gt;=14,"Très bien",
               H945&gt;=12,"Bien",
               H945&gt;=10,"Passable",
               TRUE,"Insuffisant")</f>
        <v>Passable</v>
      </c>
      <c r="M945" t="str">
        <f t="shared" si="52"/>
        <v>RAS</v>
      </c>
      <c r="N945" t="str">
        <f t="shared" si="53"/>
        <v>Data</v>
      </c>
    </row>
    <row r="946" spans="1:14" x14ac:dyDescent="0.45">
      <c r="A946" t="s">
        <v>1272</v>
      </c>
      <c r="B946" t="s">
        <v>601</v>
      </c>
      <c r="E946" t="s">
        <v>16</v>
      </c>
      <c r="F946">
        <v>13.01</v>
      </c>
      <c r="H946">
        <v>14.49</v>
      </c>
      <c r="J946">
        <v>0.65469999999999995</v>
      </c>
      <c r="K946" t="str">
        <f t="shared" si="51"/>
        <v>Admis sous condition</v>
      </c>
      <c r="L946" t="str" cm="1">
        <f t="array" ref="L946">_xlfn.IFS(H946&gt;=16,"Excellent",
               H946&gt;=14,"Très bien",
               H946&gt;=12,"Bien",
               H946&gt;=10,"Passable",
               TRUE,"Insuffisant")</f>
        <v>Très bien</v>
      </c>
      <c r="M946" t="str">
        <f t="shared" si="52"/>
        <v>A surveiller</v>
      </c>
      <c r="N946" t="str">
        <f t="shared" si="53"/>
        <v>Data</v>
      </c>
    </row>
    <row r="947" spans="1:14" x14ac:dyDescent="0.45">
      <c r="A947" t="s">
        <v>1273</v>
      </c>
      <c r="B947" t="s">
        <v>348</v>
      </c>
      <c r="E947" t="s">
        <v>29</v>
      </c>
      <c r="F947">
        <v>15.24</v>
      </c>
      <c r="H947">
        <v>16.3</v>
      </c>
      <c r="J947">
        <v>0.79479999999999995</v>
      </c>
      <c r="K947" t="str">
        <f t="shared" si="51"/>
        <v>Admis sous condition</v>
      </c>
      <c r="L947" t="str" cm="1">
        <f t="array" ref="L947">_xlfn.IFS(H947&gt;=16,"Excellent",
               H947&gt;=14,"Très bien",
               H947&gt;=12,"Bien",
               H947&gt;=10,"Passable",
               TRUE,"Insuffisant")</f>
        <v>Excellent</v>
      </c>
      <c r="M947" t="str">
        <f t="shared" si="52"/>
        <v>RAS</v>
      </c>
      <c r="N947" t="str">
        <f t="shared" si="53"/>
        <v>Autre filière</v>
      </c>
    </row>
    <row r="948" spans="1:14" x14ac:dyDescent="0.45">
      <c r="A948" t="s">
        <v>1274</v>
      </c>
      <c r="B948" t="s">
        <v>409</v>
      </c>
      <c r="E948" t="s">
        <v>16</v>
      </c>
      <c r="F948">
        <v>3.35</v>
      </c>
      <c r="H948">
        <v>4.24</v>
      </c>
      <c r="J948">
        <v>0.61209999999999998</v>
      </c>
      <c r="K948" t="str">
        <f t="shared" si="51"/>
        <v>Refusé</v>
      </c>
      <c r="L948" t="str" cm="1">
        <f t="array" ref="L948">_xlfn.IFS(H948&gt;=16,"Excellent",
               H948&gt;=14,"Très bien",
               H948&gt;=12,"Bien",
               H948&gt;=10,"Passable",
               TRUE,"Insuffisant")</f>
        <v>Insuffisant</v>
      </c>
      <c r="M948" t="str">
        <f t="shared" si="52"/>
        <v>A surveiller</v>
      </c>
      <c r="N948" t="str">
        <f t="shared" si="53"/>
        <v>Data</v>
      </c>
    </row>
    <row r="949" spans="1:14" x14ac:dyDescent="0.45">
      <c r="A949" t="s">
        <v>1275</v>
      </c>
      <c r="B949" t="s">
        <v>1276</v>
      </c>
      <c r="E949" t="s">
        <v>16</v>
      </c>
      <c r="F949">
        <v>16.100000000000001</v>
      </c>
      <c r="H949">
        <v>17.36</v>
      </c>
      <c r="J949">
        <v>0.97350000000000003</v>
      </c>
      <c r="K949" t="str">
        <f t="shared" si="51"/>
        <v>Admis</v>
      </c>
      <c r="L949" t="str" cm="1">
        <f t="array" ref="L949">_xlfn.IFS(H949&gt;=16,"Excellent",
               H949&gt;=14,"Très bien",
               H949&gt;=12,"Bien",
               H949&gt;=10,"Passable",
               TRUE,"Insuffisant")</f>
        <v>Excellent</v>
      </c>
      <c r="M949" t="str">
        <f t="shared" si="52"/>
        <v>RAS</v>
      </c>
      <c r="N949" t="str">
        <f t="shared" si="53"/>
        <v>Data</v>
      </c>
    </row>
    <row r="950" spans="1:14" x14ac:dyDescent="0.45">
      <c r="A950" t="s">
        <v>1277</v>
      </c>
      <c r="B950" t="s">
        <v>427</v>
      </c>
      <c r="E950" t="s">
        <v>29</v>
      </c>
      <c r="F950">
        <v>9.6999999999999993</v>
      </c>
      <c r="H950">
        <v>1.99</v>
      </c>
      <c r="J950">
        <v>0.84860000000000002</v>
      </c>
      <c r="K950" t="str">
        <f t="shared" si="51"/>
        <v>Refusé</v>
      </c>
      <c r="L950" t="str" cm="1">
        <f t="array" ref="L950">_xlfn.IFS(H950&gt;=16,"Excellent",
               H950&gt;=14,"Très bien",
               H950&gt;=12,"Bien",
               H950&gt;=10,"Passable",
               TRUE,"Insuffisant")</f>
        <v>Insuffisant</v>
      </c>
      <c r="M950" t="str">
        <f t="shared" si="52"/>
        <v>A surveiller</v>
      </c>
      <c r="N950" t="str">
        <f t="shared" si="53"/>
        <v>Autre filière</v>
      </c>
    </row>
    <row r="951" spans="1:14" x14ac:dyDescent="0.45">
      <c r="A951" t="s">
        <v>1278</v>
      </c>
      <c r="B951" t="s">
        <v>109</v>
      </c>
      <c r="E951" t="s">
        <v>16</v>
      </c>
      <c r="F951">
        <v>11.99</v>
      </c>
      <c r="H951">
        <v>14.37</v>
      </c>
      <c r="J951">
        <v>0.73440000000000005</v>
      </c>
      <c r="K951" t="str">
        <f t="shared" si="51"/>
        <v>Admis sous condition</v>
      </c>
      <c r="L951" t="str" cm="1">
        <f t="array" ref="L951">_xlfn.IFS(H951&gt;=16,"Excellent",
               H951&gt;=14,"Très bien",
               H951&gt;=12,"Bien",
               H951&gt;=10,"Passable",
               TRUE,"Insuffisant")</f>
        <v>Très bien</v>
      </c>
      <c r="M951" t="str">
        <f t="shared" si="52"/>
        <v>RAS</v>
      </c>
      <c r="N951" t="str">
        <f t="shared" si="53"/>
        <v>Data</v>
      </c>
    </row>
    <row r="952" spans="1:14" x14ac:dyDescent="0.45">
      <c r="A952" t="s">
        <v>1279</v>
      </c>
      <c r="B952" t="s">
        <v>731</v>
      </c>
      <c r="E952" t="s">
        <v>16</v>
      </c>
      <c r="F952">
        <v>13.76</v>
      </c>
      <c r="H952">
        <v>16.34</v>
      </c>
      <c r="J952">
        <v>0.55000000000000004</v>
      </c>
      <c r="K952" t="str">
        <f t="shared" si="51"/>
        <v>Admis sous condition</v>
      </c>
      <c r="L952" t="str" cm="1">
        <f t="array" ref="L952">_xlfn.IFS(H952&gt;=16,"Excellent",
               H952&gt;=14,"Très bien",
               H952&gt;=12,"Bien",
               H952&gt;=10,"Passable",
               TRUE,"Insuffisant")</f>
        <v>Excellent</v>
      </c>
      <c r="M952" t="str">
        <f t="shared" si="52"/>
        <v>A surveiller</v>
      </c>
      <c r="N952" t="str">
        <f t="shared" si="53"/>
        <v>Data</v>
      </c>
    </row>
    <row r="953" spans="1:14" x14ac:dyDescent="0.45">
      <c r="A953" t="s">
        <v>1280</v>
      </c>
      <c r="B953" t="s">
        <v>969</v>
      </c>
      <c r="E953" t="s">
        <v>29</v>
      </c>
      <c r="F953">
        <v>13.01</v>
      </c>
      <c r="H953">
        <v>15.36</v>
      </c>
      <c r="J953">
        <v>0.89159999999999995</v>
      </c>
      <c r="K953" t="str">
        <f t="shared" si="51"/>
        <v>Admis</v>
      </c>
      <c r="L953" t="str" cm="1">
        <f t="array" ref="L953">_xlfn.IFS(H953&gt;=16,"Excellent",
               H953&gt;=14,"Très bien",
               H953&gt;=12,"Bien",
               H953&gt;=10,"Passable",
               TRUE,"Insuffisant")</f>
        <v>Très bien</v>
      </c>
      <c r="M953" t="str">
        <f t="shared" si="52"/>
        <v>RAS</v>
      </c>
      <c r="N953" t="str">
        <f t="shared" si="53"/>
        <v>Autre filière</v>
      </c>
    </row>
    <row r="954" spans="1:14" x14ac:dyDescent="0.45">
      <c r="A954" t="s">
        <v>1281</v>
      </c>
      <c r="B954" t="s">
        <v>75</v>
      </c>
      <c r="E954" t="s">
        <v>16</v>
      </c>
      <c r="F954">
        <v>6.42</v>
      </c>
      <c r="H954">
        <v>9.15</v>
      </c>
      <c r="J954">
        <v>0.79420000000000002</v>
      </c>
      <c r="K954" t="str">
        <f t="shared" si="51"/>
        <v>Refusé</v>
      </c>
      <c r="L954" t="str" cm="1">
        <f t="array" ref="L954">_xlfn.IFS(H954&gt;=16,"Excellent",
               H954&gt;=14,"Très bien",
               H954&gt;=12,"Bien",
               H954&gt;=10,"Passable",
               TRUE,"Insuffisant")</f>
        <v>Insuffisant</v>
      </c>
      <c r="M954" t="str">
        <f t="shared" si="52"/>
        <v>A surveiller</v>
      </c>
      <c r="N954" t="str">
        <f t="shared" si="53"/>
        <v>Data</v>
      </c>
    </row>
    <row r="955" spans="1:14" x14ac:dyDescent="0.45">
      <c r="A955" t="s">
        <v>1282</v>
      </c>
      <c r="B955" t="s">
        <v>59</v>
      </c>
      <c r="E955" t="s">
        <v>21</v>
      </c>
      <c r="F955">
        <v>7.8</v>
      </c>
      <c r="H955">
        <v>10.34</v>
      </c>
      <c r="J955">
        <v>0.91359999999999997</v>
      </c>
      <c r="K955" t="str">
        <f t="shared" si="51"/>
        <v>Refusé</v>
      </c>
      <c r="L955" t="str" cm="1">
        <f t="array" ref="L955">_xlfn.IFS(H955&gt;=16,"Excellent",
               H955&gt;=14,"Très bien",
               H955&gt;=12,"Bien",
               H955&gt;=10,"Passable",
               TRUE,"Insuffisant")</f>
        <v>Passable</v>
      </c>
      <c r="M955" t="str">
        <f t="shared" si="52"/>
        <v>A surveiller</v>
      </c>
      <c r="N955" t="str">
        <f t="shared" si="53"/>
        <v>Autre filière</v>
      </c>
    </row>
    <row r="956" spans="1:14" x14ac:dyDescent="0.45">
      <c r="A956" t="s">
        <v>1283</v>
      </c>
      <c r="B956" t="s">
        <v>31</v>
      </c>
      <c r="E956" t="s">
        <v>29</v>
      </c>
      <c r="F956">
        <v>14.08</v>
      </c>
      <c r="H956">
        <v>13.91</v>
      </c>
      <c r="J956">
        <v>0.69810000000000005</v>
      </c>
      <c r="K956" t="str">
        <f t="shared" si="51"/>
        <v>Admis sous condition</v>
      </c>
      <c r="L956" t="str" cm="1">
        <f t="array" ref="L956">_xlfn.IFS(H956&gt;=16,"Excellent",
               H956&gt;=14,"Très bien",
               H956&gt;=12,"Bien",
               H956&gt;=10,"Passable",
               TRUE,"Insuffisant")</f>
        <v>Bien</v>
      </c>
      <c r="M956" t="str">
        <f t="shared" si="52"/>
        <v>A surveiller</v>
      </c>
      <c r="N956" t="str">
        <f t="shared" si="53"/>
        <v>Autre filière</v>
      </c>
    </row>
    <row r="957" spans="1:14" x14ac:dyDescent="0.45">
      <c r="A957" t="s">
        <v>1284</v>
      </c>
      <c r="B957" t="s">
        <v>544</v>
      </c>
      <c r="E957" t="s">
        <v>21</v>
      </c>
      <c r="F957">
        <v>7.14</v>
      </c>
      <c r="H957">
        <v>9.99</v>
      </c>
      <c r="J957">
        <v>0.75960000000000005</v>
      </c>
      <c r="K957" t="str">
        <f t="shared" si="51"/>
        <v>Refusé</v>
      </c>
      <c r="L957" t="str" cm="1">
        <f t="array" ref="L957">_xlfn.IFS(H957&gt;=16,"Excellent",
               H957&gt;=14,"Très bien",
               H957&gt;=12,"Bien",
               H957&gt;=10,"Passable",
               TRUE,"Insuffisant")</f>
        <v>Insuffisant</v>
      </c>
      <c r="M957" t="str">
        <f t="shared" si="52"/>
        <v>A surveiller</v>
      </c>
      <c r="N957" t="str">
        <f t="shared" si="53"/>
        <v>Autre filière</v>
      </c>
    </row>
    <row r="958" spans="1:14" x14ac:dyDescent="0.45">
      <c r="A958" t="s">
        <v>1285</v>
      </c>
      <c r="B958" t="s">
        <v>289</v>
      </c>
      <c r="E958" t="s">
        <v>21</v>
      </c>
      <c r="F958">
        <v>18.72</v>
      </c>
      <c r="H958">
        <v>14.93</v>
      </c>
      <c r="J958">
        <v>0.82430000000000003</v>
      </c>
      <c r="K958" t="str">
        <f t="shared" si="51"/>
        <v>Admis</v>
      </c>
      <c r="L958" t="str" cm="1">
        <f t="array" ref="L958">_xlfn.IFS(H958&gt;=16,"Excellent",
               H958&gt;=14,"Très bien",
               H958&gt;=12,"Bien",
               H958&gt;=10,"Passable",
               TRUE,"Insuffisant")</f>
        <v>Très bien</v>
      </c>
      <c r="M958" t="str">
        <f t="shared" si="52"/>
        <v>RAS</v>
      </c>
      <c r="N958" t="str">
        <f t="shared" si="53"/>
        <v>Autre filière</v>
      </c>
    </row>
    <row r="959" spans="1:14" x14ac:dyDescent="0.45">
      <c r="A959" t="s">
        <v>1286</v>
      </c>
      <c r="B959" t="s">
        <v>309</v>
      </c>
      <c r="E959" t="s">
        <v>21</v>
      </c>
      <c r="F959">
        <v>14.62</v>
      </c>
      <c r="H959">
        <v>12.48</v>
      </c>
      <c r="J959">
        <v>0.89080000000000004</v>
      </c>
      <c r="K959" t="str">
        <f t="shared" si="51"/>
        <v>Admis</v>
      </c>
      <c r="L959" t="str" cm="1">
        <f t="array" ref="L959">_xlfn.IFS(H959&gt;=16,"Excellent",
               H959&gt;=14,"Très bien",
               H959&gt;=12,"Bien",
               H959&gt;=10,"Passable",
               TRUE,"Insuffisant")</f>
        <v>Bien</v>
      </c>
      <c r="M959" t="str">
        <f t="shared" si="52"/>
        <v>RAS</v>
      </c>
      <c r="N959" t="str">
        <f t="shared" si="53"/>
        <v>Autre filière</v>
      </c>
    </row>
    <row r="960" spans="1:14" x14ac:dyDescent="0.45">
      <c r="A960" t="s">
        <v>1287</v>
      </c>
      <c r="B960" t="s">
        <v>1100</v>
      </c>
      <c r="E960" t="s">
        <v>42</v>
      </c>
      <c r="F960">
        <v>11.31</v>
      </c>
      <c r="H960">
        <v>10.36</v>
      </c>
      <c r="J960">
        <v>0.9284</v>
      </c>
      <c r="K960" t="str">
        <f t="shared" si="51"/>
        <v>Admis sous condition</v>
      </c>
      <c r="L960" t="str" cm="1">
        <f t="array" ref="L960">_xlfn.IFS(H960&gt;=16,"Excellent",
               H960&gt;=14,"Très bien",
               H960&gt;=12,"Bien",
               H960&gt;=10,"Passable",
               TRUE,"Insuffisant")</f>
        <v>Passable</v>
      </c>
      <c r="M960" t="str">
        <f t="shared" si="52"/>
        <v>RAS</v>
      </c>
      <c r="N960" t="str">
        <f t="shared" si="53"/>
        <v>Autre filière</v>
      </c>
    </row>
    <row r="961" spans="1:14" x14ac:dyDescent="0.45">
      <c r="A961" t="s">
        <v>1288</v>
      </c>
      <c r="B961" t="s">
        <v>146</v>
      </c>
      <c r="E961" t="s">
        <v>29</v>
      </c>
      <c r="F961">
        <v>9.4499999999999993</v>
      </c>
      <c r="H961">
        <v>12.33</v>
      </c>
      <c r="J961">
        <v>0.94369999999999998</v>
      </c>
      <c r="K961" t="str">
        <f t="shared" si="51"/>
        <v>Refusé</v>
      </c>
      <c r="L961" t="str" cm="1">
        <f t="array" ref="L961">_xlfn.IFS(H961&gt;=16,"Excellent",
               H961&gt;=14,"Très bien",
               H961&gt;=12,"Bien",
               H961&gt;=10,"Passable",
               TRUE,"Insuffisant")</f>
        <v>Bien</v>
      </c>
      <c r="M961" t="str">
        <f t="shared" si="52"/>
        <v>A surveiller</v>
      </c>
      <c r="N961" t="str">
        <f t="shared" si="53"/>
        <v>Autre filière</v>
      </c>
    </row>
    <row r="962" spans="1:14" x14ac:dyDescent="0.45">
      <c r="A962" t="s">
        <v>1289</v>
      </c>
      <c r="B962" t="s">
        <v>258</v>
      </c>
      <c r="E962" t="s">
        <v>42</v>
      </c>
      <c r="F962">
        <v>9.4600000000000009</v>
      </c>
      <c r="H962">
        <v>7.1</v>
      </c>
      <c r="J962">
        <v>0.94099999999999995</v>
      </c>
      <c r="K962" t="str">
        <f t="shared" si="51"/>
        <v>Refusé</v>
      </c>
      <c r="L962" t="str" cm="1">
        <f t="array" ref="L962">_xlfn.IFS(H962&gt;=16,"Excellent",
               H962&gt;=14,"Très bien",
               H962&gt;=12,"Bien",
               H962&gt;=10,"Passable",
               TRUE,"Insuffisant")</f>
        <v>Insuffisant</v>
      </c>
      <c r="M962" t="str">
        <f t="shared" si="52"/>
        <v>A surveiller</v>
      </c>
      <c r="N962" t="str">
        <f t="shared" si="53"/>
        <v>Autre filière</v>
      </c>
    </row>
    <row r="963" spans="1:14" x14ac:dyDescent="0.45">
      <c r="A963" t="s">
        <v>1290</v>
      </c>
      <c r="B963" t="s">
        <v>372</v>
      </c>
      <c r="E963" t="s">
        <v>16</v>
      </c>
      <c r="F963">
        <v>16.52</v>
      </c>
      <c r="H963">
        <v>15.62</v>
      </c>
      <c r="J963">
        <v>0.93889999999999996</v>
      </c>
      <c r="K963" t="str">
        <f t="shared" si="51"/>
        <v>Admis</v>
      </c>
      <c r="L963" t="str" cm="1">
        <f t="array" ref="L963">_xlfn.IFS(H963&gt;=16,"Excellent",
               H963&gt;=14,"Très bien",
               H963&gt;=12,"Bien",
               H963&gt;=10,"Passable",
               TRUE,"Insuffisant")</f>
        <v>Très bien</v>
      </c>
      <c r="M963" t="str">
        <f t="shared" si="52"/>
        <v>RAS</v>
      </c>
      <c r="N963" t="str">
        <f t="shared" si="53"/>
        <v>Data</v>
      </c>
    </row>
    <row r="964" spans="1:14" x14ac:dyDescent="0.45">
      <c r="A964" t="s">
        <v>1291</v>
      </c>
      <c r="B964" t="s">
        <v>771</v>
      </c>
      <c r="E964" t="s">
        <v>21</v>
      </c>
      <c r="F964">
        <v>14.17</v>
      </c>
      <c r="H964">
        <v>17.5</v>
      </c>
      <c r="J964">
        <v>0.87539999999999996</v>
      </c>
      <c r="K964" t="str">
        <f t="shared" si="51"/>
        <v>Admis</v>
      </c>
      <c r="L964" t="str" cm="1">
        <f t="array" ref="L964">_xlfn.IFS(H964&gt;=16,"Excellent",
               H964&gt;=14,"Très bien",
               H964&gt;=12,"Bien",
               H964&gt;=10,"Passable",
               TRUE,"Insuffisant")</f>
        <v>Excellent</v>
      </c>
      <c r="M964" t="str">
        <f t="shared" si="52"/>
        <v>RAS</v>
      </c>
      <c r="N964" t="str">
        <f t="shared" si="53"/>
        <v>Autre filière</v>
      </c>
    </row>
    <row r="965" spans="1:14" x14ac:dyDescent="0.45">
      <c r="A965" t="s">
        <v>1292</v>
      </c>
      <c r="B965" t="s">
        <v>188</v>
      </c>
      <c r="E965" t="s">
        <v>29</v>
      </c>
      <c r="F965">
        <v>8.07</v>
      </c>
      <c r="H965">
        <v>8.0500000000000007</v>
      </c>
      <c r="J965">
        <v>0.92620000000000002</v>
      </c>
      <c r="K965" t="str">
        <f t="shared" si="51"/>
        <v>Refusé</v>
      </c>
      <c r="L965" t="str" cm="1">
        <f t="array" ref="L965">_xlfn.IFS(H965&gt;=16,"Excellent",
               H965&gt;=14,"Très bien",
               H965&gt;=12,"Bien",
               H965&gt;=10,"Passable",
               TRUE,"Insuffisant")</f>
        <v>Insuffisant</v>
      </c>
      <c r="M965" t="str">
        <f t="shared" si="52"/>
        <v>A surveiller</v>
      </c>
      <c r="N965" t="str">
        <f t="shared" si="53"/>
        <v>Autre filière</v>
      </c>
    </row>
    <row r="966" spans="1:14" x14ac:dyDescent="0.45">
      <c r="A966" t="s">
        <v>1293</v>
      </c>
      <c r="B966" t="s">
        <v>463</v>
      </c>
      <c r="E966" t="s">
        <v>16</v>
      </c>
      <c r="F966">
        <v>13.34</v>
      </c>
      <c r="H966">
        <v>12.08</v>
      </c>
      <c r="J966">
        <v>0.79010000000000002</v>
      </c>
      <c r="K966" t="str">
        <f t="shared" si="51"/>
        <v>Admis sous condition</v>
      </c>
      <c r="L966" t="str" cm="1">
        <f t="array" ref="L966">_xlfn.IFS(H966&gt;=16,"Excellent",
               H966&gt;=14,"Très bien",
               H966&gt;=12,"Bien",
               H966&gt;=10,"Passable",
               TRUE,"Insuffisant")</f>
        <v>Bien</v>
      </c>
      <c r="M966" t="str">
        <f t="shared" si="52"/>
        <v>RAS</v>
      </c>
      <c r="N966" t="str">
        <f t="shared" si="53"/>
        <v>Data</v>
      </c>
    </row>
    <row r="967" spans="1:14" x14ac:dyDescent="0.45">
      <c r="A967" t="s">
        <v>1294</v>
      </c>
      <c r="B967" t="s">
        <v>207</v>
      </c>
      <c r="E967" t="s">
        <v>16</v>
      </c>
      <c r="F967">
        <v>10.32</v>
      </c>
      <c r="H967">
        <v>11.64</v>
      </c>
      <c r="J967">
        <v>0.98</v>
      </c>
      <c r="K967" t="str">
        <f t="shared" si="51"/>
        <v>Admis sous condition</v>
      </c>
      <c r="L967" t="str" cm="1">
        <f t="array" ref="L967">_xlfn.IFS(H967&gt;=16,"Excellent",
               H967&gt;=14,"Très bien",
               H967&gt;=12,"Bien",
               H967&gt;=10,"Passable",
               TRUE,"Insuffisant")</f>
        <v>Passable</v>
      </c>
      <c r="M967" t="str">
        <f t="shared" si="52"/>
        <v>RAS</v>
      </c>
      <c r="N967" t="str">
        <f t="shared" si="53"/>
        <v>Data</v>
      </c>
    </row>
    <row r="968" spans="1:14" x14ac:dyDescent="0.45">
      <c r="A968" t="s">
        <v>1295</v>
      </c>
      <c r="B968" t="s">
        <v>612</v>
      </c>
      <c r="E968" t="s">
        <v>16</v>
      </c>
      <c r="F968">
        <v>17.62</v>
      </c>
      <c r="H968">
        <v>17.04</v>
      </c>
      <c r="J968">
        <v>0.81389999999999996</v>
      </c>
      <c r="K968" t="str">
        <f t="shared" si="51"/>
        <v>Admis</v>
      </c>
      <c r="L968" t="str" cm="1">
        <f t="array" ref="L968">_xlfn.IFS(H968&gt;=16,"Excellent",
               H968&gt;=14,"Très bien",
               H968&gt;=12,"Bien",
               H968&gt;=10,"Passable",
               TRUE,"Insuffisant")</f>
        <v>Excellent</v>
      </c>
      <c r="M968" t="str">
        <f t="shared" si="52"/>
        <v>RAS</v>
      </c>
      <c r="N968" t="str">
        <f t="shared" si="53"/>
        <v>Data</v>
      </c>
    </row>
    <row r="969" spans="1:14" x14ac:dyDescent="0.45">
      <c r="A969" t="s">
        <v>1296</v>
      </c>
      <c r="B969" t="s">
        <v>345</v>
      </c>
      <c r="E969" t="s">
        <v>16</v>
      </c>
      <c r="F969">
        <v>13.22</v>
      </c>
      <c r="H969">
        <v>7.65</v>
      </c>
      <c r="J969">
        <v>0.9506</v>
      </c>
      <c r="K969" t="str">
        <f t="shared" si="51"/>
        <v>Refusé</v>
      </c>
      <c r="L969" t="str" cm="1">
        <f t="array" ref="L969">_xlfn.IFS(H969&gt;=16,"Excellent",
               H969&gt;=14,"Très bien",
               H969&gt;=12,"Bien",
               H969&gt;=10,"Passable",
               TRUE,"Insuffisant")</f>
        <v>Insuffisant</v>
      </c>
      <c r="M969" t="str">
        <f t="shared" si="52"/>
        <v>A surveiller</v>
      </c>
      <c r="N969" t="str">
        <f t="shared" si="53"/>
        <v>Data</v>
      </c>
    </row>
    <row r="970" spans="1:14" x14ac:dyDescent="0.45">
      <c r="A970" t="s">
        <v>1297</v>
      </c>
      <c r="B970" t="s">
        <v>463</v>
      </c>
      <c r="E970" t="s">
        <v>42</v>
      </c>
      <c r="F970">
        <v>17.61</v>
      </c>
      <c r="H970">
        <v>18.11</v>
      </c>
      <c r="J970">
        <v>0.80110000000000003</v>
      </c>
      <c r="K970" t="str">
        <f t="shared" si="51"/>
        <v>Admis</v>
      </c>
      <c r="L970" t="str" cm="1">
        <f t="array" ref="L970">_xlfn.IFS(H970&gt;=16,"Excellent",
               H970&gt;=14,"Très bien",
               H970&gt;=12,"Bien",
               H970&gt;=10,"Passable",
               TRUE,"Insuffisant")</f>
        <v>Excellent</v>
      </c>
      <c r="M970" t="str">
        <f t="shared" si="52"/>
        <v>RAS</v>
      </c>
      <c r="N970" t="str">
        <f t="shared" si="53"/>
        <v>Autre filière</v>
      </c>
    </row>
    <row r="971" spans="1:14" x14ac:dyDescent="0.45">
      <c r="A971" t="s">
        <v>1298</v>
      </c>
      <c r="B971" t="s">
        <v>924</v>
      </c>
      <c r="E971" t="s">
        <v>16</v>
      </c>
      <c r="F971">
        <v>16</v>
      </c>
      <c r="H971">
        <v>15.79</v>
      </c>
      <c r="J971">
        <v>0.87490000000000001</v>
      </c>
      <c r="K971" t="str">
        <f t="shared" si="51"/>
        <v>Admis</v>
      </c>
      <c r="L971" t="str" cm="1">
        <f t="array" ref="L971">_xlfn.IFS(H971&gt;=16,"Excellent",
               H971&gt;=14,"Très bien",
               H971&gt;=12,"Bien",
               H971&gt;=10,"Passable",
               TRUE,"Insuffisant")</f>
        <v>Très bien</v>
      </c>
      <c r="M971" t="str">
        <f t="shared" si="52"/>
        <v>RAS</v>
      </c>
      <c r="N971" t="str">
        <f t="shared" si="53"/>
        <v>Data</v>
      </c>
    </row>
    <row r="972" spans="1:14" x14ac:dyDescent="0.45">
      <c r="A972" t="s">
        <v>1299</v>
      </c>
      <c r="B972" t="s">
        <v>258</v>
      </c>
      <c r="E972" t="s">
        <v>21</v>
      </c>
      <c r="F972">
        <v>11.48</v>
      </c>
      <c r="H972">
        <v>8.1300000000000008</v>
      </c>
      <c r="J972">
        <v>0.94620000000000004</v>
      </c>
      <c r="K972" t="str">
        <f t="shared" si="51"/>
        <v>Refusé</v>
      </c>
      <c r="L972" t="str" cm="1">
        <f t="array" ref="L972">_xlfn.IFS(H972&gt;=16,"Excellent",
               H972&gt;=14,"Très bien",
               H972&gt;=12,"Bien",
               H972&gt;=10,"Passable",
               TRUE,"Insuffisant")</f>
        <v>Insuffisant</v>
      </c>
      <c r="M972" t="str">
        <f t="shared" si="52"/>
        <v>A surveiller</v>
      </c>
      <c r="N972" t="str">
        <f t="shared" si="53"/>
        <v>Autre filière</v>
      </c>
    </row>
    <row r="973" spans="1:14" x14ac:dyDescent="0.45">
      <c r="A973" t="s">
        <v>1300</v>
      </c>
      <c r="B973" t="s">
        <v>1276</v>
      </c>
      <c r="E973" t="s">
        <v>29</v>
      </c>
      <c r="F973">
        <v>8.3800000000000008</v>
      </c>
      <c r="H973">
        <v>10.98</v>
      </c>
      <c r="J973">
        <v>0.82310000000000005</v>
      </c>
      <c r="K973" t="str">
        <f t="shared" si="51"/>
        <v>Refusé</v>
      </c>
      <c r="L973" t="str" cm="1">
        <f t="array" ref="L973">_xlfn.IFS(H973&gt;=16,"Excellent",
               H973&gt;=14,"Très bien",
               H973&gt;=12,"Bien",
               H973&gt;=10,"Passable",
               TRUE,"Insuffisant")</f>
        <v>Passable</v>
      </c>
      <c r="M973" t="str">
        <f t="shared" si="52"/>
        <v>A surveiller</v>
      </c>
      <c r="N973" t="str">
        <f t="shared" si="53"/>
        <v>Autre filière</v>
      </c>
    </row>
    <row r="974" spans="1:14" x14ac:dyDescent="0.45">
      <c r="A974" t="s">
        <v>1301</v>
      </c>
      <c r="B974" t="s">
        <v>515</v>
      </c>
      <c r="E974" t="s">
        <v>42</v>
      </c>
      <c r="F974">
        <v>8.83</v>
      </c>
      <c r="H974">
        <v>8.42</v>
      </c>
      <c r="J974">
        <v>0.73939999999999995</v>
      </c>
      <c r="K974" t="str">
        <f t="shared" si="51"/>
        <v>Refusé</v>
      </c>
      <c r="L974" t="str" cm="1">
        <f t="array" ref="L974">_xlfn.IFS(H974&gt;=16,"Excellent",
               H974&gt;=14,"Très bien",
               H974&gt;=12,"Bien",
               H974&gt;=10,"Passable",
               TRUE,"Insuffisant")</f>
        <v>Insuffisant</v>
      </c>
      <c r="M974" t="str">
        <f t="shared" si="52"/>
        <v>A surveiller</v>
      </c>
      <c r="N974" t="str">
        <f t="shared" si="53"/>
        <v>Autre filière</v>
      </c>
    </row>
    <row r="975" spans="1:14" x14ac:dyDescent="0.45">
      <c r="A975" t="s">
        <v>1302</v>
      </c>
      <c r="B975" t="s">
        <v>331</v>
      </c>
      <c r="E975" t="s">
        <v>29</v>
      </c>
      <c r="F975">
        <v>8.1</v>
      </c>
      <c r="H975">
        <v>12.2</v>
      </c>
      <c r="J975">
        <v>0.55000000000000004</v>
      </c>
      <c r="K975" t="str">
        <f t="shared" si="51"/>
        <v>Refusé</v>
      </c>
      <c r="L975" t="str" cm="1">
        <f t="array" ref="L975">_xlfn.IFS(H975&gt;=16,"Excellent",
               H975&gt;=14,"Très bien",
               H975&gt;=12,"Bien",
               H975&gt;=10,"Passable",
               TRUE,"Insuffisant")</f>
        <v>Bien</v>
      </c>
      <c r="M975" t="str">
        <f t="shared" si="52"/>
        <v>A surveiller</v>
      </c>
      <c r="N975" t="str">
        <f t="shared" si="53"/>
        <v>Autre filière</v>
      </c>
    </row>
    <row r="976" spans="1:14" x14ac:dyDescent="0.45">
      <c r="A976" t="s">
        <v>1303</v>
      </c>
      <c r="B976" t="s">
        <v>1304</v>
      </c>
      <c r="E976" t="s">
        <v>16</v>
      </c>
      <c r="F976">
        <v>11.88</v>
      </c>
      <c r="H976">
        <v>13.76</v>
      </c>
      <c r="J976">
        <v>0.64019999999999999</v>
      </c>
      <c r="K976" t="str">
        <f t="shared" si="51"/>
        <v>Admis sous condition</v>
      </c>
      <c r="L976" t="str" cm="1">
        <f t="array" ref="L976">_xlfn.IFS(H976&gt;=16,"Excellent",
               H976&gt;=14,"Très bien",
               H976&gt;=12,"Bien",
               H976&gt;=10,"Passable",
               TRUE,"Insuffisant")</f>
        <v>Bien</v>
      </c>
      <c r="M976" t="str">
        <f t="shared" si="52"/>
        <v>A surveiller</v>
      </c>
      <c r="N976" t="str">
        <f t="shared" si="53"/>
        <v>Data</v>
      </c>
    </row>
    <row r="977" spans="1:14" x14ac:dyDescent="0.45">
      <c r="A977" t="s">
        <v>1305</v>
      </c>
      <c r="B977" t="s">
        <v>508</v>
      </c>
      <c r="E977" t="s">
        <v>16</v>
      </c>
      <c r="F977">
        <v>9.86</v>
      </c>
      <c r="H977">
        <v>8.39</v>
      </c>
      <c r="J977">
        <v>0.87709999999999999</v>
      </c>
      <c r="K977" t="str">
        <f t="shared" si="51"/>
        <v>Refusé</v>
      </c>
      <c r="L977" t="str" cm="1">
        <f t="array" ref="L977">_xlfn.IFS(H977&gt;=16,"Excellent",
               H977&gt;=14,"Très bien",
               H977&gt;=12,"Bien",
               H977&gt;=10,"Passable",
               TRUE,"Insuffisant")</f>
        <v>Insuffisant</v>
      </c>
      <c r="M977" t="str">
        <f t="shared" si="52"/>
        <v>A surveiller</v>
      </c>
      <c r="N977" t="str">
        <f t="shared" si="53"/>
        <v>Data</v>
      </c>
    </row>
    <row r="978" spans="1:14" x14ac:dyDescent="0.45">
      <c r="A978" t="s">
        <v>1306</v>
      </c>
      <c r="B978" t="s">
        <v>404</v>
      </c>
      <c r="E978" t="s">
        <v>42</v>
      </c>
      <c r="F978">
        <v>8.75</v>
      </c>
      <c r="H978">
        <v>7.8</v>
      </c>
      <c r="J978">
        <v>0.96530000000000005</v>
      </c>
      <c r="K978" t="str">
        <f t="shared" si="51"/>
        <v>Refusé</v>
      </c>
      <c r="L978" t="str" cm="1">
        <f t="array" ref="L978">_xlfn.IFS(H978&gt;=16,"Excellent",
               H978&gt;=14,"Très bien",
               H978&gt;=12,"Bien",
               H978&gt;=10,"Passable",
               TRUE,"Insuffisant")</f>
        <v>Insuffisant</v>
      </c>
      <c r="M978" t="str">
        <f t="shared" si="52"/>
        <v>A surveiller</v>
      </c>
      <c r="N978" t="str">
        <f t="shared" si="53"/>
        <v>Autre filière</v>
      </c>
    </row>
    <row r="979" spans="1:14" x14ac:dyDescent="0.45">
      <c r="A979" t="s">
        <v>1307</v>
      </c>
      <c r="B979" t="s">
        <v>90</v>
      </c>
      <c r="E979" t="s">
        <v>42</v>
      </c>
      <c r="F979">
        <v>15.2</v>
      </c>
      <c r="H979">
        <v>9.99</v>
      </c>
      <c r="J979">
        <v>0.69869999999999999</v>
      </c>
      <c r="K979" t="str">
        <f t="shared" si="51"/>
        <v>Refusé</v>
      </c>
      <c r="L979" t="str" cm="1">
        <f t="array" ref="L979">_xlfn.IFS(H979&gt;=16,"Excellent",
               H979&gt;=14,"Très bien",
               H979&gt;=12,"Bien",
               H979&gt;=10,"Passable",
               TRUE,"Insuffisant")</f>
        <v>Insuffisant</v>
      </c>
      <c r="M979" t="str">
        <f t="shared" si="52"/>
        <v>A surveiller</v>
      </c>
      <c r="N979" t="str">
        <f t="shared" si="53"/>
        <v>Autre filière</v>
      </c>
    </row>
    <row r="980" spans="1:14" x14ac:dyDescent="0.45">
      <c r="A980" t="s">
        <v>1308</v>
      </c>
      <c r="B980" t="s">
        <v>247</v>
      </c>
      <c r="E980" t="s">
        <v>29</v>
      </c>
      <c r="F980">
        <v>9.1300000000000008</v>
      </c>
      <c r="H980">
        <v>6.38</v>
      </c>
      <c r="J980">
        <v>0.69350000000000001</v>
      </c>
      <c r="K980" t="str">
        <f t="shared" si="51"/>
        <v>Refusé</v>
      </c>
      <c r="L980" t="str" cm="1">
        <f t="array" ref="L980">_xlfn.IFS(H980&gt;=16,"Excellent",
               H980&gt;=14,"Très bien",
               H980&gt;=12,"Bien",
               H980&gt;=10,"Passable",
               TRUE,"Insuffisant")</f>
        <v>Insuffisant</v>
      </c>
      <c r="M980" t="str">
        <f t="shared" si="52"/>
        <v>A surveiller</v>
      </c>
      <c r="N980" t="str">
        <f t="shared" si="53"/>
        <v>Autre filière</v>
      </c>
    </row>
    <row r="981" spans="1:14" x14ac:dyDescent="0.45">
      <c r="A981" t="s">
        <v>1309</v>
      </c>
      <c r="B981" t="s">
        <v>207</v>
      </c>
      <c r="E981" t="s">
        <v>29</v>
      </c>
      <c r="F981">
        <v>10.41</v>
      </c>
      <c r="H981">
        <v>8.3800000000000008</v>
      </c>
      <c r="J981">
        <v>0.8115</v>
      </c>
      <c r="K981" t="str">
        <f t="shared" si="51"/>
        <v>Refusé</v>
      </c>
      <c r="L981" t="str" cm="1">
        <f t="array" ref="L981">_xlfn.IFS(H981&gt;=16,"Excellent",
               H981&gt;=14,"Très bien",
               H981&gt;=12,"Bien",
               H981&gt;=10,"Passable",
               TRUE,"Insuffisant")</f>
        <v>Insuffisant</v>
      </c>
      <c r="M981" t="str">
        <f t="shared" si="52"/>
        <v>A surveiller</v>
      </c>
      <c r="N981" t="str">
        <f t="shared" si="53"/>
        <v>Autre filière</v>
      </c>
    </row>
    <row r="982" spans="1:14" x14ac:dyDescent="0.45">
      <c r="A982" t="s">
        <v>1310</v>
      </c>
      <c r="B982" t="s">
        <v>160</v>
      </c>
      <c r="E982" t="s">
        <v>21</v>
      </c>
      <c r="F982">
        <v>6.37</v>
      </c>
      <c r="H982">
        <v>8.81</v>
      </c>
      <c r="J982">
        <v>0.72199999999999998</v>
      </c>
      <c r="K982" t="str">
        <f t="shared" si="51"/>
        <v>Refusé</v>
      </c>
      <c r="L982" t="str" cm="1">
        <f t="array" ref="L982">_xlfn.IFS(H982&gt;=16,"Excellent",
               H982&gt;=14,"Très bien",
               H982&gt;=12,"Bien",
               H982&gt;=10,"Passable",
               TRUE,"Insuffisant")</f>
        <v>Insuffisant</v>
      </c>
      <c r="M982" t="str">
        <f t="shared" si="52"/>
        <v>A surveiller</v>
      </c>
      <c r="N982" t="str">
        <f t="shared" si="53"/>
        <v>Autre filière</v>
      </c>
    </row>
    <row r="983" spans="1:14" x14ac:dyDescent="0.45">
      <c r="A983" t="s">
        <v>1311</v>
      </c>
      <c r="B983" t="s">
        <v>1003</v>
      </c>
      <c r="E983" t="s">
        <v>21</v>
      </c>
      <c r="F983">
        <v>11.22</v>
      </c>
      <c r="H983">
        <v>14.25</v>
      </c>
      <c r="J983">
        <v>0.65639999999999998</v>
      </c>
      <c r="K983" t="str">
        <f t="shared" si="51"/>
        <v>Admis sous condition</v>
      </c>
      <c r="L983" t="str" cm="1">
        <f t="array" ref="L983">_xlfn.IFS(H983&gt;=16,"Excellent",
               H983&gt;=14,"Très bien",
               H983&gt;=12,"Bien",
               H983&gt;=10,"Passable",
               TRUE,"Insuffisant")</f>
        <v>Très bien</v>
      </c>
      <c r="M983" t="str">
        <f t="shared" si="52"/>
        <v>A surveiller</v>
      </c>
      <c r="N983" t="str">
        <f t="shared" si="53"/>
        <v>Autre filière</v>
      </c>
    </row>
    <row r="984" spans="1:14" x14ac:dyDescent="0.45">
      <c r="A984" t="s">
        <v>1312</v>
      </c>
      <c r="B984" t="s">
        <v>92</v>
      </c>
      <c r="E984" t="s">
        <v>29</v>
      </c>
      <c r="F984">
        <v>19.16</v>
      </c>
      <c r="H984">
        <v>17.690000000000001</v>
      </c>
      <c r="J984">
        <v>0.73260000000000003</v>
      </c>
      <c r="K984" t="str">
        <f t="shared" si="51"/>
        <v>Admis sous condition</v>
      </c>
      <c r="L984" t="str" cm="1">
        <f t="array" ref="L984">_xlfn.IFS(H984&gt;=16,"Excellent",
               H984&gt;=14,"Très bien",
               H984&gt;=12,"Bien",
               H984&gt;=10,"Passable",
               TRUE,"Insuffisant")</f>
        <v>Excellent</v>
      </c>
      <c r="M984" t="str">
        <f t="shared" si="52"/>
        <v>RAS</v>
      </c>
      <c r="N984" t="str">
        <f t="shared" si="53"/>
        <v>Autre filière</v>
      </c>
    </row>
    <row r="985" spans="1:14" x14ac:dyDescent="0.45">
      <c r="A985" t="s">
        <v>1313</v>
      </c>
      <c r="B985" t="s">
        <v>583</v>
      </c>
      <c r="E985" t="s">
        <v>16</v>
      </c>
      <c r="F985">
        <v>14.06</v>
      </c>
      <c r="H985">
        <v>14.88</v>
      </c>
      <c r="J985">
        <v>0.94850000000000001</v>
      </c>
      <c r="K985" t="str">
        <f t="shared" si="51"/>
        <v>Admis</v>
      </c>
      <c r="L985" t="str" cm="1">
        <f t="array" ref="L985">_xlfn.IFS(H985&gt;=16,"Excellent",
               H985&gt;=14,"Très bien",
               H985&gt;=12,"Bien",
               H985&gt;=10,"Passable",
               TRUE,"Insuffisant")</f>
        <v>Très bien</v>
      </c>
      <c r="M985" t="str">
        <f t="shared" si="52"/>
        <v>RAS</v>
      </c>
      <c r="N985" t="str">
        <f t="shared" si="53"/>
        <v>Data</v>
      </c>
    </row>
    <row r="986" spans="1:14" x14ac:dyDescent="0.45">
      <c r="A986" t="s">
        <v>1314</v>
      </c>
      <c r="B986" t="s">
        <v>1315</v>
      </c>
      <c r="E986" t="s">
        <v>29</v>
      </c>
      <c r="F986">
        <v>18.82</v>
      </c>
      <c r="H986">
        <v>12.55</v>
      </c>
      <c r="J986">
        <v>0.66259999999999997</v>
      </c>
      <c r="K986" t="str">
        <f t="shared" si="51"/>
        <v>Admis sous condition</v>
      </c>
      <c r="L986" t="str" cm="1">
        <f t="array" ref="L986">_xlfn.IFS(H986&gt;=16,"Excellent",
               H986&gt;=14,"Très bien",
               H986&gt;=12,"Bien",
               H986&gt;=10,"Passable",
               TRUE,"Insuffisant")</f>
        <v>Bien</v>
      </c>
      <c r="M986" t="str">
        <f t="shared" si="52"/>
        <v>A surveiller</v>
      </c>
      <c r="N986" t="str">
        <f t="shared" si="53"/>
        <v>Autre filière</v>
      </c>
    </row>
    <row r="987" spans="1:14" x14ac:dyDescent="0.45">
      <c r="A987" t="s">
        <v>1316</v>
      </c>
      <c r="B987" t="s">
        <v>18</v>
      </c>
      <c r="E987" t="s">
        <v>42</v>
      </c>
      <c r="F987">
        <v>11.26</v>
      </c>
      <c r="H987">
        <v>10.4</v>
      </c>
      <c r="J987">
        <v>0.97289999999999999</v>
      </c>
      <c r="K987" t="str">
        <f t="shared" ref="K987:K1003" si="54">IF(AND(F987&gt;=12,H987&gt;=12,J987&gt;=0.8),"Admis",
   IF(AND(F987&gt;=10,H987&gt;=10),"Admis sous condition","Refusé"))</f>
        <v>Admis sous condition</v>
      </c>
      <c r="L987" t="str" cm="1">
        <f t="array" ref="L987">_xlfn.IFS(H987&gt;=16,"Excellent",
               H987&gt;=14,"Très bien",
               H987&gt;=12,"Bien",
               H987&gt;=10,"Passable",
               TRUE,"Insuffisant")</f>
        <v>Passable</v>
      </c>
      <c r="M987" t="str">
        <f t="shared" ref="M987:M1003" si="55">IF(OR(F987&lt;10,H987&lt;10,J987&lt;0.7),"A surveiller","RAS")</f>
        <v>RAS</v>
      </c>
      <c r="N987" t="str">
        <f t="shared" ref="N987:N1003" si="56">IF(NOT(E987="Data"),"Autre filière","Data")</f>
        <v>Autre filière</v>
      </c>
    </row>
    <row r="988" spans="1:14" x14ac:dyDescent="0.45">
      <c r="A988" t="s">
        <v>1317</v>
      </c>
      <c r="B988" t="s">
        <v>902</v>
      </c>
      <c r="E988" t="s">
        <v>42</v>
      </c>
      <c r="F988">
        <v>13.4</v>
      </c>
      <c r="H988">
        <v>9.61</v>
      </c>
      <c r="J988">
        <v>0.77700000000000002</v>
      </c>
      <c r="K988" t="str">
        <f t="shared" si="54"/>
        <v>Refusé</v>
      </c>
      <c r="L988" t="str" cm="1">
        <f t="array" ref="L988">_xlfn.IFS(H988&gt;=16,"Excellent",
               H988&gt;=14,"Très bien",
               H988&gt;=12,"Bien",
               H988&gt;=10,"Passable",
               TRUE,"Insuffisant")</f>
        <v>Insuffisant</v>
      </c>
      <c r="M988" t="str">
        <f t="shared" si="55"/>
        <v>A surveiller</v>
      </c>
      <c r="N988" t="str">
        <f t="shared" si="56"/>
        <v>Autre filière</v>
      </c>
    </row>
    <row r="989" spans="1:14" x14ac:dyDescent="0.45">
      <c r="A989" t="s">
        <v>1318</v>
      </c>
      <c r="B989" t="s">
        <v>569</v>
      </c>
      <c r="E989" t="s">
        <v>16</v>
      </c>
      <c r="F989">
        <v>11.99</v>
      </c>
      <c r="H989">
        <v>14.39</v>
      </c>
      <c r="J989">
        <v>0.85909999999999997</v>
      </c>
      <c r="K989" t="str">
        <f t="shared" si="54"/>
        <v>Admis sous condition</v>
      </c>
      <c r="L989" t="str" cm="1">
        <f t="array" ref="L989">_xlfn.IFS(H989&gt;=16,"Excellent",
               H989&gt;=14,"Très bien",
               H989&gt;=12,"Bien",
               H989&gt;=10,"Passable",
               TRUE,"Insuffisant")</f>
        <v>Très bien</v>
      </c>
      <c r="M989" t="str">
        <f t="shared" si="55"/>
        <v>RAS</v>
      </c>
      <c r="N989" t="str">
        <f t="shared" si="56"/>
        <v>Data</v>
      </c>
    </row>
    <row r="990" spans="1:14" x14ac:dyDescent="0.45">
      <c r="A990" t="s">
        <v>1319</v>
      </c>
      <c r="B990" t="s">
        <v>235</v>
      </c>
      <c r="E990" t="s">
        <v>16</v>
      </c>
      <c r="F990">
        <v>9.5</v>
      </c>
      <c r="H990">
        <v>10.95</v>
      </c>
      <c r="J990">
        <v>0.66690000000000005</v>
      </c>
      <c r="K990" t="str">
        <f t="shared" si="54"/>
        <v>Refusé</v>
      </c>
      <c r="L990" t="str" cm="1">
        <f t="array" ref="L990">_xlfn.IFS(H990&gt;=16,"Excellent",
               H990&gt;=14,"Très bien",
               H990&gt;=12,"Bien",
               H990&gt;=10,"Passable",
               TRUE,"Insuffisant")</f>
        <v>Passable</v>
      </c>
      <c r="M990" t="str">
        <f t="shared" si="55"/>
        <v>A surveiller</v>
      </c>
      <c r="N990" t="str">
        <f t="shared" si="56"/>
        <v>Data</v>
      </c>
    </row>
    <row r="991" spans="1:14" x14ac:dyDescent="0.45">
      <c r="A991" t="s">
        <v>1320</v>
      </c>
      <c r="B991" t="s">
        <v>398</v>
      </c>
      <c r="E991" t="s">
        <v>29</v>
      </c>
      <c r="F991">
        <v>15.83</v>
      </c>
      <c r="H991">
        <v>20</v>
      </c>
      <c r="J991">
        <v>0.90310000000000001</v>
      </c>
      <c r="K991" t="str">
        <f t="shared" si="54"/>
        <v>Admis</v>
      </c>
      <c r="L991" t="str" cm="1">
        <f t="array" ref="L991">_xlfn.IFS(H991&gt;=16,"Excellent",
               H991&gt;=14,"Très bien",
               H991&gt;=12,"Bien",
               H991&gt;=10,"Passable",
               TRUE,"Insuffisant")</f>
        <v>Excellent</v>
      </c>
      <c r="M991" t="str">
        <f t="shared" si="55"/>
        <v>RAS</v>
      </c>
      <c r="N991" t="str">
        <f t="shared" si="56"/>
        <v>Autre filière</v>
      </c>
    </row>
    <row r="992" spans="1:14" x14ac:dyDescent="0.45">
      <c r="A992" t="s">
        <v>1321</v>
      </c>
      <c r="B992" t="s">
        <v>626</v>
      </c>
      <c r="E992" t="s">
        <v>21</v>
      </c>
      <c r="F992">
        <v>8.43</v>
      </c>
      <c r="H992">
        <v>11.72</v>
      </c>
      <c r="J992">
        <v>0.6804</v>
      </c>
      <c r="K992" t="str">
        <f t="shared" si="54"/>
        <v>Refusé</v>
      </c>
      <c r="L992" t="str" cm="1">
        <f t="array" ref="L992">_xlfn.IFS(H992&gt;=16,"Excellent",
               H992&gt;=14,"Très bien",
               H992&gt;=12,"Bien",
               H992&gt;=10,"Passable",
               TRUE,"Insuffisant")</f>
        <v>Passable</v>
      </c>
      <c r="M992" t="str">
        <f t="shared" si="55"/>
        <v>A surveiller</v>
      </c>
      <c r="N992" t="str">
        <f t="shared" si="56"/>
        <v>Autre filière</v>
      </c>
    </row>
    <row r="993" spans="1:14" x14ac:dyDescent="0.45">
      <c r="A993" t="s">
        <v>1322</v>
      </c>
      <c r="B993" t="s">
        <v>212</v>
      </c>
      <c r="E993" t="s">
        <v>16</v>
      </c>
      <c r="F993">
        <v>13.8</v>
      </c>
      <c r="H993">
        <v>11.59</v>
      </c>
      <c r="J993">
        <v>0.87019999999999997</v>
      </c>
      <c r="K993" t="str">
        <f t="shared" si="54"/>
        <v>Admis sous condition</v>
      </c>
      <c r="L993" t="str" cm="1">
        <f t="array" ref="L993">_xlfn.IFS(H993&gt;=16,"Excellent",
               H993&gt;=14,"Très bien",
               H993&gt;=12,"Bien",
               H993&gt;=10,"Passable",
               TRUE,"Insuffisant")</f>
        <v>Passable</v>
      </c>
      <c r="M993" t="str">
        <f t="shared" si="55"/>
        <v>RAS</v>
      </c>
      <c r="N993" t="str">
        <f t="shared" si="56"/>
        <v>Data</v>
      </c>
    </row>
    <row r="994" spans="1:14" x14ac:dyDescent="0.45">
      <c r="A994" t="s">
        <v>1323</v>
      </c>
      <c r="B994" t="s">
        <v>1324</v>
      </c>
      <c r="E994" t="s">
        <v>29</v>
      </c>
      <c r="F994">
        <v>12.64</v>
      </c>
      <c r="H994">
        <v>13.57</v>
      </c>
      <c r="J994">
        <v>0.87929999999999997</v>
      </c>
      <c r="K994" t="str">
        <f t="shared" si="54"/>
        <v>Admis</v>
      </c>
      <c r="L994" t="str" cm="1">
        <f t="array" ref="L994">_xlfn.IFS(H994&gt;=16,"Excellent",
               H994&gt;=14,"Très bien",
               H994&gt;=12,"Bien",
               H994&gt;=10,"Passable",
               TRUE,"Insuffisant")</f>
        <v>Bien</v>
      </c>
      <c r="M994" t="str">
        <f t="shared" si="55"/>
        <v>RAS</v>
      </c>
      <c r="N994" t="str">
        <f t="shared" si="56"/>
        <v>Autre filière</v>
      </c>
    </row>
    <row r="995" spans="1:14" x14ac:dyDescent="0.45">
      <c r="A995" t="s">
        <v>1325</v>
      </c>
      <c r="B995" t="s">
        <v>376</v>
      </c>
      <c r="E995" t="s">
        <v>16</v>
      </c>
      <c r="F995">
        <v>11.57</v>
      </c>
      <c r="H995">
        <v>18.86</v>
      </c>
      <c r="J995">
        <v>0.94410000000000005</v>
      </c>
      <c r="K995" t="str">
        <f t="shared" si="54"/>
        <v>Admis sous condition</v>
      </c>
      <c r="L995" t="str" cm="1">
        <f t="array" ref="L995">_xlfn.IFS(H995&gt;=16,"Excellent",
               H995&gt;=14,"Très bien",
               H995&gt;=12,"Bien",
               H995&gt;=10,"Passable",
               TRUE,"Insuffisant")</f>
        <v>Excellent</v>
      </c>
      <c r="M995" t="str">
        <f t="shared" si="55"/>
        <v>RAS</v>
      </c>
      <c r="N995" t="str">
        <f t="shared" si="56"/>
        <v>Data</v>
      </c>
    </row>
    <row r="996" spans="1:14" x14ac:dyDescent="0.45">
      <c r="A996" t="s">
        <v>1326</v>
      </c>
      <c r="B996" t="s">
        <v>374</v>
      </c>
      <c r="E996" t="s">
        <v>16</v>
      </c>
      <c r="F996">
        <v>14.34</v>
      </c>
      <c r="H996">
        <v>8.32</v>
      </c>
      <c r="J996">
        <v>0.66180000000000005</v>
      </c>
      <c r="K996" t="str">
        <f t="shared" si="54"/>
        <v>Refusé</v>
      </c>
      <c r="L996" t="str" cm="1">
        <f t="array" ref="L996">_xlfn.IFS(H996&gt;=16,"Excellent",
               H996&gt;=14,"Très bien",
               H996&gt;=12,"Bien",
               H996&gt;=10,"Passable",
               TRUE,"Insuffisant")</f>
        <v>Insuffisant</v>
      </c>
      <c r="M996" t="str">
        <f t="shared" si="55"/>
        <v>A surveiller</v>
      </c>
      <c r="N996" t="str">
        <f t="shared" si="56"/>
        <v>Data</v>
      </c>
    </row>
    <row r="997" spans="1:14" x14ac:dyDescent="0.45">
      <c r="A997" t="s">
        <v>1327</v>
      </c>
      <c r="B997" t="s">
        <v>65</v>
      </c>
      <c r="E997" t="s">
        <v>42</v>
      </c>
      <c r="F997">
        <v>12.97</v>
      </c>
      <c r="H997">
        <v>11.09</v>
      </c>
      <c r="J997">
        <v>0.63160000000000005</v>
      </c>
      <c r="K997" t="str">
        <f t="shared" si="54"/>
        <v>Admis sous condition</v>
      </c>
      <c r="L997" t="str" cm="1">
        <f t="array" ref="L997">_xlfn.IFS(H997&gt;=16,"Excellent",
               H997&gt;=14,"Très bien",
               H997&gt;=12,"Bien",
               H997&gt;=10,"Passable",
               TRUE,"Insuffisant")</f>
        <v>Passable</v>
      </c>
      <c r="M997" t="str">
        <f t="shared" si="55"/>
        <v>A surveiller</v>
      </c>
      <c r="N997" t="str">
        <f t="shared" si="56"/>
        <v>Autre filière</v>
      </c>
    </row>
    <row r="998" spans="1:14" x14ac:dyDescent="0.45">
      <c r="A998" t="s">
        <v>1328</v>
      </c>
      <c r="B998" t="s">
        <v>23</v>
      </c>
      <c r="E998" t="s">
        <v>29</v>
      </c>
      <c r="F998">
        <v>9.0299999999999994</v>
      </c>
      <c r="H998">
        <v>12.52</v>
      </c>
      <c r="J998">
        <v>0.87109999999999999</v>
      </c>
      <c r="K998" t="str">
        <f t="shared" si="54"/>
        <v>Refusé</v>
      </c>
      <c r="L998" t="str" cm="1">
        <f t="array" ref="L998">_xlfn.IFS(H998&gt;=16,"Excellent",
               H998&gt;=14,"Très bien",
               H998&gt;=12,"Bien",
               H998&gt;=10,"Passable",
               TRUE,"Insuffisant")</f>
        <v>Bien</v>
      </c>
      <c r="M998" t="str">
        <f t="shared" si="55"/>
        <v>A surveiller</v>
      </c>
      <c r="N998" t="str">
        <f t="shared" si="56"/>
        <v>Autre filière</v>
      </c>
    </row>
    <row r="999" spans="1:14" x14ac:dyDescent="0.45">
      <c r="A999" t="s">
        <v>1329</v>
      </c>
      <c r="B999" t="s">
        <v>372</v>
      </c>
      <c r="E999" t="s">
        <v>29</v>
      </c>
      <c r="F999">
        <v>11.33</v>
      </c>
      <c r="H999">
        <v>10.73</v>
      </c>
      <c r="J999">
        <v>0.96430000000000005</v>
      </c>
      <c r="K999" t="str">
        <f t="shared" si="54"/>
        <v>Admis sous condition</v>
      </c>
      <c r="L999" t="str" cm="1">
        <f t="array" ref="L999">_xlfn.IFS(H999&gt;=16,"Excellent",
               H999&gt;=14,"Très bien",
               H999&gt;=12,"Bien",
               H999&gt;=10,"Passable",
               TRUE,"Insuffisant")</f>
        <v>Passable</v>
      </c>
      <c r="M999" t="str">
        <f t="shared" si="55"/>
        <v>RAS</v>
      </c>
      <c r="N999" t="str">
        <f t="shared" si="56"/>
        <v>Autre filière</v>
      </c>
    </row>
    <row r="1000" spans="1:14" x14ac:dyDescent="0.45">
      <c r="A1000" t="s">
        <v>1330</v>
      </c>
      <c r="B1000" t="s">
        <v>185</v>
      </c>
      <c r="E1000" t="s">
        <v>21</v>
      </c>
      <c r="F1000">
        <v>15.48</v>
      </c>
      <c r="H1000">
        <v>14.33</v>
      </c>
      <c r="J1000">
        <v>0.64580000000000004</v>
      </c>
      <c r="K1000" t="str">
        <f t="shared" si="54"/>
        <v>Admis sous condition</v>
      </c>
      <c r="L1000" t="str" cm="1">
        <f t="array" ref="L1000">_xlfn.IFS(H1000&gt;=16,"Excellent",
               H1000&gt;=14,"Très bien",
               H1000&gt;=12,"Bien",
               H1000&gt;=10,"Passable",
               TRUE,"Insuffisant")</f>
        <v>Très bien</v>
      </c>
      <c r="M1000" t="str">
        <f t="shared" si="55"/>
        <v>A surveiller</v>
      </c>
      <c r="N1000" t="str">
        <f t="shared" si="56"/>
        <v>Autre filière</v>
      </c>
    </row>
    <row r="1001" spans="1:14" x14ac:dyDescent="0.45">
      <c r="A1001" t="s">
        <v>1331</v>
      </c>
      <c r="B1001" t="s">
        <v>49</v>
      </c>
      <c r="E1001" t="s">
        <v>16</v>
      </c>
      <c r="F1001">
        <v>16.309999999999999</v>
      </c>
      <c r="H1001">
        <v>11.5</v>
      </c>
      <c r="J1001">
        <v>0.90300000000000002</v>
      </c>
      <c r="K1001" t="str">
        <f t="shared" si="54"/>
        <v>Admis sous condition</v>
      </c>
      <c r="L1001" t="str" cm="1">
        <f t="array" ref="L1001">_xlfn.IFS(H1001&gt;=16,"Excellent",
               H1001&gt;=14,"Très bien",
               H1001&gt;=12,"Bien",
               H1001&gt;=10,"Passable",
               TRUE,"Insuffisant")</f>
        <v>Passable</v>
      </c>
      <c r="M1001" t="str">
        <f t="shared" si="55"/>
        <v>RAS</v>
      </c>
      <c r="N1001" t="str">
        <f t="shared" si="56"/>
        <v>Data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Pratique_Logique</vt:lpstr>
      <vt:lpstr>Erreurs</vt:lpstr>
      <vt:lpstr>Systeme_Admission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Abdou DJIGO</cp:lastModifiedBy>
  <dcterms:created xsi:type="dcterms:W3CDTF">2026-08-22T08:14:20Z</dcterms:created>
  <dcterms:modified xsi:type="dcterms:W3CDTF">2026-08-27T19:51:54Z</dcterms:modified>
</cp:coreProperties>
</file>