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07-fonctions-statistiques\exercices\"/>
    </mc:Choice>
  </mc:AlternateContent>
  <xr:revisionPtr revIDLastSave="0" documentId="13_ncr:1_{E16B9973-A096-40BD-8DAB-DE0E7E86BAC4}" xr6:coauthVersionLast="47" xr6:coauthVersionMax="47" xr10:uidLastSave="{00000000-0000-0000-0000-000000000000}"/>
  <bookViews>
    <workbookView xWindow="-98" yWindow="-98" windowWidth="19396" windowHeight="10276" activeTab="1" xr2:uid="{00000000-000D-0000-FFFF-FFFF00000000}"/>
  </bookViews>
  <sheets>
    <sheet name="Pratique" sheetId="1" r:id="rId1"/>
    <sheet name="Analyse_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2" i="2"/>
  <c r="B17" i="1"/>
  <c r="B16" i="1"/>
  <c r="B15" i="1"/>
  <c r="B3" i="2"/>
  <c r="B6" i="1"/>
  <c r="B3" i="1"/>
  <c r="B2" i="1"/>
  <c r="B10" i="1"/>
  <c r="B12" i="1"/>
  <c r="B11" i="1"/>
  <c r="B5" i="1"/>
  <c r="B4" i="1"/>
</calcChain>
</file>

<file path=xl/sharedStrings.xml><?xml version="1.0" encoding="utf-8"?>
<sst xmlns="http://schemas.openxmlformats.org/spreadsheetml/2006/main" count="5044" uniqueCount="1358">
  <si>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</si>
  <si>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</si>
  <si>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</si>
  <si>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</si>
  <si>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</si>
  <si>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</si>
  <si>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</si>
  <si>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</si>
  <si>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</si>
  <si>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</si>
  <si>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</si>
  <si>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</si>
  <si>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ST0001</t>
  </si>
  <si>
    <t>Coumba Sarr</t>
  </si>
  <si>
    <t>F</t>
  </si>
  <si>
    <t>Saint-Louis</t>
  </si>
  <si>
    <t>Data</t>
  </si>
  <si>
    <t>ST0002</t>
  </si>
  <si>
    <t>Alioune Diop</t>
  </si>
  <si>
    <t>M</t>
  </si>
  <si>
    <t>Ziguinchor</t>
  </si>
  <si>
    <t>IA</t>
  </si>
  <si>
    <t>ST0003</t>
  </si>
  <si>
    <t>Moustapha Sow</t>
  </si>
  <si>
    <t>ST0004</t>
  </si>
  <si>
    <t>Coumba Diop</t>
  </si>
  <si>
    <t>ST0005</t>
  </si>
  <si>
    <t>Fatou Ndour</t>
  </si>
  <si>
    <t>Kaolack</t>
  </si>
  <si>
    <t>Developpement</t>
  </si>
  <si>
    <t>ST0006</t>
  </si>
  <si>
    <t>Moussa Ba</t>
  </si>
  <si>
    <t>Thies</t>
  </si>
  <si>
    <t>ST0007</t>
  </si>
  <si>
    <t>Coumba Seck</t>
  </si>
  <si>
    <t>Touba</t>
  </si>
  <si>
    <t>ST0008</t>
  </si>
  <si>
    <t>Moustapha Sarr</t>
  </si>
  <si>
    <t>ST0009</t>
  </si>
  <si>
    <t>Astou Seck</t>
  </si>
  <si>
    <t>ST0010</t>
  </si>
  <si>
    <t>Khadija Fall</t>
  </si>
  <si>
    <t>Cybersecurite</t>
  </si>
  <si>
    <t>ST0011</t>
  </si>
  <si>
    <t>Cheikh Ndiaye</t>
  </si>
  <si>
    <t>ST0012</t>
  </si>
  <si>
    <t>Alioune Ba</t>
  </si>
  <si>
    <t>Dakar</t>
  </si>
  <si>
    <t>ST0013</t>
  </si>
  <si>
    <t>Cheikh Camara</t>
  </si>
  <si>
    <t>ST0014</t>
  </si>
  <si>
    <t>Ousmane Sy</t>
  </si>
  <si>
    <t>ST0015</t>
  </si>
  <si>
    <t>Moustapha Cisse</t>
  </si>
  <si>
    <t>ST0016</t>
  </si>
  <si>
    <t>Pape Ba</t>
  </si>
  <si>
    <t>ST0017</t>
  </si>
  <si>
    <t>Ousmane Seck</t>
  </si>
  <si>
    <t>ST0018</t>
  </si>
  <si>
    <t>Rokhaya Fall</t>
  </si>
  <si>
    <t>ST0019</t>
  </si>
  <si>
    <t>Mamadou Diallo</t>
  </si>
  <si>
    <t>ST0020</t>
  </si>
  <si>
    <t>Fatou Faye</t>
  </si>
  <si>
    <t>ST0021</t>
  </si>
  <si>
    <t>Mamadou Mbaye</t>
  </si>
  <si>
    <t>ST0022</t>
  </si>
  <si>
    <t>Awa Seck</t>
  </si>
  <si>
    <t>ST0023</t>
  </si>
  <si>
    <t>Coumba Mbaye</t>
  </si>
  <si>
    <t>ST0024</t>
  </si>
  <si>
    <t>Pape Gueye</t>
  </si>
  <si>
    <t>ST0025</t>
  </si>
  <si>
    <t>Pape Sow</t>
  </si>
  <si>
    <t>ST0026</t>
  </si>
  <si>
    <t>Mamadou Camara</t>
  </si>
  <si>
    <t>ST0027</t>
  </si>
  <si>
    <t>Awa Diallo</t>
  </si>
  <si>
    <t>ST0028</t>
  </si>
  <si>
    <t>Cheikh Fall</t>
  </si>
  <si>
    <t>ST0029</t>
  </si>
  <si>
    <t>ST0030</t>
  </si>
  <si>
    <t>Aminata Camara</t>
  </si>
  <si>
    <t>ST0031</t>
  </si>
  <si>
    <t>Rokhaya Ndiaye</t>
  </si>
  <si>
    <t>ST0032</t>
  </si>
  <si>
    <t>Fatou Camara</t>
  </si>
  <si>
    <t>ST0033</t>
  </si>
  <si>
    <t>Astou Cisse</t>
  </si>
  <si>
    <t>ST0034</t>
  </si>
  <si>
    <t>Ousmane Sarr</t>
  </si>
  <si>
    <t>ST0035</t>
  </si>
  <si>
    <t>Mamadou Sow</t>
  </si>
  <si>
    <t>ST0036</t>
  </si>
  <si>
    <t>Astou Gueye</t>
  </si>
  <si>
    <t>ST0037</t>
  </si>
  <si>
    <t>Moussa Sy</t>
  </si>
  <si>
    <t>ST0038</t>
  </si>
  <si>
    <t>Mamadou Faye</t>
  </si>
  <si>
    <t>ST0039</t>
  </si>
  <si>
    <t>Rokhaya Faye</t>
  </si>
  <si>
    <t>ST0040</t>
  </si>
  <si>
    <t>ST0041</t>
  </si>
  <si>
    <t>Astou Sy</t>
  </si>
  <si>
    <t>ST0042</t>
  </si>
  <si>
    <t>Pape Ndour</t>
  </si>
  <si>
    <t>ST0043</t>
  </si>
  <si>
    <t>Babacar Sy</t>
  </si>
  <si>
    <t>ST0044</t>
  </si>
  <si>
    <t>Aminata Ndiaye</t>
  </si>
  <si>
    <t>ST0045</t>
  </si>
  <si>
    <t>Astou Ndiaye</t>
  </si>
  <si>
    <t>ST0046</t>
  </si>
  <si>
    <t>Ibrahima Cisse</t>
  </si>
  <si>
    <t>ST0047</t>
  </si>
  <si>
    <t>Mariama Camara</t>
  </si>
  <si>
    <t>ST0048</t>
  </si>
  <si>
    <t>Abdoulaye Faye</t>
  </si>
  <si>
    <t>ST0049</t>
  </si>
  <si>
    <t>Abdoulaye Fall</t>
  </si>
  <si>
    <t>ST0050</t>
  </si>
  <si>
    <t>Ibrahima Mbaye</t>
  </si>
  <si>
    <t>ST0051</t>
  </si>
  <si>
    <t>Moustapha Fall</t>
  </si>
  <si>
    <t>ST0052</t>
  </si>
  <si>
    <t>Aminata Diallo</t>
  </si>
  <si>
    <t>ST0053</t>
  </si>
  <si>
    <t>Khadija Seck</t>
  </si>
  <si>
    <t>ST0054</t>
  </si>
  <si>
    <t>Ndeye Ndiaye</t>
  </si>
  <si>
    <t>ST0055</t>
  </si>
  <si>
    <t>Awa Mbaye</t>
  </si>
  <si>
    <t>ST0056</t>
  </si>
  <si>
    <t>Ndeye Sy</t>
  </si>
  <si>
    <t>ST0057</t>
  </si>
  <si>
    <t>Babacar Seck</t>
  </si>
  <si>
    <t>ST0058</t>
  </si>
  <si>
    <t>ST0059</t>
  </si>
  <si>
    <t>Babacar Ndiaye</t>
  </si>
  <si>
    <t>ST0060</t>
  </si>
  <si>
    <t>Ousmane Diallo</t>
  </si>
  <si>
    <t>ST0061</t>
  </si>
  <si>
    <t>Alioune Sy</t>
  </si>
  <si>
    <t>ST0062</t>
  </si>
  <si>
    <t>Abdoulaye Seck</t>
  </si>
  <si>
    <t>ST0063</t>
  </si>
  <si>
    <t>Fatou Sarr</t>
  </si>
  <si>
    <t>ST0064</t>
  </si>
  <si>
    <t>ST0065</t>
  </si>
  <si>
    <t>Astou Fall</t>
  </si>
  <si>
    <t>ST0066</t>
  </si>
  <si>
    <t>Aminata Sy</t>
  </si>
  <si>
    <t>ST0067</t>
  </si>
  <si>
    <t>Moussa Camara</t>
  </si>
  <si>
    <t>ST0068</t>
  </si>
  <si>
    <t>Sokhna Diallo</t>
  </si>
  <si>
    <t>ST0069</t>
  </si>
  <si>
    <t>ST0070</t>
  </si>
  <si>
    <t>Awa Cisse</t>
  </si>
  <si>
    <t>ST0071</t>
  </si>
  <si>
    <t>Abdoulaye Kane</t>
  </si>
  <si>
    <t>ST0072</t>
  </si>
  <si>
    <t>Mariama Fall</t>
  </si>
  <si>
    <t>ST0073</t>
  </si>
  <si>
    <t>Astou Faye</t>
  </si>
  <si>
    <t>ST0074</t>
  </si>
  <si>
    <t>ST0075</t>
  </si>
  <si>
    <t>Babacar Cisse</t>
  </si>
  <si>
    <t>ST0076</t>
  </si>
  <si>
    <t>Fatou Sow</t>
  </si>
  <si>
    <t>ST0077</t>
  </si>
  <si>
    <t>ST0078</t>
  </si>
  <si>
    <t>Fatou Sy</t>
  </si>
  <si>
    <t>ST0079</t>
  </si>
  <si>
    <t>Babacar Ba</t>
  </si>
  <si>
    <t>ST0080</t>
  </si>
  <si>
    <t>Pape Kane</t>
  </si>
  <si>
    <t>ST0081</t>
  </si>
  <si>
    <t>Moussa Diop</t>
  </si>
  <si>
    <t>ST0082</t>
  </si>
  <si>
    <t>Ndeye Gueye</t>
  </si>
  <si>
    <t>ST0083</t>
  </si>
  <si>
    <t>Ndeye Mbaye</t>
  </si>
  <si>
    <t>ST0084</t>
  </si>
  <si>
    <t>ST0085</t>
  </si>
  <si>
    <t>Cheikh Seck</t>
  </si>
  <si>
    <t>ST0086</t>
  </si>
  <si>
    <t>ST0087</t>
  </si>
  <si>
    <t>Coumba Sy</t>
  </si>
  <si>
    <t>ST0088</t>
  </si>
  <si>
    <t>Ndeye Ndour</t>
  </si>
  <si>
    <t>ST0089</t>
  </si>
  <si>
    <t>Abdoulaye Cisse</t>
  </si>
  <si>
    <t>ST0090</t>
  </si>
  <si>
    <t>Ibrahima Ndiaye</t>
  </si>
  <si>
    <t>ST0091</t>
  </si>
  <si>
    <t>Khadija Ba</t>
  </si>
  <si>
    <t>ST0092</t>
  </si>
  <si>
    <t>Babacar Sow</t>
  </si>
  <si>
    <t>ST0093</t>
  </si>
  <si>
    <t>ST0094</t>
  </si>
  <si>
    <t>Aminata Kane</t>
  </si>
  <si>
    <t>ST0095</t>
  </si>
  <si>
    <t>ST0096</t>
  </si>
  <si>
    <t>Awa Ndiaye</t>
  </si>
  <si>
    <t>ST0097</t>
  </si>
  <si>
    <t>ST0098</t>
  </si>
  <si>
    <t>Alioune Faye</t>
  </si>
  <si>
    <t>ST0099</t>
  </si>
  <si>
    <t>ST0100</t>
  </si>
  <si>
    <t>Rokhaya Gueye</t>
  </si>
  <si>
    <t>ST0101</t>
  </si>
  <si>
    <t>Babacar Diop</t>
  </si>
  <si>
    <t>ST0102</t>
  </si>
  <si>
    <t>Rokhaya Ndour</t>
  </si>
  <si>
    <t>ST0103</t>
  </si>
  <si>
    <t>ST0104</t>
  </si>
  <si>
    <t>ST0105</t>
  </si>
  <si>
    <t>Ousmane Gueye</t>
  </si>
  <si>
    <t>ST0106</t>
  </si>
  <si>
    <t>Ibrahima Faye</t>
  </si>
  <si>
    <t>ST0107</t>
  </si>
  <si>
    <t>ST0108</t>
  </si>
  <si>
    <t>Moussa Diallo</t>
  </si>
  <si>
    <t>ST0109</t>
  </si>
  <si>
    <t>Ndeye Kane</t>
  </si>
  <si>
    <t>ST0110</t>
  </si>
  <si>
    <t>Mamadou Ndiaye</t>
  </si>
  <si>
    <t>ST0111</t>
  </si>
  <si>
    <t>Sokhna Ndour</t>
  </si>
  <si>
    <t>ST0112</t>
  </si>
  <si>
    <t>Cheikh Diop</t>
  </si>
  <si>
    <t>ST0113</t>
  </si>
  <si>
    <t>Ibrahima Kane</t>
  </si>
  <si>
    <t>ST0114</t>
  </si>
  <si>
    <t>Mariama Gueye</t>
  </si>
  <si>
    <t>ST0115</t>
  </si>
  <si>
    <t>Ibrahima Diop</t>
  </si>
  <si>
    <t>ST0116</t>
  </si>
  <si>
    <t>ST0117</t>
  </si>
  <si>
    <t>Ndeye Diallo</t>
  </si>
  <si>
    <t>ST0118</t>
  </si>
  <si>
    <t>Khadija Ndiaye</t>
  </si>
  <si>
    <t>ST0119</t>
  </si>
  <si>
    <t>ST0120</t>
  </si>
  <si>
    <t>Rokhaya Sy</t>
  </si>
  <si>
    <t>ST0121</t>
  </si>
  <si>
    <t>Awa Gueye</t>
  </si>
  <si>
    <t>ST0122</t>
  </si>
  <si>
    <t>ST0123</t>
  </si>
  <si>
    <t>Cheikh Kane</t>
  </si>
  <si>
    <t>ST0124</t>
  </si>
  <si>
    <t>Mariama Sarr</t>
  </si>
  <si>
    <t>ST0125</t>
  </si>
  <si>
    <t>Pape Seck</t>
  </si>
  <si>
    <t>ST0126</t>
  </si>
  <si>
    <t>Pape Sy</t>
  </si>
  <si>
    <t>ST0127</t>
  </si>
  <si>
    <t>Coumba Fall</t>
  </si>
  <si>
    <t>ST0128</t>
  </si>
  <si>
    <t>ST0129</t>
  </si>
  <si>
    <t>ST0130</t>
  </si>
  <si>
    <t>Abdoulaye Ndour</t>
  </si>
  <si>
    <t>ST0131</t>
  </si>
  <si>
    <t>Babacar Mbaye</t>
  </si>
  <si>
    <t>ST0132</t>
  </si>
  <si>
    <t>Abdoulaye Sarr</t>
  </si>
  <si>
    <t>ST0133</t>
  </si>
  <si>
    <t>Astou Camara</t>
  </si>
  <si>
    <t>ST0134</t>
  </si>
  <si>
    <t>ST0135</t>
  </si>
  <si>
    <t>ST0136</t>
  </si>
  <si>
    <t>Awa Camara</t>
  </si>
  <si>
    <t>ST0137</t>
  </si>
  <si>
    <t>Alioune Diallo</t>
  </si>
  <si>
    <t>ST0138</t>
  </si>
  <si>
    <t>ST0139</t>
  </si>
  <si>
    <t>Astou Sow</t>
  </si>
  <si>
    <t>ST0140</t>
  </si>
  <si>
    <t>Khadija Sarr</t>
  </si>
  <si>
    <t>ST0141</t>
  </si>
  <si>
    <t>ST0142</t>
  </si>
  <si>
    <t>Aminata Diop</t>
  </si>
  <si>
    <t>ST0143</t>
  </si>
  <si>
    <t>ST0144</t>
  </si>
  <si>
    <t>Coumba Ba</t>
  </si>
  <si>
    <t>ST0145</t>
  </si>
  <si>
    <t>ST0146</t>
  </si>
  <si>
    <t>ST0147</t>
  </si>
  <si>
    <t>Khadija Faye</t>
  </si>
  <si>
    <t>ST0148</t>
  </si>
  <si>
    <t>Astou Kane</t>
  </si>
  <si>
    <t>ST0149</t>
  </si>
  <si>
    <t>ST0150</t>
  </si>
  <si>
    <t>ST0151</t>
  </si>
  <si>
    <t>Ousmane Ba</t>
  </si>
  <si>
    <t>ST0152</t>
  </si>
  <si>
    <t>ST0153</t>
  </si>
  <si>
    <t>ST0154</t>
  </si>
  <si>
    <t>ST0155</t>
  </si>
  <si>
    <t>ST0156</t>
  </si>
  <si>
    <t>Moustapha Diallo</t>
  </si>
  <si>
    <t>ST0157</t>
  </si>
  <si>
    <t>ST0158</t>
  </si>
  <si>
    <t>Pape Mbaye</t>
  </si>
  <si>
    <t>ST0159</t>
  </si>
  <si>
    <t>ST0160</t>
  </si>
  <si>
    <t>Ousmane Camara</t>
  </si>
  <si>
    <t>ST0161</t>
  </si>
  <si>
    <t>Moustapha Mbaye</t>
  </si>
  <si>
    <t>ST0162</t>
  </si>
  <si>
    <t>Babacar Gueye</t>
  </si>
  <si>
    <t>ST0163</t>
  </si>
  <si>
    <t>ST0164</t>
  </si>
  <si>
    <t>Khadija Diop</t>
  </si>
  <si>
    <t>ST0165</t>
  </si>
  <si>
    <t>ST0166</t>
  </si>
  <si>
    <t>Ibrahima Sow</t>
  </si>
  <si>
    <t>ST0167</t>
  </si>
  <si>
    <t>Awa Ndour</t>
  </si>
  <si>
    <t>ST0168</t>
  </si>
  <si>
    <t>ST0169</t>
  </si>
  <si>
    <t>ST0170</t>
  </si>
  <si>
    <t>Ndeye Diop</t>
  </si>
  <si>
    <t>ST0171</t>
  </si>
  <si>
    <t>Sokhna Seck</t>
  </si>
  <si>
    <t>ST0172</t>
  </si>
  <si>
    <t>ST0173</t>
  </si>
  <si>
    <t>ST0174</t>
  </si>
  <si>
    <t>ST0175</t>
  </si>
  <si>
    <t>ST0176</t>
  </si>
  <si>
    <t>Aminata Cisse</t>
  </si>
  <si>
    <t>ST0177</t>
  </si>
  <si>
    <t>ST0178</t>
  </si>
  <si>
    <t>Fatou Diallo</t>
  </si>
  <si>
    <t>ST0179</t>
  </si>
  <si>
    <t>Cheikh Sarr</t>
  </si>
  <si>
    <t>ST0180</t>
  </si>
  <si>
    <t>Mamadou Gueye</t>
  </si>
  <si>
    <t>ST0181</t>
  </si>
  <si>
    <t>Abdoulaye Sy</t>
  </si>
  <si>
    <t>ST0182</t>
  </si>
  <si>
    <t>ST0183</t>
  </si>
  <si>
    <t>ST0184</t>
  </si>
  <si>
    <t>ST0185</t>
  </si>
  <si>
    <t>Rokhaya Kane</t>
  </si>
  <si>
    <t>ST0186</t>
  </si>
  <si>
    <t>ST0187</t>
  </si>
  <si>
    <t>Fatou Diop</t>
  </si>
  <si>
    <t>ST0188</t>
  </si>
  <si>
    <t>ST0189</t>
  </si>
  <si>
    <t>Khadija Kane</t>
  </si>
  <si>
    <t>ST0190</t>
  </si>
  <si>
    <t>Awa Faye</t>
  </si>
  <si>
    <t>ST0191</t>
  </si>
  <si>
    <t>ST0192</t>
  </si>
  <si>
    <t>Cheikh Ba</t>
  </si>
  <si>
    <t>ST0193</t>
  </si>
  <si>
    <t>ST0194</t>
  </si>
  <si>
    <t>ST0195</t>
  </si>
  <si>
    <t>Moustapha Ndiaye</t>
  </si>
  <si>
    <t>ST0196</t>
  </si>
  <si>
    <t>ST0197</t>
  </si>
  <si>
    <t>ST0198</t>
  </si>
  <si>
    <t>Ndeye Camara</t>
  </si>
  <si>
    <t>ST0199</t>
  </si>
  <si>
    <t>Coumba Camara</t>
  </si>
  <si>
    <t>ST0200</t>
  </si>
  <si>
    <t>ST0201</t>
  </si>
  <si>
    <t>ST0202</t>
  </si>
  <si>
    <t>Babacar Kane</t>
  </si>
  <si>
    <t>ST0203</t>
  </si>
  <si>
    <t>Ndeye Sow</t>
  </si>
  <si>
    <t>ST0204</t>
  </si>
  <si>
    <t>Alioune Mbaye</t>
  </si>
  <si>
    <t>ST0205</t>
  </si>
  <si>
    <t>Sokhna Diop</t>
  </si>
  <si>
    <t>ST0206</t>
  </si>
  <si>
    <t>ST0207</t>
  </si>
  <si>
    <t>ST0208</t>
  </si>
  <si>
    <t>Alioune Kane</t>
  </si>
  <si>
    <t>ST0209</t>
  </si>
  <si>
    <t>Mariama Sow</t>
  </si>
  <si>
    <t>ST0210</t>
  </si>
  <si>
    <t>ST0211</t>
  </si>
  <si>
    <t>ST0212</t>
  </si>
  <si>
    <t>Alioune Sarr</t>
  </si>
  <si>
    <t>ST0213</t>
  </si>
  <si>
    <t>ST0214</t>
  </si>
  <si>
    <t>ST0215</t>
  </si>
  <si>
    <t>ST0216</t>
  </si>
  <si>
    <t>ST0217</t>
  </si>
  <si>
    <t>ST0218</t>
  </si>
  <si>
    <t>ST0219</t>
  </si>
  <si>
    <t>ST0220</t>
  </si>
  <si>
    <t>ST0221</t>
  </si>
  <si>
    <t>ST0222</t>
  </si>
  <si>
    <t>ST0223</t>
  </si>
  <si>
    <t>Moussa Faye</t>
  </si>
  <si>
    <t>ST0224</t>
  </si>
  <si>
    <t>Sokhna Camara</t>
  </si>
  <si>
    <t>ST0225</t>
  </si>
  <si>
    <t>Babacar Camara</t>
  </si>
  <si>
    <t>ST0226</t>
  </si>
  <si>
    <t>Ndeye Faye</t>
  </si>
  <si>
    <t>ST0227</t>
  </si>
  <si>
    <t>Ibrahima Fall</t>
  </si>
  <si>
    <t>ST0228</t>
  </si>
  <si>
    <t>ST0229</t>
  </si>
  <si>
    <t>Ibrahima Ndour</t>
  </si>
  <si>
    <t>ST0230</t>
  </si>
  <si>
    <t>Mariama Sy</t>
  </si>
  <si>
    <t>ST0231</t>
  </si>
  <si>
    <t>ST0232</t>
  </si>
  <si>
    <t>Alioune Seck</t>
  </si>
  <si>
    <t>ST0233</t>
  </si>
  <si>
    <t>ST0234</t>
  </si>
  <si>
    <t>Alioune Sow</t>
  </si>
  <si>
    <t>ST0235</t>
  </si>
  <si>
    <t>Sokhna Gueye</t>
  </si>
  <si>
    <t>ST0236</t>
  </si>
  <si>
    <t>ST0237</t>
  </si>
  <si>
    <t>Mamadou Cisse</t>
  </si>
  <si>
    <t>ST0238</t>
  </si>
  <si>
    <t>ST0239</t>
  </si>
  <si>
    <t>Mariama Faye</t>
  </si>
  <si>
    <t>ST0240</t>
  </si>
  <si>
    <t>Mamadou Kane</t>
  </si>
  <si>
    <t>ST0241</t>
  </si>
  <si>
    <t>ST0242</t>
  </si>
  <si>
    <t>Alioune Camara</t>
  </si>
  <si>
    <t>ST0243</t>
  </si>
  <si>
    <t>ST0244</t>
  </si>
  <si>
    <t>ST0245</t>
  </si>
  <si>
    <t>ST0246</t>
  </si>
  <si>
    <t>ST0247</t>
  </si>
  <si>
    <t>Pape Fall</t>
  </si>
  <si>
    <t>ST0248</t>
  </si>
  <si>
    <t>Rokhaya Diallo</t>
  </si>
  <si>
    <t>ST0249</t>
  </si>
  <si>
    <t>ST0250</t>
  </si>
  <si>
    <t>ST0251</t>
  </si>
  <si>
    <t>ST0252</t>
  </si>
  <si>
    <t>Rokhaya Ba</t>
  </si>
  <si>
    <t>ST0253</t>
  </si>
  <si>
    <t>Awa Ba</t>
  </si>
  <si>
    <t>ST0254</t>
  </si>
  <si>
    <t>Astou Sarr</t>
  </si>
  <si>
    <t>ST0255</t>
  </si>
  <si>
    <t>Abdoulaye Diallo</t>
  </si>
  <si>
    <t>ST0256</t>
  </si>
  <si>
    <t>ST0257</t>
  </si>
  <si>
    <t>Cheikh Ndour</t>
  </si>
  <si>
    <t>ST0258</t>
  </si>
  <si>
    <t>Khadija Ndour</t>
  </si>
  <si>
    <t>ST0259</t>
  </si>
  <si>
    <t>ST0260</t>
  </si>
  <si>
    <t>ST0261</t>
  </si>
  <si>
    <t>Cheikh Cisse</t>
  </si>
  <si>
    <t>ST0262</t>
  </si>
  <si>
    <t>ST0263</t>
  </si>
  <si>
    <t>Rokhaya Sow</t>
  </si>
  <si>
    <t>ST0264</t>
  </si>
  <si>
    <t>Pape Sarr</t>
  </si>
  <si>
    <t>ST0265</t>
  </si>
  <si>
    <t>Cheikh Sow</t>
  </si>
  <si>
    <t>ST0266</t>
  </si>
  <si>
    <t>ST0267</t>
  </si>
  <si>
    <t>Awa Sarr</t>
  </si>
  <si>
    <t>ST0268</t>
  </si>
  <si>
    <t>ST0269</t>
  </si>
  <si>
    <t>Moussa Seck</t>
  </si>
  <si>
    <t>ST0270</t>
  </si>
  <si>
    <t>Mamadou Ndour</t>
  </si>
  <si>
    <t>ST0271</t>
  </si>
  <si>
    <t>ST0272</t>
  </si>
  <si>
    <t>Fatou Mbaye</t>
  </si>
  <si>
    <t>ST0273</t>
  </si>
  <si>
    <t>ST0274</t>
  </si>
  <si>
    <t>Abdoulaye Gueye</t>
  </si>
  <si>
    <t>ST0275</t>
  </si>
  <si>
    <t>ST0276</t>
  </si>
  <si>
    <t>ST0277</t>
  </si>
  <si>
    <t>ST0278</t>
  </si>
  <si>
    <t>Alioune Cisse</t>
  </si>
  <si>
    <t>ST0279</t>
  </si>
  <si>
    <t>Awa Fall</t>
  </si>
  <si>
    <t>ST0280</t>
  </si>
  <si>
    <t>Coumba Diallo</t>
  </si>
  <si>
    <t>ST0281</t>
  </si>
  <si>
    <t>Astou Ba</t>
  </si>
  <si>
    <t>ST0282</t>
  </si>
  <si>
    <t>ST0283</t>
  </si>
  <si>
    <t>ST0284</t>
  </si>
  <si>
    <t>Coumba Ndour</t>
  </si>
  <si>
    <t>ST0285</t>
  </si>
  <si>
    <t>ST0286</t>
  </si>
  <si>
    <t>ST0287</t>
  </si>
  <si>
    <t>ST0288</t>
  </si>
  <si>
    <t>ST0289</t>
  </si>
  <si>
    <t>Ibrahima Ba</t>
  </si>
  <si>
    <t>ST0290</t>
  </si>
  <si>
    <t>ST0291</t>
  </si>
  <si>
    <t>Cheikh Diallo</t>
  </si>
  <si>
    <t>ST0292</t>
  </si>
  <si>
    <t>Coumba Faye</t>
  </si>
  <si>
    <t>ST0293</t>
  </si>
  <si>
    <t>ST0294</t>
  </si>
  <si>
    <t>Awa Diop</t>
  </si>
  <si>
    <t>ST0295</t>
  </si>
  <si>
    <t>Moussa Mbaye</t>
  </si>
  <si>
    <t>ST0296</t>
  </si>
  <si>
    <t>Moustapha Ba</t>
  </si>
  <si>
    <t>ST0297</t>
  </si>
  <si>
    <t>ST0298</t>
  </si>
  <si>
    <t>Sokhna Sarr</t>
  </si>
  <si>
    <t>ST0299</t>
  </si>
  <si>
    <t>ST0300</t>
  </si>
  <si>
    <t>ST0301</t>
  </si>
  <si>
    <t>ST0302</t>
  </si>
  <si>
    <t>Babacar Diallo</t>
  </si>
  <si>
    <t>ST0303</t>
  </si>
  <si>
    <t>Sokhna Faye</t>
  </si>
  <si>
    <t>ST0304</t>
  </si>
  <si>
    <t>ST0305</t>
  </si>
  <si>
    <t>ST0306</t>
  </si>
  <si>
    <t>Sokhna Kane</t>
  </si>
  <si>
    <t>ST0307</t>
  </si>
  <si>
    <t>ST0308</t>
  </si>
  <si>
    <t>Cheikh Mbaye</t>
  </si>
  <si>
    <t>ST0309</t>
  </si>
  <si>
    <t>ST0310</t>
  </si>
  <si>
    <t>ST0311</t>
  </si>
  <si>
    <t>Moustapha Faye</t>
  </si>
  <si>
    <t>ST0312</t>
  </si>
  <si>
    <t>Ousmane Diop</t>
  </si>
  <si>
    <t>ST0313</t>
  </si>
  <si>
    <t>Astou Ndour</t>
  </si>
  <si>
    <t>ST0314</t>
  </si>
  <si>
    <t>ST0315</t>
  </si>
  <si>
    <t>ST0316</t>
  </si>
  <si>
    <t>ST0317</t>
  </si>
  <si>
    <t>ST0318</t>
  </si>
  <si>
    <t>ST0319</t>
  </si>
  <si>
    <t>Babacar Faye</t>
  </si>
  <si>
    <t>ST0320</t>
  </si>
  <si>
    <t>Ousmane Kane</t>
  </si>
  <si>
    <t>ST0321</t>
  </si>
  <si>
    <t>ST0322</t>
  </si>
  <si>
    <t>Mariama Diallo</t>
  </si>
  <si>
    <t>ST0323</t>
  </si>
  <si>
    <t>Moustapha Kane</t>
  </si>
  <si>
    <t>ST0324</t>
  </si>
  <si>
    <t>ST0325</t>
  </si>
  <si>
    <t>ST0326</t>
  </si>
  <si>
    <t>ST0327</t>
  </si>
  <si>
    <t>Sokhna Ba</t>
  </si>
  <si>
    <t>ST0328</t>
  </si>
  <si>
    <t>Awa Sy</t>
  </si>
  <si>
    <t>ST0329</t>
  </si>
  <si>
    <t>ST0330</t>
  </si>
  <si>
    <t>ST0331</t>
  </si>
  <si>
    <t>ST0332</t>
  </si>
  <si>
    <t>ST0333</t>
  </si>
  <si>
    <t>ST0334</t>
  </si>
  <si>
    <t>ST0335</t>
  </si>
  <si>
    <t>ST0336</t>
  </si>
  <si>
    <t>ST0337</t>
  </si>
  <si>
    <t>ST0338</t>
  </si>
  <si>
    <t>Mariama Mbaye</t>
  </si>
  <si>
    <t>ST0339</t>
  </si>
  <si>
    <t>ST0340</t>
  </si>
  <si>
    <t>Babacar Sarr</t>
  </si>
  <si>
    <t>ST0341</t>
  </si>
  <si>
    <t>ST0342</t>
  </si>
  <si>
    <t>Fatou Fall</t>
  </si>
  <si>
    <t>ST0343</t>
  </si>
  <si>
    <t>ST0344</t>
  </si>
  <si>
    <t>ST0345</t>
  </si>
  <si>
    <t>Ibrahima Gueye</t>
  </si>
  <si>
    <t>ST0346</t>
  </si>
  <si>
    <t>ST0347</t>
  </si>
  <si>
    <t>ST0348</t>
  </si>
  <si>
    <t>Alioune Ndour</t>
  </si>
  <si>
    <t>ST0349</t>
  </si>
  <si>
    <t>ST0350</t>
  </si>
  <si>
    <t>ST0351</t>
  </si>
  <si>
    <t>ST0352</t>
  </si>
  <si>
    <t>Aminata Gueye</t>
  </si>
  <si>
    <t>ST0353</t>
  </si>
  <si>
    <t>ST0354</t>
  </si>
  <si>
    <t>ST0355</t>
  </si>
  <si>
    <t>ST0356</t>
  </si>
  <si>
    <t>ST0357</t>
  </si>
  <si>
    <t>Aminata Fall</t>
  </si>
  <si>
    <t>ST0358</t>
  </si>
  <si>
    <t>ST0359</t>
  </si>
  <si>
    <t>ST0360</t>
  </si>
  <si>
    <t>ST0361</t>
  </si>
  <si>
    <t>ST0362</t>
  </si>
  <si>
    <t>ST0363</t>
  </si>
  <si>
    <t>Aminata Ba</t>
  </si>
  <si>
    <t>ST0364</t>
  </si>
  <si>
    <t>ST0365</t>
  </si>
  <si>
    <t>ST0366</t>
  </si>
  <si>
    <t>Mamadou Sarr</t>
  </si>
  <si>
    <t>ST0367</t>
  </si>
  <si>
    <t>ST0368</t>
  </si>
  <si>
    <t>ST0369</t>
  </si>
  <si>
    <t>ST0370</t>
  </si>
  <si>
    <t>ST0371</t>
  </si>
  <si>
    <t>ST0372</t>
  </si>
  <si>
    <t>Ousmane Ndiaye</t>
  </si>
  <si>
    <t>ST0373</t>
  </si>
  <si>
    <t>Rokhaya Cisse</t>
  </si>
  <si>
    <t>ST0374</t>
  </si>
  <si>
    <t>ST0375</t>
  </si>
  <si>
    <t>Pape Camara</t>
  </si>
  <si>
    <t>ST0376</t>
  </si>
  <si>
    <t>Ndeye Sarr</t>
  </si>
  <si>
    <t>ST0377</t>
  </si>
  <si>
    <t>Moussa Sarr</t>
  </si>
  <si>
    <t>ST0378</t>
  </si>
  <si>
    <t>ST0379</t>
  </si>
  <si>
    <t>Khadija Gueye</t>
  </si>
  <si>
    <t>ST0380</t>
  </si>
  <si>
    <t>Khadija Sy</t>
  </si>
  <si>
    <t>ST0381</t>
  </si>
  <si>
    <t>ST0382</t>
  </si>
  <si>
    <t>ST0383</t>
  </si>
  <si>
    <t>Ousmane Ndour</t>
  </si>
  <si>
    <t>ST0384</t>
  </si>
  <si>
    <t>ST0385</t>
  </si>
  <si>
    <t>ST0386</t>
  </si>
  <si>
    <t>Mariama Ndour</t>
  </si>
  <si>
    <t>ST0387</t>
  </si>
  <si>
    <t>ST0388</t>
  </si>
  <si>
    <t>ST0389</t>
  </si>
  <si>
    <t>ST0390</t>
  </si>
  <si>
    <t>ST0391</t>
  </si>
  <si>
    <t>Ousmane Sow</t>
  </si>
  <si>
    <t>ST0392</t>
  </si>
  <si>
    <t>ST0393</t>
  </si>
  <si>
    <t>Ndeye Seck</t>
  </si>
  <si>
    <t>ST0394</t>
  </si>
  <si>
    <t>Alioune Fall</t>
  </si>
  <si>
    <t>ST0395</t>
  </si>
  <si>
    <t>Cheikh Sy</t>
  </si>
  <si>
    <t>ST0396</t>
  </si>
  <si>
    <t>Moustapha Gueye</t>
  </si>
  <si>
    <t>ST0397</t>
  </si>
  <si>
    <t>Sokhna Mbaye</t>
  </si>
  <si>
    <t>ST0398</t>
  </si>
  <si>
    <t>Sokhna Cisse</t>
  </si>
  <si>
    <t>ST0399</t>
  </si>
  <si>
    <t>ST0400</t>
  </si>
  <si>
    <t>Mariama Ba</t>
  </si>
  <si>
    <t>ST0401</t>
  </si>
  <si>
    <t>ST0402</t>
  </si>
  <si>
    <t>ST0403</t>
  </si>
  <si>
    <t>ST0404</t>
  </si>
  <si>
    <t>Ousmane Fall</t>
  </si>
  <si>
    <t>ST0405</t>
  </si>
  <si>
    <t>Fatou Ndiaye</t>
  </si>
  <si>
    <t>ST0406</t>
  </si>
  <si>
    <t>Ibrahima Sarr</t>
  </si>
  <si>
    <t>ST0407</t>
  </si>
  <si>
    <t>ST0408</t>
  </si>
  <si>
    <t>ST0409</t>
  </si>
  <si>
    <t>Mamadou Seck</t>
  </si>
  <si>
    <t>ST0410</t>
  </si>
  <si>
    <t>ST0411</t>
  </si>
  <si>
    <t>ST0412</t>
  </si>
  <si>
    <t>Khadija Cisse</t>
  </si>
  <si>
    <t>ST0413</t>
  </si>
  <si>
    <t>ST0414</t>
  </si>
  <si>
    <t>ST0415</t>
  </si>
  <si>
    <t>Khadija Diallo</t>
  </si>
  <si>
    <t>ST0416</t>
  </si>
  <si>
    <t>ST0417</t>
  </si>
  <si>
    <t>ST0418</t>
  </si>
  <si>
    <t>ST0419</t>
  </si>
  <si>
    <t>ST0420</t>
  </si>
  <si>
    <t>ST0421</t>
  </si>
  <si>
    <t>Moussa Sow</t>
  </si>
  <si>
    <t>ST0422</t>
  </si>
  <si>
    <t>ST0423</t>
  </si>
  <si>
    <t>ST0424</t>
  </si>
  <si>
    <t>ST0425</t>
  </si>
  <si>
    <t>ST0426</t>
  </si>
  <si>
    <t>ST0427</t>
  </si>
  <si>
    <t>Abdoulaye Sow</t>
  </si>
  <si>
    <t>ST0428</t>
  </si>
  <si>
    <t>Moussa Ndour</t>
  </si>
  <si>
    <t>ST0429</t>
  </si>
  <si>
    <t>ST0430</t>
  </si>
  <si>
    <t>ST0431</t>
  </si>
  <si>
    <t>ST0432</t>
  </si>
  <si>
    <t>ST0433</t>
  </si>
  <si>
    <t>ST0434</t>
  </si>
  <si>
    <t>ST0435</t>
  </si>
  <si>
    <t>ST0436</t>
  </si>
  <si>
    <t>ST0437</t>
  </si>
  <si>
    <t>ST0438</t>
  </si>
  <si>
    <t>Abdoulaye Ndiaye</t>
  </si>
  <si>
    <t>ST0439</t>
  </si>
  <si>
    <t>Aminata Ndour</t>
  </si>
  <si>
    <t>ST0440</t>
  </si>
  <si>
    <t>ST0441</t>
  </si>
  <si>
    <t>ST0442</t>
  </si>
  <si>
    <t>ST0443</t>
  </si>
  <si>
    <t>ST0444</t>
  </si>
  <si>
    <t>Rokhaya Seck</t>
  </si>
  <si>
    <t>ST0445</t>
  </si>
  <si>
    <t>Ibrahima Sy</t>
  </si>
  <si>
    <t>ST0446</t>
  </si>
  <si>
    <t>ST0447</t>
  </si>
  <si>
    <t>ST0448</t>
  </si>
  <si>
    <t>Moussa Kane</t>
  </si>
  <si>
    <t>ST0449</t>
  </si>
  <si>
    <t>ST0450</t>
  </si>
  <si>
    <t>ST0451</t>
  </si>
  <si>
    <t>ST0452</t>
  </si>
  <si>
    <t>Mamadou Sy</t>
  </si>
  <si>
    <t>ST0453</t>
  </si>
  <si>
    <t>Awa Sow</t>
  </si>
  <si>
    <t>ST0454</t>
  </si>
  <si>
    <t>ST0455</t>
  </si>
  <si>
    <t>Moustapha Diop</t>
  </si>
  <si>
    <t>ST0456</t>
  </si>
  <si>
    <t>ST0457</t>
  </si>
  <si>
    <t>Ndeye Cisse</t>
  </si>
  <si>
    <t>ST0458</t>
  </si>
  <si>
    <t>ST0459</t>
  </si>
  <si>
    <t>ST0460</t>
  </si>
  <si>
    <t>ST0461</t>
  </si>
  <si>
    <t>ST0462</t>
  </si>
  <si>
    <t>ST0463</t>
  </si>
  <si>
    <t>Mamadou Ba</t>
  </si>
  <si>
    <t>ST0464</t>
  </si>
  <si>
    <t>ST0465</t>
  </si>
  <si>
    <t>ST0466</t>
  </si>
  <si>
    <t>Ibrahima Seck</t>
  </si>
  <si>
    <t>ST0467</t>
  </si>
  <si>
    <t>ST0468</t>
  </si>
  <si>
    <t>Ousmane Mbaye</t>
  </si>
  <si>
    <t>ST0469</t>
  </si>
  <si>
    <t>ST0470</t>
  </si>
  <si>
    <t>ST0471</t>
  </si>
  <si>
    <t>ST0472</t>
  </si>
  <si>
    <t>ST0473</t>
  </si>
  <si>
    <t>Rokhaya Mbaye</t>
  </si>
  <si>
    <t>ST0474</t>
  </si>
  <si>
    <t>Mariama Kane</t>
  </si>
  <si>
    <t>ST0475</t>
  </si>
  <si>
    <t>Moussa Cisse</t>
  </si>
  <si>
    <t>ST0476</t>
  </si>
  <si>
    <t>ST0477</t>
  </si>
  <si>
    <t>ST0478</t>
  </si>
  <si>
    <t>ST0479</t>
  </si>
  <si>
    <t>ST0480</t>
  </si>
  <si>
    <t>ST0481</t>
  </si>
  <si>
    <t>ST0482</t>
  </si>
  <si>
    <t>ST0483</t>
  </si>
  <si>
    <t>Mariama Diop</t>
  </si>
  <si>
    <t>ST0484</t>
  </si>
  <si>
    <t>ST0485</t>
  </si>
  <si>
    <t>ST0486</t>
  </si>
  <si>
    <t>ST0487</t>
  </si>
  <si>
    <t>ST0488</t>
  </si>
  <si>
    <t>ST0489</t>
  </si>
  <si>
    <t>Ibrahima Camara</t>
  </si>
  <si>
    <t>ST0490</t>
  </si>
  <si>
    <t>ST0491</t>
  </si>
  <si>
    <t>ST0492</t>
  </si>
  <si>
    <t>Babacar Ndour</t>
  </si>
  <si>
    <t>ST0493</t>
  </si>
  <si>
    <t>ST0494</t>
  </si>
  <si>
    <t>ST0495</t>
  </si>
  <si>
    <t>ST0496</t>
  </si>
  <si>
    <t>ST0497</t>
  </si>
  <si>
    <t>ST0498</t>
  </si>
  <si>
    <t>ST0499</t>
  </si>
  <si>
    <t>ST0500</t>
  </si>
  <si>
    <t>ST0501</t>
  </si>
  <si>
    <t>ST0502</t>
  </si>
  <si>
    <t>ST0503</t>
  </si>
  <si>
    <t>Cheikh Faye</t>
  </si>
  <si>
    <t>ST0504</t>
  </si>
  <si>
    <t>ST0505</t>
  </si>
  <si>
    <t>ST0506</t>
  </si>
  <si>
    <t>ST0507</t>
  </si>
  <si>
    <t>ST0508</t>
  </si>
  <si>
    <t>ST0509</t>
  </si>
  <si>
    <t>ST0510</t>
  </si>
  <si>
    <t>ST0511</t>
  </si>
  <si>
    <t>ST0512</t>
  </si>
  <si>
    <t>Cheikh Gueye</t>
  </si>
  <si>
    <t>ST0513</t>
  </si>
  <si>
    <t>Alioune Ndiaye</t>
  </si>
  <si>
    <t>ST0514</t>
  </si>
  <si>
    <t>ST0515</t>
  </si>
  <si>
    <t>ST0516</t>
  </si>
  <si>
    <t>ST0517</t>
  </si>
  <si>
    <t>ST0518</t>
  </si>
  <si>
    <t>ST0519</t>
  </si>
  <si>
    <t>ST0520</t>
  </si>
  <si>
    <t>ST0521</t>
  </si>
  <si>
    <t>ST0522</t>
  </si>
  <si>
    <t>ST0523</t>
  </si>
  <si>
    <t>ST0524</t>
  </si>
  <si>
    <t>ST0525</t>
  </si>
  <si>
    <t>ST0526</t>
  </si>
  <si>
    <t>ST0527</t>
  </si>
  <si>
    <t>Ousmane Faye</t>
  </si>
  <si>
    <t>ST0528</t>
  </si>
  <si>
    <t>Fatou Seck</t>
  </si>
  <si>
    <t>ST0529</t>
  </si>
  <si>
    <t>ST0530</t>
  </si>
  <si>
    <t>Moussa Gueye</t>
  </si>
  <si>
    <t>ST0531</t>
  </si>
  <si>
    <t>ST0532</t>
  </si>
  <si>
    <t>ST0533</t>
  </si>
  <si>
    <t>ST0534</t>
  </si>
  <si>
    <t>ST0535</t>
  </si>
  <si>
    <t>ST0536</t>
  </si>
  <si>
    <t>ST0537</t>
  </si>
  <si>
    <t>Fatou Kane</t>
  </si>
  <si>
    <t>ST0538</t>
  </si>
  <si>
    <t>ST0539</t>
  </si>
  <si>
    <t>ST0540</t>
  </si>
  <si>
    <t>ST0541</t>
  </si>
  <si>
    <t>ST0542</t>
  </si>
  <si>
    <t>ST0543</t>
  </si>
  <si>
    <t>ST0544</t>
  </si>
  <si>
    <t>ST0545</t>
  </si>
  <si>
    <t>ST0546</t>
  </si>
  <si>
    <t>ST0547</t>
  </si>
  <si>
    <t>ST0548</t>
  </si>
  <si>
    <t>ST0549</t>
  </si>
  <si>
    <t>ST0550</t>
  </si>
  <si>
    <t>ST0551</t>
  </si>
  <si>
    <t>ST0552</t>
  </si>
  <si>
    <t>ST0553</t>
  </si>
  <si>
    <t>ST0554</t>
  </si>
  <si>
    <t>ST0555</t>
  </si>
  <si>
    <t>ST0556</t>
  </si>
  <si>
    <t>Ibrahima Diallo</t>
  </si>
  <si>
    <t>ST0557</t>
  </si>
  <si>
    <t>ST0558</t>
  </si>
  <si>
    <t>ST0559</t>
  </si>
  <si>
    <t>ST0560</t>
  </si>
  <si>
    <t>Pape Diop</t>
  </si>
  <si>
    <t>ST0561</t>
  </si>
  <si>
    <t>ST0562</t>
  </si>
  <si>
    <t>ST0563</t>
  </si>
  <si>
    <t>ST0564</t>
  </si>
  <si>
    <t>ST0565</t>
  </si>
  <si>
    <t>ST0566</t>
  </si>
  <si>
    <t>Rokhaya Sarr</t>
  </si>
  <si>
    <t>ST0567</t>
  </si>
  <si>
    <t>ST0568</t>
  </si>
  <si>
    <t>ST0569</t>
  </si>
  <si>
    <t>ST0570</t>
  </si>
  <si>
    <t>ST0571</t>
  </si>
  <si>
    <t>ST0572</t>
  </si>
  <si>
    <t>Aminata Seck</t>
  </si>
  <si>
    <t>ST0573</t>
  </si>
  <si>
    <t>ST0574</t>
  </si>
  <si>
    <t>Coumba Gueye</t>
  </si>
  <si>
    <t>ST0575</t>
  </si>
  <si>
    <t>ST0576</t>
  </si>
  <si>
    <t>Aminata Mbaye</t>
  </si>
  <si>
    <t>ST0577</t>
  </si>
  <si>
    <t>Moustapha Seck</t>
  </si>
  <si>
    <t>ST0578</t>
  </si>
  <si>
    <t>ST0579</t>
  </si>
  <si>
    <t>ST0580</t>
  </si>
  <si>
    <t>ST0581</t>
  </si>
  <si>
    <t>ST0582</t>
  </si>
  <si>
    <t>ST0583</t>
  </si>
  <si>
    <t>ST0584</t>
  </si>
  <si>
    <t>ST0585</t>
  </si>
  <si>
    <t>ST0586</t>
  </si>
  <si>
    <t>ST0587</t>
  </si>
  <si>
    <t>ST0588</t>
  </si>
  <si>
    <t>ST0589</t>
  </si>
  <si>
    <t>ST0590</t>
  </si>
  <si>
    <t>ST0591</t>
  </si>
  <si>
    <t>ST0592</t>
  </si>
  <si>
    <t>ST0593</t>
  </si>
  <si>
    <t>ST0594</t>
  </si>
  <si>
    <t>Mamadou Fall</t>
  </si>
  <si>
    <t>ST0595</t>
  </si>
  <si>
    <t>ST0596</t>
  </si>
  <si>
    <t>ST0597</t>
  </si>
  <si>
    <t>ST0598</t>
  </si>
  <si>
    <t>ST0599</t>
  </si>
  <si>
    <t>ST0600</t>
  </si>
  <si>
    <t>ST0601</t>
  </si>
  <si>
    <t>ST0602</t>
  </si>
  <si>
    <t>ST0603</t>
  </si>
  <si>
    <t>Pape Diallo</t>
  </si>
  <si>
    <t>ST0604</t>
  </si>
  <si>
    <t>ST0605</t>
  </si>
  <si>
    <t>ST0606</t>
  </si>
  <si>
    <t>Pape Ndiaye</t>
  </si>
  <si>
    <t>ST0607</t>
  </si>
  <si>
    <t>ST0608</t>
  </si>
  <si>
    <t>Moustapha Sy</t>
  </si>
  <si>
    <t>ST0609</t>
  </si>
  <si>
    <t>ST0610</t>
  </si>
  <si>
    <t>ST0611</t>
  </si>
  <si>
    <t>ST0612</t>
  </si>
  <si>
    <t>ST0613</t>
  </si>
  <si>
    <t>ST0614</t>
  </si>
  <si>
    <t>ST0615</t>
  </si>
  <si>
    <t>Mamadou Diop</t>
  </si>
  <si>
    <t>ST0616</t>
  </si>
  <si>
    <t>ST0617</t>
  </si>
  <si>
    <t>Astou Mbaye</t>
  </si>
  <si>
    <t>ST0618</t>
  </si>
  <si>
    <t>Khadija Sow</t>
  </si>
  <si>
    <t>ST0619</t>
  </si>
  <si>
    <t>Fatou Gueye</t>
  </si>
  <si>
    <t>ST0620</t>
  </si>
  <si>
    <t>ST0621</t>
  </si>
  <si>
    <t>ST0622</t>
  </si>
  <si>
    <t>ST0623</t>
  </si>
  <si>
    <t>ST0624</t>
  </si>
  <si>
    <t>ST0625</t>
  </si>
  <si>
    <t>ST0626</t>
  </si>
  <si>
    <t>ST0627</t>
  </si>
  <si>
    <t>Khadija Camara</t>
  </si>
  <si>
    <t>ST0628</t>
  </si>
  <si>
    <t>ST0629</t>
  </si>
  <si>
    <t>ST0630</t>
  </si>
  <si>
    <t>ST0631</t>
  </si>
  <si>
    <t>ST0632</t>
  </si>
  <si>
    <t>ST0633</t>
  </si>
  <si>
    <t>ST0634</t>
  </si>
  <si>
    <t>ST0635</t>
  </si>
  <si>
    <t>ST0636</t>
  </si>
  <si>
    <t>Moustapha Ndour</t>
  </si>
  <si>
    <t>ST0637</t>
  </si>
  <si>
    <t>ST0638</t>
  </si>
  <si>
    <t>ST0639</t>
  </si>
  <si>
    <t>ST0640</t>
  </si>
  <si>
    <t>ST0641</t>
  </si>
  <si>
    <t>ST0642</t>
  </si>
  <si>
    <t>ST0643</t>
  </si>
  <si>
    <t>ST0644</t>
  </si>
  <si>
    <t>ST0645</t>
  </si>
  <si>
    <t>ST0646</t>
  </si>
  <si>
    <t>ST0647</t>
  </si>
  <si>
    <t>ST0648</t>
  </si>
  <si>
    <t>ST0649</t>
  </si>
  <si>
    <t>ST0650</t>
  </si>
  <si>
    <t>ST0651</t>
  </si>
  <si>
    <t>ST0652</t>
  </si>
  <si>
    <t>ST0653</t>
  </si>
  <si>
    <t>ST0654</t>
  </si>
  <si>
    <t>ST0655</t>
  </si>
  <si>
    <t>ST0656</t>
  </si>
  <si>
    <t>ST0657</t>
  </si>
  <si>
    <t>ST0658</t>
  </si>
  <si>
    <t>ST0659</t>
  </si>
  <si>
    <t>ST0660</t>
  </si>
  <si>
    <t>ST0661</t>
  </si>
  <si>
    <t>Sokhna Sy</t>
  </si>
  <si>
    <t>ST0662</t>
  </si>
  <si>
    <t>ST0663</t>
  </si>
  <si>
    <t>ST0664</t>
  </si>
  <si>
    <t>ST0665</t>
  </si>
  <si>
    <t>ST0666</t>
  </si>
  <si>
    <t>ST0667</t>
  </si>
  <si>
    <t>ST0668</t>
  </si>
  <si>
    <t>ST0669</t>
  </si>
  <si>
    <t>Moustapha Camara</t>
  </si>
  <si>
    <t>ST0670</t>
  </si>
  <si>
    <t>ST0671</t>
  </si>
  <si>
    <t>ST0672</t>
  </si>
  <si>
    <t>ST0673</t>
  </si>
  <si>
    <t>ST0674</t>
  </si>
  <si>
    <t>ST0675</t>
  </si>
  <si>
    <t>ST0676</t>
  </si>
  <si>
    <t>ST0677</t>
  </si>
  <si>
    <t>ST0678</t>
  </si>
  <si>
    <t>ST0679</t>
  </si>
  <si>
    <t>ST0680</t>
  </si>
  <si>
    <t>ST0681</t>
  </si>
  <si>
    <t>ST0682</t>
  </si>
  <si>
    <t>ST0683</t>
  </si>
  <si>
    <t>ST0684</t>
  </si>
  <si>
    <t>ST0685</t>
  </si>
  <si>
    <t>ST0686</t>
  </si>
  <si>
    <t>ST0687</t>
  </si>
  <si>
    <t>ST0688</t>
  </si>
  <si>
    <t>ST0689</t>
  </si>
  <si>
    <t>ST0690</t>
  </si>
  <si>
    <t>ST0691</t>
  </si>
  <si>
    <t>ST0692</t>
  </si>
  <si>
    <t>ST0693</t>
  </si>
  <si>
    <t>Abdoulaye Ba</t>
  </si>
  <si>
    <t>ST0694</t>
  </si>
  <si>
    <t>ST0695</t>
  </si>
  <si>
    <t>ST0696</t>
  </si>
  <si>
    <t>ST0697</t>
  </si>
  <si>
    <t>ST0698</t>
  </si>
  <si>
    <t>ST0699</t>
  </si>
  <si>
    <t>ST0700</t>
  </si>
  <si>
    <t>ST0701</t>
  </si>
  <si>
    <t>ST0702</t>
  </si>
  <si>
    <t>ST0703</t>
  </si>
  <si>
    <t>ST0704</t>
  </si>
  <si>
    <t>ST0705</t>
  </si>
  <si>
    <t>ST0706</t>
  </si>
  <si>
    <t>ST0707</t>
  </si>
  <si>
    <t>ST0708</t>
  </si>
  <si>
    <t>ST0709</t>
  </si>
  <si>
    <t>ST0710</t>
  </si>
  <si>
    <t>ST0711</t>
  </si>
  <si>
    <t>ST0712</t>
  </si>
  <si>
    <t>ST0713</t>
  </si>
  <si>
    <t>ST0714</t>
  </si>
  <si>
    <t>ST0715</t>
  </si>
  <si>
    <t>ST0716</t>
  </si>
  <si>
    <t>ST0717</t>
  </si>
  <si>
    <t>Abdoulaye Mbaye</t>
  </si>
  <si>
    <t>ST0718</t>
  </si>
  <si>
    <t>Aminata Faye</t>
  </si>
  <si>
    <t>ST0719</t>
  </si>
  <si>
    <t>Rokhaya Camara</t>
  </si>
  <si>
    <t>ST0720</t>
  </si>
  <si>
    <t>ST0721</t>
  </si>
  <si>
    <t>ST0722</t>
  </si>
  <si>
    <t>ST0723</t>
  </si>
  <si>
    <t>ST0724</t>
  </si>
  <si>
    <t>ST0725</t>
  </si>
  <si>
    <t>ST0726</t>
  </si>
  <si>
    <t>Astou Diop</t>
  </si>
  <si>
    <t>ST0727</t>
  </si>
  <si>
    <t>ST0728</t>
  </si>
  <si>
    <t>ST0729</t>
  </si>
  <si>
    <t>Rokhaya Diop</t>
  </si>
  <si>
    <t>ST0730</t>
  </si>
  <si>
    <t>ST0731</t>
  </si>
  <si>
    <t>ST0732</t>
  </si>
  <si>
    <t>ST0733</t>
  </si>
  <si>
    <t>ST0734</t>
  </si>
  <si>
    <t>ST0735</t>
  </si>
  <si>
    <t>ST0736</t>
  </si>
  <si>
    <t>ST0737</t>
  </si>
  <si>
    <t>ST0738</t>
  </si>
  <si>
    <t>ST0739</t>
  </si>
  <si>
    <t>ST0740</t>
  </si>
  <si>
    <t>ST0741</t>
  </si>
  <si>
    <t>ST0742</t>
  </si>
  <si>
    <t>ST0743</t>
  </si>
  <si>
    <t>ST0744</t>
  </si>
  <si>
    <t>ST0745</t>
  </si>
  <si>
    <t>ST0746</t>
  </si>
  <si>
    <t>ST0747</t>
  </si>
  <si>
    <t>ST0748</t>
  </si>
  <si>
    <t>ST0749</t>
  </si>
  <si>
    <t>ST0750</t>
  </si>
  <si>
    <t>ST0751</t>
  </si>
  <si>
    <t>ST0752</t>
  </si>
  <si>
    <t>Coumba Cisse</t>
  </si>
  <si>
    <t>ST0753</t>
  </si>
  <si>
    <t>ST0754</t>
  </si>
  <si>
    <t>ST0755</t>
  </si>
  <si>
    <t>ST0756</t>
  </si>
  <si>
    <t>ST0757</t>
  </si>
  <si>
    <t>ST0758</t>
  </si>
  <si>
    <t>Sokhna Fall</t>
  </si>
  <si>
    <t>ST0759</t>
  </si>
  <si>
    <t>ST0760</t>
  </si>
  <si>
    <t>ST0761</t>
  </si>
  <si>
    <t>ST0762</t>
  </si>
  <si>
    <t>ST0763</t>
  </si>
  <si>
    <t>ST0764</t>
  </si>
  <si>
    <t>ST0765</t>
  </si>
  <si>
    <t>ST0766</t>
  </si>
  <si>
    <t>ST0767</t>
  </si>
  <si>
    <t>ST0768</t>
  </si>
  <si>
    <t>ST0769</t>
  </si>
  <si>
    <t>ST0770</t>
  </si>
  <si>
    <t>Fatou Cisse</t>
  </si>
  <si>
    <t>ST0771</t>
  </si>
  <si>
    <t>ST0772</t>
  </si>
  <si>
    <t>ST0773</t>
  </si>
  <si>
    <t>Aminata Sarr</t>
  </si>
  <si>
    <t>ST0774</t>
  </si>
  <si>
    <t>ST0775</t>
  </si>
  <si>
    <t>ST0776</t>
  </si>
  <si>
    <t>ST0777</t>
  </si>
  <si>
    <t>ST0778</t>
  </si>
  <si>
    <t>ST0779</t>
  </si>
  <si>
    <t>ST0780</t>
  </si>
  <si>
    <t>Abdoulaye Camara</t>
  </si>
  <si>
    <t>ST0781</t>
  </si>
  <si>
    <t>ST0782</t>
  </si>
  <si>
    <t>ST0783</t>
  </si>
  <si>
    <t>ST0784</t>
  </si>
  <si>
    <t>ST0785</t>
  </si>
  <si>
    <t>ST0786</t>
  </si>
  <si>
    <t>ST0787</t>
  </si>
  <si>
    <t>ST0788</t>
  </si>
  <si>
    <t>ST0789</t>
  </si>
  <si>
    <t>ST0790</t>
  </si>
  <si>
    <t>ST0791</t>
  </si>
  <si>
    <t>ST0792</t>
  </si>
  <si>
    <t>Coumba Ndiaye</t>
  </si>
  <si>
    <t>ST0793</t>
  </si>
  <si>
    <t>ST0794</t>
  </si>
  <si>
    <t>ST0795</t>
  </si>
  <si>
    <t>ST0796</t>
  </si>
  <si>
    <t>ST0797</t>
  </si>
  <si>
    <t>ST0798</t>
  </si>
  <si>
    <t>ST0799</t>
  </si>
  <si>
    <t>ST0800</t>
  </si>
  <si>
    <t>ST0801</t>
  </si>
  <si>
    <t>ST0802</t>
  </si>
  <si>
    <t>ST0803</t>
  </si>
  <si>
    <t>Babacar Fall</t>
  </si>
  <si>
    <t>ST0804</t>
  </si>
  <si>
    <t>ST0805</t>
  </si>
  <si>
    <t>ST0806</t>
  </si>
  <si>
    <t>ST0807</t>
  </si>
  <si>
    <t>ST0808</t>
  </si>
  <si>
    <t>ST0809</t>
  </si>
  <si>
    <t>ST0810</t>
  </si>
  <si>
    <t>ST0811</t>
  </si>
  <si>
    <t>ST0812</t>
  </si>
  <si>
    <t>ST0813</t>
  </si>
  <si>
    <t>ST0814</t>
  </si>
  <si>
    <t>ST0815</t>
  </si>
  <si>
    <t>ST0816</t>
  </si>
  <si>
    <t>ST0817</t>
  </si>
  <si>
    <t>ST0818</t>
  </si>
  <si>
    <t>Mariama Cisse</t>
  </si>
  <si>
    <t>ST0819</t>
  </si>
  <si>
    <t>ST0820</t>
  </si>
  <si>
    <t>ST0821</t>
  </si>
  <si>
    <t>ST0822</t>
  </si>
  <si>
    <t>ST0823</t>
  </si>
  <si>
    <t>ST0824</t>
  </si>
  <si>
    <t>ST0825</t>
  </si>
  <si>
    <t>ST0826</t>
  </si>
  <si>
    <t>ST0827</t>
  </si>
  <si>
    <t>ST0828</t>
  </si>
  <si>
    <t>ST0829</t>
  </si>
  <si>
    <t>ST0830</t>
  </si>
  <si>
    <t>ST0831</t>
  </si>
  <si>
    <t>ST0832</t>
  </si>
  <si>
    <t>ST0833</t>
  </si>
  <si>
    <t>ST0834</t>
  </si>
  <si>
    <t>ST0835</t>
  </si>
  <si>
    <t>ST0836</t>
  </si>
  <si>
    <t>ST0837</t>
  </si>
  <si>
    <t>ST0838</t>
  </si>
  <si>
    <t>ST0839</t>
  </si>
  <si>
    <t>ST0840</t>
  </si>
  <si>
    <t>ST0841</t>
  </si>
  <si>
    <t>ST0842</t>
  </si>
  <si>
    <t>ST0843</t>
  </si>
  <si>
    <t>ST0844</t>
  </si>
  <si>
    <t>ST0845</t>
  </si>
  <si>
    <t>ST0846</t>
  </si>
  <si>
    <t>ST0847</t>
  </si>
  <si>
    <t>ST0848</t>
  </si>
  <si>
    <t>ST0849</t>
  </si>
  <si>
    <t>ST0850</t>
  </si>
  <si>
    <t>ST0851</t>
  </si>
  <si>
    <t>ST0852</t>
  </si>
  <si>
    <t>ST0853</t>
  </si>
  <si>
    <t>ST0854</t>
  </si>
  <si>
    <t>Fatou Ba</t>
  </si>
  <si>
    <t>ST0855</t>
  </si>
  <si>
    <t>ST0856</t>
  </si>
  <si>
    <t>ST0857</t>
  </si>
  <si>
    <t>ST0858</t>
  </si>
  <si>
    <t>ST0859</t>
  </si>
  <si>
    <t>ST0860</t>
  </si>
  <si>
    <t>ST0861</t>
  </si>
  <si>
    <t>ST0862</t>
  </si>
  <si>
    <t>ST0863</t>
  </si>
  <si>
    <t>ST0864</t>
  </si>
  <si>
    <t>ST0865</t>
  </si>
  <si>
    <t>ST0866</t>
  </si>
  <si>
    <t>ST0867</t>
  </si>
  <si>
    <t>ST0868</t>
  </si>
  <si>
    <t>ST0869</t>
  </si>
  <si>
    <t>ST0870</t>
  </si>
  <si>
    <t>ST0871</t>
  </si>
  <si>
    <t>ST0872</t>
  </si>
  <si>
    <t>ST0873</t>
  </si>
  <si>
    <t>Sokhna Ndiaye</t>
  </si>
  <si>
    <t>ST0874</t>
  </si>
  <si>
    <t>ST0875</t>
  </si>
  <si>
    <t>ST0876</t>
  </si>
  <si>
    <t>ST0877</t>
  </si>
  <si>
    <t>ST0878</t>
  </si>
  <si>
    <t>ST0879</t>
  </si>
  <si>
    <t>ST0880</t>
  </si>
  <si>
    <t>ST0881</t>
  </si>
  <si>
    <t>ST0882</t>
  </si>
  <si>
    <t>ST0883</t>
  </si>
  <si>
    <t>ST0884</t>
  </si>
  <si>
    <t>ST0885</t>
  </si>
  <si>
    <t>ST0886</t>
  </si>
  <si>
    <t>ST0887</t>
  </si>
  <si>
    <t>ST0888</t>
  </si>
  <si>
    <t>ST0889</t>
  </si>
  <si>
    <t>ST0890</t>
  </si>
  <si>
    <t>ST0891</t>
  </si>
  <si>
    <t>ST0892</t>
  </si>
  <si>
    <t>ST0893</t>
  </si>
  <si>
    <t>ST0894</t>
  </si>
  <si>
    <t>ST0895</t>
  </si>
  <si>
    <t>ST0896</t>
  </si>
  <si>
    <t>ST0897</t>
  </si>
  <si>
    <t>ST0898</t>
  </si>
  <si>
    <t>ST0899</t>
  </si>
  <si>
    <t>ST0900</t>
  </si>
  <si>
    <t>Ousmane Cisse</t>
  </si>
  <si>
    <t>ST0901</t>
  </si>
  <si>
    <t>ST0902</t>
  </si>
  <si>
    <t>ST0903</t>
  </si>
  <si>
    <t>ST0904</t>
  </si>
  <si>
    <t>ST0905</t>
  </si>
  <si>
    <t>ST0906</t>
  </si>
  <si>
    <t>ST0907</t>
  </si>
  <si>
    <t>ST0908</t>
  </si>
  <si>
    <t>ST0909</t>
  </si>
  <si>
    <t>ST0910</t>
  </si>
  <si>
    <t>ST0911</t>
  </si>
  <si>
    <t>ST0912</t>
  </si>
  <si>
    <t>Coumba Sow</t>
  </si>
  <si>
    <t>ST0913</t>
  </si>
  <si>
    <t>ST0914</t>
  </si>
  <si>
    <t>ST0915</t>
  </si>
  <si>
    <t>ST0916</t>
  </si>
  <si>
    <t>ST0917</t>
  </si>
  <si>
    <t>ST0918</t>
  </si>
  <si>
    <t>ST0919</t>
  </si>
  <si>
    <t>ST0920</t>
  </si>
  <si>
    <t>ST0921</t>
  </si>
  <si>
    <t>ST0922</t>
  </si>
  <si>
    <t>ST0923</t>
  </si>
  <si>
    <t>ST0924</t>
  </si>
  <si>
    <t>ST0925</t>
  </si>
  <si>
    <t>ST0926</t>
  </si>
  <si>
    <t>ST0927</t>
  </si>
  <si>
    <t>ST0928</t>
  </si>
  <si>
    <t>ST0929</t>
  </si>
  <si>
    <t>ST0930</t>
  </si>
  <si>
    <t>ST0931</t>
  </si>
  <si>
    <t>ST0932</t>
  </si>
  <si>
    <t>ST0933</t>
  </si>
  <si>
    <t>ST0934</t>
  </si>
  <si>
    <t>ST0935</t>
  </si>
  <si>
    <t>ST0936</t>
  </si>
  <si>
    <t>ST0937</t>
  </si>
  <si>
    <t>ST0938</t>
  </si>
  <si>
    <t>ST0939</t>
  </si>
  <si>
    <t>ST0940</t>
  </si>
  <si>
    <t>ST0941</t>
  </si>
  <si>
    <t>ST0942</t>
  </si>
  <si>
    <t>ST0943</t>
  </si>
  <si>
    <t>ST0944</t>
  </si>
  <si>
    <t>ST0945</t>
  </si>
  <si>
    <t>ST0946</t>
  </si>
  <si>
    <t>ST0947</t>
  </si>
  <si>
    <t>ST0948</t>
  </si>
  <si>
    <t>Ndeye Ba</t>
  </si>
  <si>
    <t>ST0949</t>
  </si>
  <si>
    <t>ST0950</t>
  </si>
  <si>
    <t>ST0951</t>
  </si>
  <si>
    <t>ST0952</t>
  </si>
  <si>
    <t>ST0953</t>
  </si>
  <si>
    <t>ST0954</t>
  </si>
  <si>
    <t>ST0955</t>
  </si>
  <si>
    <t>ST0956</t>
  </si>
  <si>
    <t>ST0957</t>
  </si>
  <si>
    <t>ST0958</t>
  </si>
  <si>
    <t>ST0959</t>
  </si>
  <si>
    <t>ST0960</t>
  </si>
  <si>
    <t>ST0961</t>
  </si>
  <si>
    <t>ST0962</t>
  </si>
  <si>
    <t>ST0963</t>
  </si>
  <si>
    <t>ST0964</t>
  </si>
  <si>
    <t>ST0965</t>
  </si>
  <si>
    <t>ST0966</t>
  </si>
  <si>
    <t>ST0967</t>
  </si>
  <si>
    <t>ST0968</t>
  </si>
  <si>
    <t>ST0969</t>
  </si>
  <si>
    <t>ST0970</t>
  </si>
  <si>
    <t>ST0971</t>
  </si>
  <si>
    <t>ST0972</t>
  </si>
  <si>
    <t>ST0973</t>
  </si>
  <si>
    <t>ST0974</t>
  </si>
  <si>
    <t>ST0975</t>
  </si>
  <si>
    <t>Khadija Mbaye</t>
  </si>
  <si>
    <t>ST0976</t>
  </si>
  <si>
    <t>ST0977</t>
  </si>
  <si>
    <t>ST0978</t>
  </si>
  <si>
    <t>ST0979</t>
  </si>
  <si>
    <t>ST0980</t>
  </si>
  <si>
    <t>ST0981</t>
  </si>
  <si>
    <t>ST0982</t>
  </si>
  <si>
    <t>ST0983</t>
  </si>
  <si>
    <t>ST0984</t>
  </si>
  <si>
    <t>ST0985</t>
  </si>
  <si>
    <t>Abdoulaye Diop</t>
  </si>
  <si>
    <t>ST0986</t>
  </si>
  <si>
    <t>ST0987</t>
  </si>
  <si>
    <t>ST0988</t>
  </si>
  <si>
    <t>ST0989</t>
  </si>
  <si>
    <t>ST0990</t>
  </si>
  <si>
    <t>ST0991</t>
  </si>
  <si>
    <t>ST0992</t>
  </si>
  <si>
    <t>ST0993</t>
  </si>
  <si>
    <t>Mariama Seck</t>
  </si>
  <si>
    <t>ST0994</t>
  </si>
  <si>
    <t>ST0995</t>
  </si>
  <si>
    <t>ST0996</t>
  </si>
  <si>
    <t>ST0997</t>
  </si>
  <si>
    <t>ST0998</t>
  </si>
  <si>
    <t>ST0999</t>
  </si>
  <si>
    <t>ST1000</t>
  </si>
  <si>
    <t>Somme Python</t>
  </si>
  <si>
    <t>Moyenne Python</t>
  </si>
  <si>
    <t>Max Python</t>
  </si>
  <si>
    <t>Min Python</t>
  </si>
  <si>
    <t>Nb notes Python</t>
  </si>
  <si>
    <t>Statistiques Python</t>
  </si>
  <si>
    <t>Somme</t>
  </si>
  <si>
    <t>Moyenne</t>
  </si>
  <si>
    <t>Résultat cumulé</t>
  </si>
  <si>
    <t>Nombre</t>
  </si>
  <si>
    <t>Python &gt;= 15</t>
  </si>
  <si>
    <t>Math &lt; 10</t>
  </si>
  <si>
    <t>Presence &gt;= 90%</t>
  </si>
  <si>
    <t>Conditions simples</t>
  </si>
  <si>
    <t>Conditions multiples</t>
  </si>
  <si>
    <t>Python &gt;= 15 ET Math &gt;= 15</t>
  </si>
  <si>
    <t>Presence &gt;= 90% ET Python &gt;= 15</t>
  </si>
  <si>
    <t>Math &lt; 10 ET Presence &lt; 80%</t>
  </si>
  <si>
    <t>📊 Résumé général de la promotion</t>
  </si>
  <si>
    <t>Nombre de notes en Math</t>
  </si>
  <si>
    <t>Moyenne Math</t>
  </si>
  <si>
    <t>Note maximale Math</t>
  </si>
  <si>
    <t>Note minimale Math</t>
  </si>
  <si>
    <t>Nombre de notes en Python</t>
  </si>
  <si>
    <t>Note maximale Python</t>
  </si>
  <si>
    <t>Note minimale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</si>
</sst>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6"/>
      <color theme="4"/>
      <name val="Times New Roman"/>
      <family val="1"/>
    </font>
    <font>
      <sz val="14"/>
      <color theme="4"/>
      <name val="Times New Roman"/>
      <family val="1"/>
    </font>
    <font>
      <sz val="11"/>
      <name val="Times New Roman"/>
      <family val="1"/>
    </font>
    <font>
      <sz val="16"/>
      <color rgb="FF002060"/>
      <name val="Times New Roman"/>
      <family val="1"/>
    </font>
    <font>
      <sz val="15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5"/>
      <color theme="3" tint="-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4" fillId="0" borderId="0" xfId="0" applyFont="1" applyFill="1" applyBorder="1"/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0" fontId="5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7" fillId="0" borderId="0" xfId="0" applyFont="1"/>
    <xf numFmtId="0" fontId="11" fillId="2" borderId="0" xfId="0" applyFont="1" applyFill="1"/>
    <xf numFmtId="0" fontId="10" fillId="2" borderId="0" xfId="0" applyFont="1" applyFill="1"/>
    <xf numFmtId="0" fontId="10" fillId="3" borderId="0" xfId="0" applyFont="1" applyFill="1"/>
    <xf numFmtId="0" fontId="11" fillId="3" borderId="0" xfId="0" applyFont="1" applyFill="1"/>
    <xf numFmtId="0" fontId="11" fillId="3" borderId="0" xfId="0" applyFont="1" applyFill="1" applyAlignment="1">
      <alignment wrapText="1"/>
    </xf>
    <xf numFmtId="0" fontId="12" fillId="3" borderId="0" xfId="0" applyFont="1" applyFill="1"/>
    <xf numFmtId="0" fontId="9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workbookViewId="0">
      <selection activeCell="K1" sqref="K1:K1048576"/>
    </sheetView>
  </sheetViews>
  <sheetFormatPr baseColWidth="10" defaultColWidth="9.06640625" defaultRowHeight="14.25" x14ac:dyDescent="0.45"/>
  <cols>
    <col min="1" max="1" width="27.265625" bestFit="1" customWidth="1"/>
    <col min="2" max="2" width="12.265625" customWidth="1"/>
    <col min="3" max="3" width="7.9296875" customWidth="1"/>
    <col min="5" max="5" width="16.19921875" bestFit="1" customWidth="1"/>
    <col min="12" max="12" width="10.265625" bestFit="1" customWidth="1"/>
    <col min="13" max="13" width="9.06640625" style="7"/>
    <col min="15" max="15" width="17.53125" bestFit="1" customWidth="1"/>
  </cols>
  <sheetData>
    <row r="1" spans="1:15" ht="20.25" x14ac:dyDescent="0.55000000000000004">
      <c r="A1" s="10" t="s">
        <v>1337</v>
      </c>
      <c r="B1" s="11"/>
      <c r="C1" s="8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3" t="s">
        <v>8</v>
      </c>
      <c r="M1" s="6" t="s">
        <v>9</v>
      </c>
      <c r="N1" s="1" t="s">
        <v>10</v>
      </c>
      <c r="O1" s="1" t="s">
        <v>11</v>
      </c>
    </row>
    <row r="2" spans="1:15" x14ac:dyDescent="0.45">
      <c r="A2" s="4" t="s">
        <v>1332</v>
      </c>
      <c r="B2" s="4">
        <f>SUM(K2:K1001)</f>
        <v>13428.10999999999</v>
      </c>
      <c r="C2" s="4"/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12.13</v>
      </c>
      <c r="J2">
        <v>11.08</v>
      </c>
      <c r="K2">
        <v>11.09</v>
      </c>
      <c r="L2">
        <v>14.41</v>
      </c>
      <c r="M2" s="7">
        <v>0.91869999999999996</v>
      </c>
      <c r="N2">
        <v>75000</v>
      </c>
      <c r="O2" s="2">
        <v>45854</v>
      </c>
    </row>
    <row r="3" spans="1:15" x14ac:dyDescent="0.45">
      <c r="A3" s="4" t="s">
        <v>1333</v>
      </c>
      <c r="B3" s="4">
        <f>AVERAGE(K2:K1001)</f>
        <v>13.42810999999999</v>
      </c>
      <c r="C3" s="4"/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15.39</v>
      </c>
      <c r="J3">
        <v>18.309999999999999</v>
      </c>
      <c r="K3">
        <v>20</v>
      </c>
      <c r="L3">
        <v>12.86</v>
      </c>
      <c r="M3" s="7">
        <v>0.81930000000000003</v>
      </c>
      <c r="N3">
        <v>90000</v>
      </c>
      <c r="O3" s="2">
        <v>45633</v>
      </c>
    </row>
    <row r="4" spans="1:15" x14ac:dyDescent="0.45">
      <c r="A4" s="4" t="s">
        <v>1334</v>
      </c>
      <c r="B4" s="4">
        <f>MAX(K2:K1001)</f>
        <v>20</v>
      </c>
      <c r="C4" s="4"/>
      <c r="D4" t="s">
        <v>22</v>
      </c>
      <c r="E4" t="s">
        <v>23</v>
      </c>
      <c r="F4" t="s">
        <v>19</v>
      </c>
      <c r="G4" t="s">
        <v>15</v>
      </c>
      <c r="H4" t="s">
        <v>16</v>
      </c>
      <c r="I4">
        <v>11.17</v>
      </c>
      <c r="J4">
        <v>14.41</v>
      </c>
      <c r="K4">
        <v>19.760000000000002</v>
      </c>
      <c r="L4">
        <v>13.06</v>
      </c>
      <c r="M4" s="7">
        <v>0.79079999999999995</v>
      </c>
      <c r="N4">
        <v>85000</v>
      </c>
      <c r="O4" s="2">
        <v>45682</v>
      </c>
    </row>
    <row r="5" spans="1:15" x14ac:dyDescent="0.45">
      <c r="A5" s="5" t="s">
        <v>1335</v>
      </c>
      <c r="B5" s="5">
        <f>MIN(K2:K1001)</f>
        <v>0.41</v>
      </c>
      <c r="C5" s="5"/>
      <c r="D5" t="s">
        <v>24</v>
      </c>
      <c r="E5" t="s">
        <v>25</v>
      </c>
      <c r="F5" t="s">
        <v>14</v>
      </c>
      <c r="G5" t="s">
        <v>20</v>
      </c>
      <c r="H5" t="s">
        <v>21</v>
      </c>
      <c r="I5">
        <v>14.17</v>
      </c>
      <c r="J5">
        <v>10.220000000000001</v>
      </c>
      <c r="K5">
        <v>10.26</v>
      </c>
      <c r="L5">
        <v>14.91</v>
      </c>
      <c r="M5" s="7">
        <v>0.76400000000000001</v>
      </c>
      <c r="N5">
        <v>120000</v>
      </c>
      <c r="O5" s="2">
        <v>45844</v>
      </c>
    </row>
    <row r="6" spans="1:15" x14ac:dyDescent="0.45">
      <c r="A6" s="4" t="s">
        <v>1336</v>
      </c>
      <c r="B6" s="4">
        <f>COUNTA(K2:K1001)</f>
        <v>1000</v>
      </c>
      <c r="C6" s="4"/>
      <c r="D6" t="s">
        <v>26</v>
      </c>
      <c r="E6" t="s">
        <v>27</v>
      </c>
      <c r="F6" t="s">
        <v>14</v>
      </c>
      <c r="G6" t="s">
        <v>28</v>
      </c>
      <c r="H6" t="s">
        <v>29</v>
      </c>
      <c r="I6">
        <v>13.23</v>
      </c>
      <c r="J6">
        <v>10.49</v>
      </c>
      <c r="K6">
        <v>10.63</v>
      </c>
      <c r="L6">
        <v>13.04</v>
      </c>
      <c r="M6" s="7">
        <v>0.73070000000000002</v>
      </c>
      <c r="N6">
        <v>70000</v>
      </c>
      <c r="O6" s="2">
        <v>46019</v>
      </c>
    </row>
    <row r="7" spans="1:15" x14ac:dyDescent="0.45">
      <c r="D7" t="s">
        <v>30</v>
      </c>
      <c r="E7" t="s">
        <v>31</v>
      </c>
      <c r="F7" t="s">
        <v>19</v>
      </c>
      <c r="G7" t="s">
        <v>32</v>
      </c>
      <c r="H7" t="s">
        <v>21</v>
      </c>
      <c r="I7">
        <v>16.079999999999998</v>
      </c>
      <c r="J7">
        <v>16.989999999999998</v>
      </c>
      <c r="K7">
        <v>12.22</v>
      </c>
      <c r="L7">
        <v>11.87</v>
      </c>
      <c r="M7" s="7">
        <v>0.7429</v>
      </c>
      <c r="N7">
        <v>85000</v>
      </c>
      <c r="O7" s="2">
        <v>45826</v>
      </c>
    </row>
    <row r="8" spans="1:15" x14ac:dyDescent="0.45">
      <c r="D8" t="s">
        <v>33</v>
      </c>
      <c r="E8" t="s">
        <v>34</v>
      </c>
      <c r="F8" t="s">
        <v>14</v>
      </c>
      <c r="G8" t="s">
        <v>35</v>
      </c>
      <c r="H8" t="s">
        <v>21</v>
      </c>
      <c r="I8">
        <v>16.97</v>
      </c>
      <c r="J8">
        <v>18.260000000000002</v>
      </c>
      <c r="K8">
        <v>15.2</v>
      </c>
      <c r="L8">
        <v>12.16</v>
      </c>
      <c r="M8" s="7">
        <v>0.75839999999999996</v>
      </c>
      <c r="N8">
        <v>60000</v>
      </c>
      <c r="O8" s="2">
        <v>45915</v>
      </c>
    </row>
    <row r="9" spans="1:15" ht="20.25" x14ac:dyDescent="0.55000000000000004">
      <c r="A9" s="10" t="s">
        <v>1345</v>
      </c>
      <c r="B9" s="12"/>
      <c r="C9" s="9"/>
      <c r="D9" t="s">
        <v>36</v>
      </c>
      <c r="E9" t="s">
        <v>37</v>
      </c>
      <c r="F9" t="s">
        <v>19</v>
      </c>
      <c r="G9" t="s">
        <v>20</v>
      </c>
      <c r="H9" t="s">
        <v>21</v>
      </c>
      <c r="I9">
        <v>7.57</v>
      </c>
      <c r="J9">
        <v>11.81</v>
      </c>
      <c r="K9">
        <v>12.87</v>
      </c>
      <c r="L9">
        <v>10.09</v>
      </c>
      <c r="M9" s="7">
        <v>0.95250000000000001</v>
      </c>
      <c r="N9">
        <v>90000</v>
      </c>
      <c r="O9" s="2">
        <v>45901</v>
      </c>
    </row>
    <row r="10" spans="1:15" x14ac:dyDescent="0.45">
      <c r="A10" s="4" t="s">
        <v>1342</v>
      </c>
      <c r="B10" s="4">
        <f>COUNTIF(K2:K1001, "&gt;=15")</f>
        <v>341</v>
      </c>
      <c r="C10" s="4"/>
      <c r="D10" s="4" t="s">
        <v>38</v>
      </c>
      <c r="E10" t="s">
        <v>39</v>
      </c>
      <c r="F10" t="s">
        <v>14</v>
      </c>
      <c r="G10" t="s">
        <v>20</v>
      </c>
      <c r="H10" t="s">
        <v>21</v>
      </c>
      <c r="I10">
        <v>7.43</v>
      </c>
      <c r="J10">
        <v>14.27</v>
      </c>
      <c r="K10">
        <v>12.08</v>
      </c>
      <c r="L10">
        <v>8.82</v>
      </c>
      <c r="M10" s="7">
        <v>0.87990000000000002</v>
      </c>
      <c r="N10">
        <v>50000</v>
      </c>
      <c r="O10" s="2">
        <v>45724</v>
      </c>
    </row>
    <row r="11" spans="1:15" x14ac:dyDescent="0.45">
      <c r="A11" s="4" t="s">
        <v>1343</v>
      </c>
      <c r="B11" s="4">
        <f>COUNTIF(I2:I1001, "&lt;10")</f>
        <v>192</v>
      </c>
      <c r="C11" s="4"/>
      <c r="D11" s="4" t="s">
        <v>40</v>
      </c>
      <c r="E11" t="s">
        <v>41</v>
      </c>
      <c r="F11" t="s">
        <v>14</v>
      </c>
      <c r="G11" t="s">
        <v>35</v>
      </c>
      <c r="H11" t="s">
        <v>42</v>
      </c>
      <c r="I11">
        <v>14.93</v>
      </c>
      <c r="J11">
        <v>19.32</v>
      </c>
      <c r="K11">
        <v>17.170000000000002</v>
      </c>
      <c r="L11">
        <v>16.940000000000001</v>
      </c>
      <c r="M11" s="7">
        <v>0.74860000000000004</v>
      </c>
      <c r="N11">
        <v>80000</v>
      </c>
      <c r="O11" s="2">
        <v>45731</v>
      </c>
    </row>
    <row r="12" spans="1:15" x14ac:dyDescent="0.45">
      <c r="A12" s="4" t="s">
        <v>1344</v>
      </c>
      <c r="B12" s="4">
        <f>COUNTIF(M2:M1001, "&gt;=90%")</f>
        <v>305</v>
      </c>
      <c r="C12" s="4"/>
      <c r="D12" s="4" t="s">
        <v>43</v>
      </c>
      <c r="E12" t="s">
        <v>44</v>
      </c>
      <c r="F12" t="s">
        <v>19</v>
      </c>
      <c r="G12" t="s">
        <v>32</v>
      </c>
      <c r="H12" t="s">
        <v>21</v>
      </c>
      <c r="I12">
        <v>10.02</v>
      </c>
      <c r="J12">
        <v>14.25</v>
      </c>
      <c r="K12">
        <v>13.71</v>
      </c>
      <c r="L12">
        <v>9.16</v>
      </c>
      <c r="M12" s="7">
        <v>0.78959999999999997</v>
      </c>
      <c r="N12">
        <v>50000</v>
      </c>
      <c r="O12" s="2">
        <v>45834</v>
      </c>
    </row>
    <row r="13" spans="1:15" x14ac:dyDescent="0.45">
      <c r="D13" t="s">
        <v>45</v>
      </c>
      <c r="E13" t="s">
        <v>46</v>
      </c>
      <c r="F13" t="s">
        <v>19</v>
      </c>
      <c r="G13" t="s">
        <v>47</v>
      </c>
      <c r="H13" t="s">
        <v>16</v>
      </c>
      <c r="I13">
        <v>11.19</v>
      </c>
      <c r="J13">
        <v>7.93</v>
      </c>
      <c r="K13">
        <v>8.2100000000000009</v>
      </c>
      <c r="L13">
        <v>11.22</v>
      </c>
      <c r="M13" s="7">
        <v>0.9133</v>
      </c>
      <c r="N13">
        <v>75000</v>
      </c>
      <c r="O13" s="2">
        <v>45558</v>
      </c>
    </row>
    <row r="14" spans="1:15" ht="20.25" x14ac:dyDescent="0.55000000000000004">
      <c r="A14" s="10" t="s">
        <v>1346</v>
      </c>
      <c r="B14" s="12"/>
      <c r="D14" t="s">
        <v>48</v>
      </c>
      <c r="E14" t="s">
        <v>49</v>
      </c>
      <c r="F14" t="s">
        <v>19</v>
      </c>
      <c r="G14" t="s">
        <v>28</v>
      </c>
      <c r="H14" t="s">
        <v>16</v>
      </c>
      <c r="I14">
        <v>15.52</v>
      </c>
      <c r="J14">
        <v>18.95</v>
      </c>
      <c r="K14">
        <v>14.41</v>
      </c>
      <c r="L14">
        <v>14.9</v>
      </c>
      <c r="M14" s="7">
        <v>0.87109999999999999</v>
      </c>
      <c r="N14">
        <v>85000</v>
      </c>
      <c r="O14" s="2">
        <v>46015</v>
      </c>
    </row>
    <row r="15" spans="1:15" x14ac:dyDescent="0.45">
      <c r="A15" s="4" t="s">
        <v>1347</v>
      </c>
      <c r="B15" s="4">
        <f>COUNTIFS(K2:K1001,"&gt;=15",I2:I1001,"&gt;=15")</f>
        <v>194</v>
      </c>
      <c r="D15" t="s">
        <v>50</v>
      </c>
      <c r="E15" t="s">
        <v>51</v>
      </c>
      <c r="F15" t="s">
        <v>19</v>
      </c>
      <c r="G15" t="s">
        <v>32</v>
      </c>
      <c r="H15" t="s">
        <v>42</v>
      </c>
      <c r="I15">
        <v>17.22</v>
      </c>
      <c r="J15">
        <v>16.38</v>
      </c>
      <c r="K15">
        <v>14.95</v>
      </c>
      <c r="L15">
        <v>15.12</v>
      </c>
      <c r="M15" s="7">
        <v>0.73260000000000003</v>
      </c>
      <c r="N15">
        <v>75000</v>
      </c>
      <c r="O15" s="2">
        <v>45966</v>
      </c>
    </row>
    <row r="16" spans="1:15" x14ac:dyDescent="0.45">
      <c r="A16" s="4" t="s">
        <v>1348</v>
      </c>
      <c r="B16" s="4">
        <f>COUNTIFS(M2:M1001,"&gt;=90%",K2:K1001,"&gt;=15")</f>
        <v>101</v>
      </c>
      <c r="D16" t="s">
        <v>52</v>
      </c>
      <c r="E16" t="s">
        <v>53</v>
      </c>
      <c r="F16" t="s">
        <v>19</v>
      </c>
      <c r="G16" t="s">
        <v>15</v>
      </c>
      <c r="H16" t="s">
        <v>21</v>
      </c>
      <c r="I16">
        <v>10.09</v>
      </c>
      <c r="J16">
        <v>8.77</v>
      </c>
      <c r="K16">
        <v>5.93</v>
      </c>
      <c r="L16">
        <v>12.28</v>
      </c>
      <c r="M16" s="7">
        <v>0.95089999999999997</v>
      </c>
      <c r="N16">
        <v>80000</v>
      </c>
      <c r="O16" s="2">
        <v>45750</v>
      </c>
    </row>
    <row r="17" spans="1:15" x14ac:dyDescent="0.45">
      <c r="A17" s="13" t="s">
        <v>1349</v>
      </c>
      <c r="B17" s="4">
        <f>COUNTIFS(I2:I1001,"&lt;10",M2:M1001,"&lt;80%")</f>
        <v>66</v>
      </c>
      <c r="D17" t="s">
        <v>54</v>
      </c>
      <c r="E17" t="s">
        <v>55</v>
      </c>
      <c r="F17" t="s">
        <v>19</v>
      </c>
      <c r="G17" t="s">
        <v>32</v>
      </c>
      <c r="H17" t="s">
        <v>21</v>
      </c>
      <c r="I17">
        <v>14.6</v>
      </c>
      <c r="J17">
        <v>13.07</v>
      </c>
      <c r="K17">
        <v>11.79</v>
      </c>
      <c r="L17">
        <v>13.08</v>
      </c>
      <c r="M17" s="7">
        <v>0.79810000000000003</v>
      </c>
      <c r="N17">
        <v>60000</v>
      </c>
      <c r="O17" s="2">
        <v>45797</v>
      </c>
    </row>
    <row r="18" spans="1:15" x14ac:dyDescent="0.45">
      <c r="D18" t="s">
        <v>56</v>
      </c>
      <c r="E18" t="s">
        <v>57</v>
      </c>
      <c r="F18" t="s">
        <v>19</v>
      </c>
      <c r="G18" t="s">
        <v>15</v>
      </c>
      <c r="H18" t="s">
        <v>42</v>
      </c>
      <c r="I18">
        <v>18.2</v>
      </c>
      <c r="J18">
        <v>16.52</v>
      </c>
      <c r="K18">
        <v>13.29</v>
      </c>
      <c r="L18">
        <v>13.86</v>
      </c>
      <c r="M18" s="7">
        <v>0.84589999999999999</v>
      </c>
      <c r="N18">
        <v>100000</v>
      </c>
      <c r="O18" s="2">
        <v>45766</v>
      </c>
    </row>
    <row r="19" spans="1:15" x14ac:dyDescent="0.45">
      <c r="D19" t="s">
        <v>58</v>
      </c>
      <c r="E19" t="s">
        <v>59</v>
      </c>
      <c r="F19" t="s">
        <v>14</v>
      </c>
      <c r="G19" t="s">
        <v>15</v>
      </c>
      <c r="H19" t="s">
        <v>42</v>
      </c>
      <c r="I19">
        <v>15.58</v>
      </c>
      <c r="J19">
        <v>11.27</v>
      </c>
      <c r="K19">
        <v>16.43</v>
      </c>
      <c r="L19">
        <v>13.24</v>
      </c>
      <c r="M19" s="7">
        <v>0.55000000000000004</v>
      </c>
      <c r="N19">
        <v>110000</v>
      </c>
      <c r="O19" s="2">
        <v>45991</v>
      </c>
    </row>
    <row r="20" spans="1:15" x14ac:dyDescent="0.45">
      <c r="D20" t="s">
        <v>60</v>
      </c>
      <c r="E20" t="s">
        <v>61</v>
      </c>
      <c r="F20" t="s">
        <v>19</v>
      </c>
      <c r="G20" t="s">
        <v>15</v>
      </c>
      <c r="H20" t="s">
        <v>42</v>
      </c>
      <c r="I20">
        <v>15.42</v>
      </c>
      <c r="J20">
        <v>17.21</v>
      </c>
      <c r="K20">
        <v>16.010000000000002</v>
      </c>
      <c r="L20">
        <v>14.75</v>
      </c>
      <c r="M20" s="7">
        <v>0.55000000000000004</v>
      </c>
      <c r="N20">
        <v>85000</v>
      </c>
      <c r="O20" s="2">
        <v>46067</v>
      </c>
    </row>
    <row r="21" spans="1:15" x14ac:dyDescent="0.45">
      <c r="D21" t="s">
        <v>62</v>
      </c>
      <c r="E21" t="s">
        <v>63</v>
      </c>
      <c r="F21" t="s">
        <v>14</v>
      </c>
      <c r="G21" t="s">
        <v>20</v>
      </c>
      <c r="H21" t="s">
        <v>21</v>
      </c>
      <c r="I21">
        <v>12.83</v>
      </c>
      <c r="J21">
        <v>7.87</v>
      </c>
      <c r="K21">
        <v>11.11</v>
      </c>
      <c r="L21">
        <v>9.27</v>
      </c>
      <c r="M21" s="7">
        <v>0.82350000000000001</v>
      </c>
      <c r="N21">
        <v>50000</v>
      </c>
      <c r="O21" s="2">
        <v>45612</v>
      </c>
    </row>
    <row r="22" spans="1:15" x14ac:dyDescent="0.45">
      <c r="D22" t="s">
        <v>64</v>
      </c>
      <c r="E22" t="s">
        <v>65</v>
      </c>
      <c r="F22" t="s">
        <v>19</v>
      </c>
      <c r="G22" t="s">
        <v>28</v>
      </c>
      <c r="H22" t="s">
        <v>21</v>
      </c>
      <c r="I22">
        <v>14.68</v>
      </c>
      <c r="J22">
        <v>15.64</v>
      </c>
      <c r="K22">
        <v>10.58</v>
      </c>
      <c r="L22">
        <v>12.5</v>
      </c>
      <c r="M22" s="7">
        <v>0.87709999999999999</v>
      </c>
      <c r="N22">
        <v>50000</v>
      </c>
      <c r="O22" s="2">
        <v>45825</v>
      </c>
    </row>
    <row r="23" spans="1:15" x14ac:dyDescent="0.45">
      <c r="D23" t="s">
        <v>66</v>
      </c>
      <c r="E23" t="s">
        <v>67</v>
      </c>
      <c r="F23" t="s">
        <v>14</v>
      </c>
      <c r="G23" t="s">
        <v>15</v>
      </c>
      <c r="H23" t="s">
        <v>16</v>
      </c>
      <c r="I23">
        <v>11.98</v>
      </c>
      <c r="J23">
        <v>11.91</v>
      </c>
      <c r="K23">
        <v>9.59</v>
      </c>
      <c r="L23">
        <v>8.1</v>
      </c>
      <c r="M23" s="7">
        <v>0.83630000000000004</v>
      </c>
      <c r="N23">
        <v>100000</v>
      </c>
      <c r="O23" s="2">
        <v>45545</v>
      </c>
    </row>
    <row r="24" spans="1:15" x14ac:dyDescent="0.45">
      <c r="D24" t="s">
        <v>68</v>
      </c>
      <c r="E24" t="s">
        <v>69</v>
      </c>
      <c r="F24" t="s">
        <v>14</v>
      </c>
      <c r="G24" t="s">
        <v>47</v>
      </c>
      <c r="H24" t="s">
        <v>42</v>
      </c>
      <c r="I24">
        <v>10.3</v>
      </c>
      <c r="J24">
        <v>11.97</v>
      </c>
      <c r="K24">
        <v>13.81</v>
      </c>
      <c r="L24">
        <v>10.81</v>
      </c>
      <c r="M24" s="7">
        <v>0.94589999999999996</v>
      </c>
      <c r="N24">
        <v>130000</v>
      </c>
      <c r="O24" s="2">
        <v>45852</v>
      </c>
    </row>
    <row r="25" spans="1:15" x14ac:dyDescent="0.45">
      <c r="D25" t="s">
        <v>70</v>
      </c>
      <c r="E25" t="s">
        <v>71</v>
      </c>
      <c r="F25" t="s">
        <v>19</v>
      </c>
      <c r="G25" t="s">
        <v>28</v>
      </c>
      <c r="H25" t="s">
        <v>29</v>
      </c>
      <c r="I25">
        <v>17.48</v>
      </c>
      <c r="J25">
        <v>14.67</v>
      </c>
      <c r="K25">
        <v>10.02</v>
      </c>
      <c r="L25">
        <v>16.63</v>
      </c>
      <c r="M25" s="7">
        <v>0.58579999999999999</v>
      </c>
      <c r="N25">
        <v>120000</v>
      </c>
      <c r="O25" s="2">
        <v>45709</v>
      </c>
    </row>
    <row r="26" spans="1:15" x14ac:dyDescent="0.45">
      <c r="D26" t="s">
        <v>72</v>
      </c>
      <c r="E26" t="s">
        <v>73</v>
      </c>
      <c r="F26" t="s">
        <v>19</v>
      </c>
      <c r="G26" t="s">
        <v>32</v>
      </c>
      <c r="H26" t="s">
        <v>21</v>
      </c>
      <c r="I26">
        <v>20</v>
      </c>
      <c r="J26">
        <v>17.690000000000001</v>
      </c>
      <c r="K26">
        <v>20</v>
      </c>
      <c r="L26">
        <v>17.84</v>
      </c>
      <c r="M26" s="7">
        <v>0.9405</v>
      </c>
      <c r="N26">
        <v>80000</v>
      </c>
      <c r="O26" s="2">
        <v>45771</v>
      </c>
    </row>
    <row r="27" spans="1:15" x14ac:dyDescent="0.45">
      <c r="D27" t="s">
        <v>74</v>
      </c>
      <c r="E27" t="s">
        <v>75</v>
      </c>
      <c r="F27" t="s">
        <v>19</v>
      </c>
      <c r="G27" t="s">
        <v>32</v>
      </c>
      <c r="H27" t="s">
        <v>42</v>
      </c>
      <c r="I27">
        <v>18.41</v>
      </c>
      <c r="J27">
        <v>20</v>
      </c>
      <c r="K27">
        <v>14.71</v>
      </c>
      <c r="L27">
        <v>20</v>
      </c>
      <c r="M27" s="7">
        <v>0.81899999999999995</v>
      </c>
      <c r="N27">
        <v>85000</v>
      </c>
      <c r="O27" s="2">
        <v>45855</v>
      </c>
    </row>
    <row r="28" spans="1:15" x14ac:dyDescent="0.45">
      <c r="D28" t="s">
        <v>76</v>
      </c>
      <c r="E28" t="s">
        <v>77</v>
      </c>
      <c r="F28" t="s">
        <v>14</v>
      </c>
      <c r="G28" t="s">
        <v>15</v>
      </c>
      <c r="H28" t="s">
        <v>21</v>
      </c>
      <c r="I28">
        <v>20</v>
      </c>
      <c r="J28">
        <v>20</v>
      </c>
      <c r="K28">
        <v>19.239999999999998</v>
      </c>
      <c r="L28">
        <v>20</v>
      </c>
      <c r="M28" s="7">
        <v>0.76739999999999997</v>
      </c>
      <c r="N28">
        <v>60000</v>
      </c>
      <c r="O28" s="2">
        <v>45762</v>
      </c>
    </row>
    <row r="29" spans="1:15" x14ac:dyDescent="0.45">
      <c r="D29" t="s">
        <v>78</v>
      </c>
      <c r="E29" t="s">
        <v>79</v>
      </c>
      <c r="F29" t="s">
        <v>19</v>
      </c>
      <c r="G29" t="s">
        <v>47</v>
      </c>
      <c r="H29" t="s">
        <v>29</v>
      </c>
      <c r="I29">
        <v>8.86</v>
      </c>
      <c r="J29">
        <v>14.37</v>
      </c>
      <c r="K29">
        <v>11.44</v>
      </c>
      <c r="L29">
        <v>14.76</v>
      </c>
      <c r="M29" s="7">
        <v>0.81159999999999999</v>
      </c>
      <c r="N29">
        <v>50000</v>
      </c>
      <c r="O29" s="2">
        <v>45811</v>
      </c>
    </row>
    <row r="30" spans="1:15" x14ac:dyDescent="0.45">
      <c r="D30" t="s">
        <v>80</v>
      </c>
      <c r="E30" t="s">
        <v>53</v>
      </c>
      <c r="F30" t="s">
        <v>19</v>
      </c>
      <c r="G30" t="s">
        <v>15</v>
      </c>
      <c r="H30" t="s">
        <v>42</v>
      </c>
      <c r="I30">
        <v>14.37</v>
      </c>
      <c r="J30">
        <v>14.83</v>
      </c>
      <c r="K30">
        <v>17</v>
      </c>
      <c r="L30">
        <v>17.43</v>
      </c>
      <c r="M30" s="7">
        <v>0.97089999999999999</v>
      </c>
      <c r="N30">
        <v>110000</v>
      </c>
      <c r="O30" s="2">
        <v>46071</v>
      </c>
    </row>
    <row r="31" spans="1:15" x14ac:dyDescent="0.45">
      <c r="D31" t="s">
        <v>81</v>
      </c>
      <c r="E31" t="s">
        <v>82</v>
      </c>
      <c r="F31" t="s">
        <v>14</v>
      </c>
      <c r="G31" t="s">
        <v>32</v>
      </c>
      <c r="H31" t="s">
        <v>16</v>
      </c>
      <c r="I31">
        <v>15.56</v>
      </c>
      <c r="J31">
        <v>17.899999999999999</v>
      </c>
      <c r="K31">
        <v>20</v>
      </c>
      <c r="L31">
        <v>17.23</v>
      </c>
      <c r="M31" s="7">
        <v>0.55000000000000004</v>
      </c>
      <c r="N31">
        <v>80000</v>
      </c>
      <c r="O31" s="2">
        <v>46103</v>
      </c>
    </row>
    <row r="32" spans="1:15" x14ac:dyDescent="0.45">
      <c r="D32" t="s">
        <v>83</v>
      </c>
      <c r="E32" t="s">
        <v>84</v>
      </c>
      <c r="F32" t="s">
        <v>14</v>
      </c>
      <c r="G32" t="s">
        <v>35</v>
      </c>
      <c r="H32" t="s">
        <v>21</v>
      </c>
      <c r="I32">
        <v>12.24</v>
      </c>
      <c r="J32">
        <v>16.73</v>
      </c>
      <c r="K32">
        <v>9.0399999999999991</v>
      </c>
      <c r="L32">
        <v>17.5</v>
      </c>
      <c r="M32" s="7">
        <v>0.98560000000000003</v>
      </c>
      <c r="N32">
        <v>85000</v>
      </c>
      <c r="O32" s="2">
        <v>45540</v>
      </c>
    </row>
    <row r="33" spans="4:15" x14ac:dyDescent="0.45">
      <c r="D33" t="s">
        <v>85</v>
      </c>
      <c r="E33" t="s">
        <v>86</v>
      </c>
      <c r="F33" t="s">
        <v>14</v>
      </c>
      <c r="G33" t="s">
        <v>35</v>
      </c>
      <c r="H33" t="s">
        <v>16</v>
      </c>
      <c r="I33">
        <v>19.11</v>
      </c>
      <c r="J33">
        <v>12.44</v>
      </c>
      <c r="K33">
        <v>15.6</v>
      </c>
      <c r="L33">
        <v>17.84</v>
      </c>
      <c r="M33" s="7">
        <v>0.93830000000000002</v>
      </c>
      <c r="N33">
        <v>75000</v>
      </c>
      <c r="O33" s="2">
        <v>45800</v>
      </c>
    </row>
    <row r="34" spans="4:15" x14ac:dyDescent="0.45">
      <c r="D34" t="s">
        <v>87</v>
      </c>
      <c r="E34" t="s">
        <v>88</v>
      </c>
      <c r="F34" t="s">
        <v>14</v>
      </c>
      <c r="G34" t="s">
        <v>47</v>
      </c>
      <c r="H34" t="s">
        <v>29</v>
      </c>
      <c r="I34">
        <v>15.66</v>
      </c>
      <c r="J34">
        <v>16.04</v>
      </c>
      <c r="K34">
        <v>12.03</v>
      </c>
      <c r="L34">
        <v>17.8</v>
      </c>
      <c r="M34" s="7">
        <v>0.79310000000000003</v>
      </c>
      <c r="N34">
        <v>75000</v>
      </c>
      <c r="O34" s="2">
        <v>46128</v>
      </c>
    </row>
    <row r="35" spans="4:15" x14ac:dyDescent="0.45">
      <c r="D35" t="s">
        <v>89</v>
      </c>
      <c r="E35" t="s">
        <v>90</v>
      </c>
      <c r="F35" t="s">
        <v>19</v>
      </c>
      <c r="G35" t="s">
        <v>28</v>
      </c>
      <c r="H35" t="s">
        <v>21</v>
      </c>
      <c r="I35">
        <v>12.44</v>
      </c>
      <c r="J35">
        <v>9.73</v>
      </c>
      <c r="K35">
        <v>14.47</v>
      </c>
      <c r="L35">
        <v>14.79</v>
      </c>
      <c r="M35" s="7">
        <v>0.85240000000000005</v>
      </c>
      <c r="N35">
        <v>130000</v>
      </c>
      <c r="O35" s="2">
        <v>45907</v>
      </c>
    </row>
    <row r="36" spans="4:15" x14ac:dyDescent="0.45">
      <c r="D36" t="s">
        <v>91</v>
      </c>
      <c r="E36" t="s">
        <v>92</v>
      </c>
      <c r="F36" t="s">
        <v>19</v>
      </c>
      <c r="G36" t="s">
        <v>28</v>
      </c>
      <c r="H36" t="s">
        <v>21</v>
      </c>
      <c r="I36">
        <v>11.52</v>
      </c>
      <c r="J36">
        <v>14.33</v>
      </c>
      <c r="K36">
        <v>11.2</v>
      </c>
      <c r="L36">
        <v>10.91</v>
      </c>
      <c r="M36" s="7">
        <v>0.75270000000000004</v>
      </c>
      <c r="N36">
        <v>110000</v>
      </c>
      <c r="O36" s="2">
        <v>45679</v>
      </c>
    </row>
    <row r="37" spans="4:15" x14ac:dyDescent="0.45">
      <c r="D37" t="s">
        <v>93</v>
      </c>
      <c r="E37" t="s">
        <v>94</v>
      </c>
      <c r="F37" t="s">
        <v>14</v>
      </c>
      <c r="G37" t="s">
        <v>15</v>
      </c>
      <c r="H37" t="s">
        <v>29</v>
      </c>
      <c r="I37">
        <v>7.93</v>
      </c>
      <c r="J37">
        <v>17.28</v>
      </c>
      <c r="K37">
        <v>12.82</v>
      </c>
      <c r="L37">
        <v>12.15</v>
      </c>
      <c r="M37" s="7">
        <v>0.7046</v>
      </c>
      <c r="N37">
        <v>100000</v>
      </c>
      <c r="O37" s="2">
        <v>45951</v>
      </c>
    </row>
    <row r="38" spans="4:15" x14ac:dyDescent="0.45">
      <c r="D38" t="s">
        <v>95</v>
      </c>
      <c r="E38" t="s">
        <v>96</v>
      </c>
      <c r="F38" t="s">
        <v>19</v>
      </c>
      <c r="G38" t="s">
        <v>15</v>
      </c>
      <c r="H38" t="s">
        <v>29</v>
      </c>
      <c r="I38">
        <v>13.6</v>
      </c>
      <c r="J38">
        <v>15.85</v>
      </c>
      <c r="K38">
        <v>13.47</v>
      </c>
      <c r="L38">
        <v>14.43</v>
      </c>
      <c r="M38" s="7">
        <v>0.92279999999999995</v>
      </c>
      <c r="N38">
        <v>80000</v>
      </c>
      <c r="O38" s="2">
        <v>45637</v>
      </c>
    </row>
    <row r="39" spans="4:15" x14ac:dyDescent="0.45">
      <c r="D39" t="s">
        <v>97</v>
      </c>
      <c r="E39" t="s">
        <v>98</v>
      </c>
      <c r="F39" t="s">
        <v>19</v>
      </c>
      <c r="G39" t="s">
        <v>20</v>
      </c>
      <c r="H39" t="s">
        <v>16</v>
      </c>
      <c r="I39">
        <v>15.67</v>
      </c>
      <c r="J39">
        <v>9.23</v>
      </c>
      <c r="K39">
        <v>15.43</v>
      </c>
      <c r="L39">
        <v>14.78</v>
      </c>
      <c r="M39" s="7">
        <v>0.82920000000000005</v>
      </c>
      <c r="N39">
        <v>100000</v>
      </c>
      <c r="O39" s="2">
        <v>45551</v>
      </c>
    </row>
    <row r="40" spans="4:15" x14ac:dyDescent="0.45">
      <c r="D40" t="s">
        <v>99</v>
      </c>
      <c r="E40" t="s">
        <v>100</v>
      </c>
      <c r="F40" t="s">
        <v>14</v>
      </c>
      <c r="G40" t="s">
        <v>15</v>
      </c>
      <c r="H40" t="s">
        <v>21</v>
      </c>
      <c r="I40">
        <v>13.07</v>
      </c>
      <c r="J40">
        <v>16.190000000000001</v>
      </c>
      <c r="K40">
        <v>11.47</v>
      </c>
      <c r="L40">
        <v>12.77</v>
      </c>
      <c r="M40" s="7">
        <v>0.92720000000000002</v>
      </c>
      <c r="N40">
        <v>75000</v>
      </c>
      <c r="O40" s="2">
        <v>45978</v>
      </c>
    </row>
    <row r="41" spans="4:15" x14ac:dyDescent="0.45">
      <c r="D41" t="s">
        <v>101</v>
      </c>
      <c r="E41" t="s">
        <v>71</v>
      </c>
      <c r="F41" t="s">
        <v>19</v>
      </c>
      <c r="G41" t="s">
        <v>47</v>
      </c>
      <c r="H41" t="s">
        <v>16</v>
      </c>
      <c r="I41">
        <v>13.55</v>
      </c>
      <c r="J41">
        <v>13.79</v>
      </c>
      <c r="K41">
        <v>18.309999999999999</v>
      </c>
      <c r="L41">
        <v>14.86</v>
      </c>
      <c r="M41" s="7">
        <v>0.95599999999999996</v>
      </c>
      <c r="N41">
        <v>85000</v>
      </c>
      <c r="O41" s="2">
        <v>45896</v>
      </c>
    </row>
    <row r="42" spans="4:15" x14ac:dyDescent="0.45">
      <c r="D42" t="s">
        <v>102</v>
      </c>
      <c r="E42" t="s">
        <v>103</v>
      </c>
      <c r="F42" t="s">
        <v>14</v>
      </c>
      <c r="G42" t="s">
        <v>15</v>
      </c>
      <c r="H42" t="s">
        <v>16</v>
      </c>
      <c r="I42">
        <v>15.33</v>
      </c>
      <c r="J42">
        <v>11.39</v>
      </c>
      <c r="K42">
        <v>11.75</v>
      </c>
      <c r="L42">
        <v>7.17</v>
      </c>
      <c r="M42" s="7">
        <v>0.77600000000000002</v>
      </c>
      <c r="N42">
        <v>60000</v>
      </c>
      <c r="O42" s="2">
        <v>46065</v>
      </c>
    </row>
    <row r="43" spans="4:15" x14ac:dyDescent="0.45">
      <c r="D43" t="s">
        <v>104</v>
      </c>
      <c r="E43" t="s">
        <v>105</v>
      </c>
      <c r="F43" t="s">
        <v>19</v>
      </c>
      <c r="G43" t="s">
        <v>32</v>
      </c>
      <c r="H43" t="s">
        <v>29</v>
      </c>
      <c r="I43">
        <v>18.57</v>
      </c>
      <c r="J43">
        <v>17.399999999999999</v>
      </c>
      <c r="K43">
        <v>12.73</v>
      </c>
      <c r="L43">
        <v>19.309999999999999</v>
      </c>
      <c r="M43" s="7">
        <v>0.90200000000000002</v>
      </c>
      <c r="N43">
        <v>100000</v>
      </c>
      <c r="O43" s="2">
        <v>45777</v>
      </c>
    </row>
    <row r="44" spans="4:15" x14ac:dyDescent="0.45">
      <c r="D44" t="s">
        <v>106</v>
      </c>
      <c r="E44" t="s">
        <v>107</v>
      </c>
      <c r="F44" t="s">
        <v>19</v>
      </c>
      <c r="G44" t="s">
        <v>15</v>
      </c>
      <c r="H44" t="s">
        <v>16</v>
      </c>
      <c r="I44">
        <v>15.7</v>
      </c>
      <c r="J44">
        <v>15.52</v>
      </c>
      <c r="K44">
        <v>18.27</v>
      </c>
      <c r="L44">
        <v>13.98</v>
      </c>
      <c r="M44" s="7">
        <v>0.94040000000000001</v>
      </c>
      <c r="N44">
        <v>50000</v>
      </c>
      <c r="O44" s="2">
        <v>46133</v>
      </c>
    </row>
    <row r="45" spans="4:15" x14ac:dyDescent="0.45">
      <c r="D45" t="s">
        <v>108</v>
      </c>
      <c r="E45" t="s">
        <v>109</v>
      </c>
      <c r="F45" t="s">
        <v>14</v>
      </c>
      <c r="G45" t="s">
        <v>32</v>
      </c>
      <c r="H45" t="s">
        <v>16</v>
      </c>
      <c r="I45">
        <v>9.0399999999999991</v>
      </c>
      <c r="J45">
        <v>9.3699999999999992</v>
      </c>
      <c r="K45">
        <v>10.09</v>
      </c>
      <c r="L45">
        <v>10.94</v>
      </c>
      <c r="M45" s="7">
        <v>0.86899999999999999</v>
      </c>
      <c r="N45">
        <v>100000</v>
      </c>
      <c r="O45" s="2">
        <v>45830</v>
      </c>
    </row>
    <row r="46" spans="4:15" x14ac:dyDescent="0.45">
      <c r="D46" t="s">
        <v>110</v>
      </c>
      <c r="E46" t="s">
        <v>111</v>
      </c>
      <c r="F46" t="s">
        <v>14</v>
      </c>
      <c r="G46" t="s">
        <v>47</v>
      </c>
      <c r="H46" t="s">
        <v>42</v>
      </c>
      <c r="I46">
        <v>17.010000000000002</v>
      </c>
      <c r="J46">
        <v>16.510000000000002</v>
      </c>
      <c r="K46">
        <v>20</v>
      </c>
      <c r="L46">
        <v>20</v>
      </c>
      <c r="M46" s="7">
        <v>0.91449999999999998</v>
      </c>
      <c r="N46">
        <v>90000</v>
      </c>
      <c r="O46" s="2">
        <v>46052</v>
      </c>
    </row>
    <row r="47" spans="4:15" x14ac:dyDescent="0.45">
      <c r="D47" t="s">
        <v>112</v>
      </c>
      <c r="E47" t="s">
        <v>113</v>
      </c>
      <c r="F47" t="s">
        <v>19</v>
      </c>
      <c r="G47" t="s">
        <v>35</v>
      </c>
      <c r="H47" t="s">
        <v>42</v>
      </c>
      <c r="I47">
        <v>10.33</v>
      </c>
      <c r="J47">
        <v>12.77</v>
      </c>
      <c r="K47">
        <v>14.98</v>
      </c>
      <c r="L47">
        <v>12.66</v>
      </c>
      <c r="M47" s="7">
        <v>0.98260000000000003</v>
      </c>
      <c r="N47">
        <v>50000</v>
      </c>
      <c r="O47" s="2">
        <v>45606</v>
      </c>
    </row>
    <row r="48" spans="4:15" x14ac:dyDescent="0.45">
      <c r="D48" t="s">
        <v>114</v>
      </c>
      <c r="E48" t="s">
        <v>115</v>
      </c>
      <c r="F48" t="s">
        <v>14</v>
      </c>
      <c r="G48" t="s">
        <v>47</v>
      </c>
      <c r="H48" t="s">
        <v>29</v>
      </c>
      <c r="I48">
        <v>6.68</v>
      </c>
      <c r="J48">
        <v>8.36</v>
      </c>
      <c r="K48">
        <v>7.31</v>
      </c>
      <c r="L48">
        <v>11.94</v>
      </c>
      <c r="M48" s="7">
        <v>0.94130000000000003</v>
      </c>
      <c r="N48">
        <v>85000</v>
      </c>
      <c r="O48" s="2">
        <v>45604</v>
      </c>
    </row>
    <row r="49" spans="4:15" x14ac:dyDescent="0.45">
      <c r="D49" t="s">
        <v>116</v>
      </c>
      <c r="E49" t="s">
        <v>117</v>
      </c>
      <c r="F49" t="s">
        <v>19</v>
      </c>
      <c r="G49" t="s">
        <v>20</v>
      </c>
      <c r="H49" t="s">
        <v>21</v>
      </c>
      <c r="I49">
        <v>8.2799999999999994</v>
      </c>
      <c r="J49">
        <v>8.5299999999999994</v>
      </c>
      <c r="K49">
        <v>10.59</v>
      </c>
      <c r="L49">
        <v>7.74</v>
      </c>
      <c r="M49" s="7">
        <v>0.93630000000000002</v>
      </c>
      <c r="N49">
        <v>70000</v>
      </c>
      <c r="O49" s="2">
        <v>46083</v>
      </c>
    </row>
    <row r="50" spans="4:15" x14ac:dyDescent="0.45">
      <c r="D50" t="s">
        <v>118</v>
      </c>
      <c r="E50" t="s">
        <v>119</v>
      </c>
      <c r="F50" t="s">
        <v>19</v>
      </c>
      <c r="G50" t="s">
        <v>20</v>
      </c>
      <c r="H50" t="s">
        <v>42</v>
      </c>
      <c r="I50">
        <v>9.2799999999999994</v>
      </c>
      <c r="J50">
        <v>10.31</v>
      </c>
      <c r="K50">
        <v>11.11</v>
      </c>
      <c r="L50">
        <v>15.82</v>
      </c>
      <c r="M50" s="7">
        <v>0.92930000000000001</v>
      </c>
      <c r="N50">
        <v>85000</v>
      </c>
      <c r="O50" s="2">
        <v>46119</v>
      </c>
    </row>
    <row r="51" spans="4:15" x14ac:dyDescent="0.45">
      <c r="D51" t="s">
        <v>120</v>
      </c>
      <c r="E51" t="s">
        <v>121</v>
      </c>
      <c r="F51" t="s">
        <v>19</v>
      </c>
      <c r="G51" t="s">
        <v>28</v>
      </c>
      <c r="H51" t="s">
        <v>16</v>
      </c>
      <c r="I51">
        <v>11.37</v>
      </c>
      <c r="J51">
        <v>14.79</v>
      </c>
      <c r="K51">
        <v>17.2</v>
      </c>
      <c r="L51">
        <v>15.94</v>
      </c>
      <c r="M51" s="7">
        <v>0.77490000000000003</v>
      </c>
      <c r="N51">
        <v>50000</v>
      </c>
      <c r="O51" s="2">
        <v>46195</v>
      </c>
    </row>
    <row r="52" spans="4:15" x14ac:dyDescent="0.45">
      <c r="D52" t="s">
        <v>122</v>
      </c>
      <c r="E52" t="s">
        <v>123</v>
      </c>
      <c r="F52" t="s">
        <v>19</v>
      </c>
      <c r="G52" t="s">
        <v>35</v>
      </c>
      <c r="H52" t="s">
        <v>42</v>
      </c>
      <c r="I52">
        <v>9.2899999999999991</v>
      </c>
      <c r="J52">
        <v>12.74</v>
      </c>
      <c r="K52">
        <v>13.9</v>
      </c>
      <c r="L52">
        <v>13.09</v>
      </c>
      <c r="M52" s="7">
        <v>0.95179999999999998</v>
      </c>
      <c r="N52">
        <v>100000</v>
      </c>
      <c r="O52" s="2">
        <v>45763</v>
      </c>
    </row>
    <row r="53" spans="4:15" x14ac:dyDescent="0.45">
      <c r="D53" t="s">
        <v>124</v>
      </c>
      <c r="E53" t="s">
        <v>125</v>
      </c>
      <c r="F53" t="s">
        <v>14</v>
      </c>
      <c r="G53" t="s">
        <v>47</v>
      </c>
      <c r="H53" t="s">
        <v>42</v>
      </c>
      <c r="I53">
        <v>13.04</v>
      </c>
      <c r="J53">
        <v>9.85</v>
      </c>
      <c r="K53">
        <v>13.14</v>
      </c>
      <c r="L53">
        <v>15.59</v>
      </c>
      <c r="M53" s="7">
        <v>0.9385</v>
      </c>
      <c r="N53">
        <v>85000</v>
      </c>
      <c r="O53" s="2">
        <v>45551</v>
      </c>
    </row>
    <row r="54" spans="4:15" x14ac:dyDescent="0.45">
      <c r="D54" t="s">
        <v>126</v>
      </c>
      <c r="E54" t="s">
        <v>127</v>
      </c>
      <c r="F54" t="s">
        <v>14</v>
      </c>
      <c r="G54" t="s">
        <v>32</v>
      </c>
      <c r="H54" t="s">
        <v>21</v>
      </c>
      <c r="I54">
        <v>15.75</v>
      </c>
      <c r="J54">
        <v>17.809999999999999</v>
      </c>
      <c r="K54">
        <v>15</v>
      </c>
      <c r="L54">
        <v>12.56</v>
      </c>
      <c r="M54" s="7">
        <v>0.92410000000000003</v>
      </c>
      <c r="N54">
        <v>75000</v>
      </c>
      <c r="O54" s="2">
        <v>46221</v>
      </c>
    </row>
    <row r="55" spans="4:15" x14ac:dyDescent="0.45">
      <c r="D55" t="s">
        <v>128</v>
      </c>
      <c r="E55" t="s">
        <v>129</v>
      </c>
      <c r="F55" t="s">
        <v>14</v>
      </c>
      <c r="G55" t="s">
        <v>32</v>
      </c>
      <c r="H55" t="s">
        <v>16</v>
      </c>
      <c r="I55">
        <v>18.190000000000001</v>
      </c>
      <c r="J55">
        <v>8.83</v>
      </c>
      <c r="K55">
        <v>14.54</v>
      </c>
      <c r="L55">
        <v>13.72</v>
      </c>
      <c r="M55" s="7">
        <v>0.79700000000000004</v>
      </c>
      <c r="N55">
        <v>120000</v>
      </c>
      <c r="O55" s="2">
        <v>45956</v>
      </c>
    </row>
    <row r="56" spans="4:15" x14ac:dyDescent="0.45">
      <c r="D56" t="s">
        <v>130</v>
      </c>
      <c r="E56" t="s">
        <v>131</v>
      </c>
      <c r="F56" t="s">
        <v>14</v>
      </c>
      <c r="G56" t="s">
        <v>28</v>
      </c>
      <c r="H56" t="s">
        <v>16</v>
      </c>
      <c r="I56">
        <v>12.91</v>
      </c>
      <c r="J56">
        <v>13.8</v>
      </c>
      <c r="K56">
        <v>17.46</v>
      </c>
      <c r="L56">
        <v>17.46</v>
      </c>
      <c r="M56" s="7">
        <v>0.80020000000000002</v>
      </c>
      <c r="N56">
        <v>100000</v>
      </c>
      <c r="O56" s="2">
        <v>45708</v>
      </c>
    </row>
    <row r="57" spans="4:15" x14ac:dyDescent="0.45">
      <c r="D57" t="s">
        <v>132</v>
      </c>
      <c r="E57" t="s">
        <v>133</v>
      </c>
      <c r="F57" t="s">
        <v>14</v>
      </c>
      <c r="G57" t="s">
        <v>28</v>
      </c>
      <c r="H57" t="s">
        <v>29</v>
      </c>
      <c r="I57">
        <v>15.3</v>
      </c>
      <c r="J57">
        <v>13.68</v>
      </c>
      <c r="K57">
        <v>14.86</v>
      </c>
      <c r="L57">
        <v>10.44</v>
      </c>
      <c r="M57" s="7">
        <v>0.89</v>
      </c>
      <c r="N57">
        <v>90000</v>
      </c>
      <c r="O57" s="2">
        <v>46070</v>
      </c>
    </row>
    <row r="58" spans="4:15" x14ac:dyDescent="0.45">
      <c r="D58" t="s">
        <v>134</v>
      </c>
      <c r="E58" t="s">
        <v>135</v>
      </c>
      <c r="F58" t="s">
        <v>19</v>
      </c>
      <c r="G58" t="s">
        <v>35</v>
      </c>
      <c r="H58" t="s">
        <v>29</v>
      </c>
      <c r="I58">
        <v>15.91</v>
      </c>
      <c r="J58">
        <v>15.95</v>
      </c>
      <c r="K58">
        <v>14.56</v>
      </c>
      <c r="L58">
        <v>16.36</v>
      </c>
      <c r="M58" s="7">
        <v>0.74680000000000002</v>
      </c>
      <c r="N58">
        <v>60000</v>
      </c>
      <c r="O58" s="2">
        <v>46168</v>
      </c>
    </row>
    <row r="59" spans="4:15" x14ac:dyDescent="0.45">
      <c r="D59" t="s">
        <v>136</v>
      </c>
      <c r="E59" t="s">
        <v>103</v>
      </c>
      <c r="F59" t="s">
        <v>14</v>
      </c>
      <c r="G59" t="s">
        <v>15</v>
      </c>
      <c r="H59" t="s">
        <v>21</v>
      </c>
      <c r="I59">
        <v>7.04</v>
      </c>
      <c r="J59">
        <v>9.23</v>
      </c>
      <c r="K59">
        <v>6.56</v>
      </c>
      <c r="L59">
        <v>8.67</v>
      </c>
      <c r="M59" s="7">
        <v>0.6895</v>
      </c>
      <c r="N59">
        <v>85000</v>
      </c>
      <c r="O59" s="2">
        <v>45735</v>
      </c>
    </row>
    <row r="60" spans="4:15" x14ac:dyDescent="0.45">
      <c r="D60" t="s">
        <v>137</v>
      </c>
      <c r="E60" t="s">
        <v>138</v>
      </c>
      <c r="F60" t="s">
        <v>19</v>
      </c>
      <c r="G60" t="s">
        <v>32</v>
      </c>
      <c r="H60" t="s">
        <v>42</v>
      </c>
      <c r="I60">
        <v>14.12</v>
      </c>
      <c r="J60">
        <v>15.36</v>
      </c>
      <c r="K60">
        <v>11.46</v>
      </c>
      <c r="L60">
        <v>16.71</v>
      </c>
      <c r="M60" s="7">
        <v>0.9617</v>
      </c>
      <c r="N60">
        <v>100000</v>
      </c>
      <c r="O60" s="2">
        <v>46074</v>
      </c>
    </row>
    <row r="61" spans="4:15" x14ac:dyDescent="0.45">
      <c r="D61" t="s">
        <v>139</v>
      </c>
      <c r="E61" t="s">
        <v>140</v>
      </c>
      <c r="F61" t="s">
        <v>19</v>
      </c>
      <c r="G61" t="s">
        <v>35</v>
      </c>
      <c r="H61" t="s">
        <v>42</v>
      </c>
      <c r="I61">
        <v>9.1</v>
      </c>
      <c r="J61">
        <v>6.23</v>
      </c>
      <c r="K61">
        <v>4.51</v>
      </c>
      <c r="L61">
        <v>3.81</v>
      </c>
      <c r="M61" s="7">
        <v>0.91279999999999994</v>
      </c>
      <c r="N61">
        <v>130000</v>
      </c>
      <c r="O61" s="2">
        <v>46087</v>
      </c>
    </row>
    <row r="62" spans="4:15" x14ac:dyDescent="0.45">
      <c r="D62" t="s">
        <v>141</v>
      </c>
      <c r="E62" t="s">
        <v>142</v>
      </c>
      <c r="F62" t="s">
        <v>19</v>
      </c>
      <c r="G62" t="s">
        <v>20</v>
      </c>
      <c r="H62" t="s">
        <v>42</v>
      </c>
      <c r="I62">
        <v>14.32</v>
      </c>
      <c r="J62">
        <v>15.29</v>
      </c>
      <c r="K62">
        <v>12.15</v>
      </c>
      <c r="L62">
        <v>17.04</v>
      </c>
      <c r="M62" s="7">
        <v>0.55000000000000004</v>
      </c>
      <c r="N62">
        <v>90000</v>
      </c>
      <c r="O62" s="2">
        <v>45887</v>
      </c>
    </row>
    <row r="63" spans="4:15" x14ac:dyDescent="0.45">
      <c r="D63" t="s">
        <v>143</v>
      </c>
      <c r="E63" t="s">
        <v>144</v>
      </c>
      <c r="F63" t="s">
        <v>19</v>
      </c>
      <c r="G63" t="s">
        <v>20</v>
      </c>
      <c r="H63" t="s">
        <v>21</v>
      </c>
      <c r="I63">
        <v>12.92</v>
      </c>
      <c r="J63">
        <v>14.32</v>
      </c>
      <c r="K63">
        <v>16.98</v>
      </c>
      <c r="L63">
        <v>12.16</v>
      </c>
      <c r="M63" s="7">
        <v>0.95489999999999997</v>
      </c>
      <c r="N63">
        <v>60000</v>
      </c>
      <c r="O63" s="2">
        <v>45978</v>
      </c>
    </row>
    <row r="64" spans="4:15" x14ac:dyDescent="0.45">
      <c r="D64" t="s">
        <v>145</v>
      </c>
      <c r="E64" t="s">
        <v>146</v>
      </c>
      <c r="F64" t="s">
        <v>14</v>
      </c>
      <c r="G64" t="s">
        <v>15</v>
      </c>
      <c r="H64" t="s">
        <v>29</v>
      </c>
      <c r="I64">
        <v>15.64</v>
      </c>
      <c r="J64">
        <v>13.06</v>
      </c>
      <c r="K64">
        <v>16.170000000000002</v>
      </c>
      <c r="L64">
        <v>15.34</v>
      </c>
      <c r="M64" s="7">
        <v>0.84250000000000003</v>
      </c>
      <c r="N64">
        <v>100000</v>
      </c>
      <c r="O64" s="2">
        <v>45724</v>
      </c>
    </row>
    <row r="65" spans="4:15" x14ac:dyDescent="0.45">
      <c r="D65" t="s">
        <v>147</v>
      </c>
      <c r="E65" t="s">
        <v>46</v>
      </c>
      <c r="F65" t="s">
        <v>19</v>
      </c>
      <c r="G65" t="s">
        <v>15</v>
      </c>
      <c r="H65" t="s">
        <v>16</v>
      </c>
      <c r="I65">
        <v>13.82</v>
      </c>
      <c r="J65">
        <v>20</v>
      </c>
      <c r="K65">
        <v>18.579999999999998</v>
      </c>
      <c r="L65">
        <v>14.04</v>
      </c>
      <c r="M65" s="7">
        <v>0.9204</v>
      </c>
      <c r="N65">
        <v>50000</v>
      </c>
      <c r="O65" s="2">
        <v>46186</v>
      </c>
    </row>
    <row r="66" spans="4:15" x14ac:dyDescent="0.45">
      <c r="D66" t="s">
        <v>148</v>
      </c>
      <c r="E66" t="s">
        <v>149</v>
      </c>
      <c r="F66" t="s">
        <v>14</v>
      </c>
      <c r="G66" t="s">
        <v>15</v>
      </c>
      <c r="H66" t="s">
        <v>16</v>
      </c>
      <c r="I66">
        <v>12.29</v>
      </c>
      <c r="J66">
        <v>11.3</v>
      </c>
      <c r="K66">
        <v>8.81</v>
      </c>
      <c r="L66">
        <v>11.57</v>
      </c>
      <c r="M66" s="7">
        <v>0.80159999999999998</v>
      </c>
      <c r="N66">
        <v>75000</v>
      </c>
      <c r="O66" s="2">
        <v>46224</v>
      </c>
    </row>
    <row r="67" spans="4:15" x14ac:dyDescent="0.45">
      <c r="D67" t="s">
        <v>150</v>
      </c>
      <c r="E67" t="s">
        <v>151</v>
      </c>
      <c r="F67" t="s">
        <v>14</v>
      </c>
      <c r="G67" t="s">
        <v>20</v>
      </c>
      <c r="H67" t="s">
        <v>29</v>
      </c>
      <c r="I67">
        <v>10.73</v>
      </c>
      <c r="J67">
        <v>13.42</v>
      </c>
      <c r="K67">
        <v>13.55</v>
      </c>
      <c r="L67">
        <v>12.89</v>
      </c>
      <c r="M67" s="7">
        <v>0.87060000000000004</v>
      </c>
      <c r="N67">
        <v>130000</v>
      </c>
      <c r="O67" s="2">
        <v>46222</v>
      </c>
    </row>
    <row r="68" spans="4:15" x14ac:dyDescent="0.45">
      <c r="D68" t="s">
        <v>152</v>
      </c>
      <c r="E68" t="s">
        <v>153</v>
      </c>
      <c r="F68" t="s">
        <v>19</v>
      </c>
      <c r="G68" t="s">
        <v>32</v>
      </c>
      <c r="H68" t="s">
        <v>42</v>
      </c>
      <c r="I68">
        <v>12.39</v>
      </c>
      <c r="J68">
        <v>16.12</v>
      </c>
      <c r="K68">
        <v>14.7</v>
      </c>
      <c r="L68">
        <v>12.31</v>
      </c>
      <c r="M68" s="7">
        <v>0.84919999999999995</v>
      </c>
      <c r="N68">
        <v>110000</v>
      </c>
      <c r="O68" s="2">
        <v>46051</v>
      </c>
    </row>
    <row r="69" spans="4:15" x14ac:dyDescent="0.45">
      <c r="D69" t="s">
        <v>154</v>
      </c>
      <c r="E69" t="s">
        <v>155</v>
      </c>
      <c r="F69" t="s">
        <v>14</v>
      </c>
      <c r="G69" t="s">
        <v>35</v>
      </c>
      <c r="H69" t="s">
        <v>29</v>
      </c>
      <c r="I69">
        <v>12.99</v>
      </c>
      <c r="J69">
        <v>13.03</v>
      </c>
      <c r="K69">
        <v>11.16</v>
      </c>
      <c r="L69">
        <v>13.55</v>
      </c>
      <c r="M69" s="7">
        <v>0.80720000000000003</v>
      </c>
      <c r="N69">
        <v>120000</v>
      </c>
      <c r="O69" s="2">
        <v>45565</v>
      </c>
    </row>
    <row r="70" spans="4:15" x14ac:dyDescent="0.45">
      <c r="D70" t="s">
        <v>156</v>
      </c>
      <c r="E70" t="s">
        <v>109</v>
      </c>
      <c r="F70" t="s">
        <v>14</v>
      </c>
      <c r="G70" t="s">
        <v>32</v>
      </c>
      <c r="H70" t="s">
        <v>29</v>
      </c>
      <c r="I70">
        <v>16.13</v>
      </c>
      <c r="J70">
        <v>12.81</v>
      </c>
      <c r="K70">
        <v>14.09</v>
      </c>
      <c r="L70">
        <v>11.94</v>
      </c>
      <c r="M70" s="7">
        <v>0.86950000000000005</v>
      </c>
      <c r="N70">
        <v>75000</v>
      </c>
      <c r="O70" s="2">
        <v>45792</v>
      </c>
    </row>
    <row r="71" spans="4:15" x14ac:dyDescent="0.45">
      <c r="D71" t="s">
        <v>157</v>
      </c>
      <c r="E71" t="s">
        <v>158</v>
      </c>
      <c r="F71" t="s">
        <v>14</v>
      </c>
      <c r="G71" t="s">
        <v>15</v>
      </c>
      <c r="H71" t="s">
        <v>29</v>
      </c>
      <c r="I71">
        <v>14.26</v>
      </c>
      <c r="J71">
        <v>18.48</v>
      </c>
      <c r="K71">
        <v>15.37</v>
      </c>
      <c r="L71">
        <v>13.49</v>
      </c>
      <c r="M71" s="7">
        <v>0.72430000000000005</v>
      </c>
      <c r="N71">
        <v>100000</v>
      </c>
      <c r="O71" s="2">
        <v>45847</v>
      </c>
    </row>
    <row r="72" spans="4:15" x14ac:dyDescent="0.45">
      <c r="D72" t="s">
        <v>159</v>
      </c>
      <c r="E72" t="s">
        <v>160</v>
      </c>
      <c r="F72" t="s">
        <v>19</v>
      </c>
      <c r="G72" t="s">
        <v>32</v>
      </c>
      <c r="H72" t="s">
        <v>21</v>
      </c>
      <c r="I72">
        <v>12.56</v>
      </c>
      <c r="J72">
        <v>8.91</v>
      </c>
      <c r="K72">
        <v>7.47</v>
      </c>
      <c r="L72">
        <v>10.68</v>
      </c>
      <c r="M72" s="7">
        <v>0.7157</v>
      </c>
      <c r="N72">
        <v>100000</v>
      </c>
      <c r="O72" s="2">
        <v>46207</v>
      </c>
    </row>
    <row r="73" spans="4:15" x14ac:dyDescent="0.45">
      <c r="D73" t="s">
        <v>161</v>
      </c>
      <c r="E73" t="s">
        <v>162</v>
      </c>
      <c r="F73" t="s">
        <v>14</v>
      </c>
      <c r="G73" t="s">
        <v>28</v>
      </c>
      <c r="H73" t="s">
        <v>21</v>
      </c>
      <c r="I73">
        <v>13.48</v>
      </c>
      <c r="J73">
        <v>16.010000000000002</v>
      </c>
      <c r="K73">
        <v>17.98</v>
      </c>
      <c r="L73">
        <v>16.399999999999999</v>
      </c>
      <c r="M73" s="7">
        <v>0.88990000000000002</v>
      </c>
      <c r="N73">
        <v>70000</v>
      </c>
      <c r="O73" s="2">
        <v>45918</v>
      </c>
    </row>
    <row r="74" spans="4:15" x14ac:dyDescent="0.45">
      <c r="D74" t="s">
        <v>163</v>
      </c>
      <c r="E74" t="s">
        <v>164</v>
      </c>
      <c r="F74" t="s">
        <v>14</v>
      </c>
      <c r="G74" t="s">
        <v>20</v>
      </c>
      <c r="H74" t="s">
        <v>16</v>
      </c>
      <c r="I74">
        <v>14.73</v>
      </c>
      <c r="J74">
        <v>14.56</v>
      </c>
      <c r="K74">
        <v>16.13</v>
      </c>
      <c r="L74">
        <v>14.69</v>
      </c>
      <c r="M74" s="7">
        <v>0.76880000000000004</v>
      </c>
      <c r="N74">
        <v>130000</v>
      </c>
      <c r="O74" s="2">
        <v>45911</v>
      </c>
    </row>
    <row r="75" spans="4:15" x14ac:dyDescent="0.45">
      <c r="D75" t="s">
        <v>165</v>
      </c>
      <c r="E75" t="s">
        <v>127</v>
      </c>
      <c r="F75" t="s">
        <v>14</v>
      </c>
      <c r="G75" t="s">
        <v>35</v>
      </c>
      <c r="H75" t="s">
        <v>16</v>
      </c>
      <c r="I75">
        <v>9.31</v>
      </c>
      <c r="J75">
        <v>9.74</v>
      </c>
      <c r="K75">
        <v>10.34</v>
      </c>
      <c r="L75">
        <v>10.8</v>
      </c>
      <c r="M75" s="7">
        <v>0.90290000000000004</v>
      </c>
      <c r="N75">
        <v>130000</v>
      </c>
      <c r="O75" s="2">
        <v>45638</v>
      </c>
    </row>
    <row r="76" spans="4:15" x14ac:dyDescent="0.45">
      <c r="D76" t="s">
        <v>166</v>
      </c>
      <c r="E76" t="s">
        <v>167</v>
      </c>
      <c r="F76" t="s">
        <v>19</v>
      </c>
      <c r="G76" t="s">
        <v>20</v>
      </c>
      <c r="H76" t="s">
        <v>16</v>
      </c>
      <c r="I76">
        <v>17.55</v>
      </c>
      <c r="J76">
        <v>17.57</v>
      </c>
      <c r="K76">
        <v>14.3</v>
      </c>
      <c r="L76">
        <v>17.66</v>
      </c>
      <c r="M76" s="7">
        <v>0.96130000000000004</v>
      </c>
      <c r="N76">
        <v>60000</v>
      </c>
      <c r="O76" s="2">
        <v>46091</v>
      </c>
    </row>
    <row r="77" spans="4:15" x14ac:dyDescent="0.45">
      <c r="D77" t="s">
        <v>168</v>
      </c>
      <c r="E77" t="s">
        <v>169</v>
      </c>
      <c r="F77" t="s">
        <v>14</v>
      </c>
      <c r="G77" t="s">
        <v>32</v>
      </c>
      <c r="H77" t="s">
        <v>21</v>
      </c>
      <c r="I77">
        <v>13.96</v>
      </c>
      <c r="J77">
        <v>18.23</v>
      </c>
      <c r="K77">
        <v>12.42</v>
      </c>
      <c r="L77">
        <v>17.739999999999998</v>
      </c>
      <c r="M77" s="7">
        <v>0.65480000000000005</v>
      </c>
      <c r="N77">
        <v>110000</v>
      </c>
      <c r="O77" s="2">
        <v>45771</v>
      </c>
    </row>
    <row r="78" spans="4:15" x14ac:dyDescent="0.45">
      <c r="D78" t="s">
        <v>170</v>
      </c>
      <c r="E78" t="s">
        <v>103</v>
      </c>
      <c r="F78" t="s">
        <v>14</v>
      </c>
      <c r="G78" t="s">
        <v>32</v>
      </c>
      <c r="H78" t="s">
        <v>29</v>
      </c>
      <c r="I78">
        <v>16.010000000000002</v>
      </c>
      <c r="J78">
        <v>13.43</v>
      </c>
      <c r="K78">
        <v>14.48</v>
      </c>
      <c r="L78">
        <v>13</v>
      </c>
      <c r="M78" s="7">
        <v>0.92200000000000004</v>
      </c>
      <c r="N78">
        <v>80000</v>
      </c>
      <c r="O78" s="2">
        <v>45600</v>
      </c>
    </row>
    <row r="79" spans="4:15" x14ac:dyDescent="0.45">
      <c r="D79" t="s">
        <v>171</v>
      </c>
      <c r="E79" t="s">
        <v>172</v>
      </c>
      <c r="F79" t="s">
        <v>14</v>
      </c>
      <c r="G79" t="s">
        <v>35</v>
      </c>
      <c r="H79" t="s">
        <v>21</v>
      </c>
      <c r="I79">
        <v>10.82</v>
      </c>
      <c r="J79">
        <v>13.48</v>
      </c>
      <c r="K79">
        <v>15.12</v>
      </c>
      <c r="L79">
        <v>8.9700000000000006</v>
      </c>
      <c r="M79" s="7">
        <v>0.83409999999999995</v>
      </c>
      <c r="N79">
        <v>100000</v>
      </c>
      <c r="O79" s="2">
        <v>46227</v>
      </c>
    </row>
    <row r="80" spans="4:15" x14ac:dyDescent="0.45">
      <c r="D80" t="s">
        <v>173</v>
      </c>
      <c r="E80" t="s">
        <v>174</v>
      </c>
      <c r="F80" t="s">
        <v>19</v>
      </c>
      <c r="G80" t="s">
        <v>15</v>
      </c>
      <c r="H80" t="s">
        <v>42</v>
      </c>
      <c r="I80">
        <v>9.67</v>
      </c>
      <c r="J80">
        <v>11.6</v>
      </c>
      <c r="K80">
        <v>11.74</v>
      </c>
      <c r="L80">
        <v>11.16</v>
      </c>
      <c r="M80" s="7">
        <v>0.87749999999999995</v>
      </c>
      <c r="N80">
        <v>90000</v>
      </c>
      <c r="O80" s="2">
        <v>45669</v>
      </c>
    </row>
    <row r="81" spans="4:15" x14ac:dyDescent="0.45">
      <c r="D81" t="s">
        <v>175</v>
      </c>
      <c r="E81" t="s">
        <v>176</v>
      </c>
      <c r="F81" t="s">
        <v>19</v>
      </c>
      <c r="G81" t="s">
        <v>47</v>
      </c>
      <c r="H81" t="s">
        <v>42</v>
      </c>
      <c r="I81">
        <v>9.24</v>
      </c>
      <c r="J81">
        <v>10.43</v>
      </c>
      <c r="K81">
        <v>9.15</v>
      </c>
      <c r="L81">
        <v>12.93</v>
      </c>
      <c r="M81" s="7">
        <v>0.95140000000000002</v>
      </c>
      <c r="N81">
        <v>70000</v>
      </c>
      <c r="O81" s="2">
        <v>45547</v>
      </c>
    </row>
    <row r="82" spans="4:15" x14ac:dyDescent="0.45">
      <c r="D82" t="s">
        <v>177</v>
      </c>
      <c r="E82" t="s">
        <v>178</v>
      </c>
      <c r="F82" t="s">
        <v>19</v>
      </c>
      <c r="G82" t="s">
        <v>20</v>
      </c>
      <c r="H82" t="s">
        <v>29</v>
      </c>
      <c r="I82">
        <v>15.58</v>
      </c>
      <c r="J82">
        <v>14.85</v>
      </c>
      <c r="K82">
        <v>15.71</v>
      </c>
      <c r="L82">
        <v>11.71</v>
      </c>
      <c r="M82" s="7">
        <v>0.84179999999999999</v>
      </c>
      <c r="N82">
        <v>60000</v>
      </c>
      <c r="O82" s="2">
        <v>45590</v>
      </c>
    </row>
    <row r="83" spans="4:15" x14ac:dyDescent="0.45">
      <c r="D83" t="s">
        <v>179</v>
      </c>
      <c r="E83" t="s">
        <v>180</v>
      </c>
      <c r="F83" t="s">
        <v>14</v>
      </c>
      <c r="G83" t="s">
        <v>28</v>
      </c>
      <c r="H83" t="s">
        <v>29</v>
      </c>
      <c r="I83">
        <v>12.79</v>
      </c>
      <c r="J83">
        <v>10.57</v>
      </c>
      <c r="K83">
        <v>10.91</v>
      </c>
      <c r="L83">
        <v>8.76</v>
      </c>
      <c r="M83" s="7">
        <v>0.93310000000000004</v>
      </c>
      <c r="N83">
        <v>85000</v>
      </c>
      <c r="O83" s="2">
        <v>45852</v>
      </c>
    </row>
    <row r="84" spans="4:15" x14ac:dyDescent="0.45">
      <c r="D84" t="s">
        <v>181</v>
      </c>
      <c r="E84" t="s">
        <v>182</v>
      </c>
      <c r="F84" t="s">
        <v>14</v>
      </c>
      <c r="G84" t="s">
        <v>47</v>
      </c>
      <c r="H84" t="s">
        <v>16</v>
      </c>
      <c r="I84">
        <v>15.33</v>
      </c>
      <c r="J84">
        <v>13.59</v>
      </c>
      <c r="K84">
        <v>16.829999999999998</v>
      </c>
      <c r="L84">
        <v>13.04</v>
      </c>
      <c r="M84" s="7">
        <v>0.93730000000000002</v>
      </c>
      <c r="N84">
        <v>120000</v>
      </c>
      <c r="O84" s="2">
        <v>45608</v>
      </c>
    </row>
    <row r="85" spans="4:15" x14ac:dyDescent="0.45">
      <c r="D85" t="s">
        <v>183</v>
      </c>
      <c r="E85" t="s">
        <v>53</v>
      </c>
      <c r="F85" t="s">
        <v>19</v>
      </c>
      <c r="G85" t="s">
        <v>20</v>
      </c>
      <c r="H85" t="s">
        <v>42</v>
      </c>
      <c r="I85">
        <v>14.95</v>
      </c>
      <c r="J85">
        <v>11.37</v>
      </c>
      <c r="K85">
        <v>11.56</v>
      </c>
      <c r="L85">
        <v>9.4700000000000006</v>
      </c>
      <c r="M85" s="7">
        <v>0.83599999999999997</v>
      </c>
      <c r="N85">
        <v>120000</v>
      </c>
      <c r="O85" s="2">
        <v>46125</v>
      </c>
    </row>
    <row r="86" spans="4:15" x14ac:dyDescent="0.45">
      <c r="D86" t="s">
        <v>184</v>
      </c>
      <c r="E86" t="s">
        <v>185</v>
      </c>
      <c r="F86" t="s">
        <v>19</v>
      </c>
      <c r="G86" t="s">
        <v>28</v>
      </c>
      <c r="H86" t="s">
        <v>29</v>
      </c>
      <c r="I86">
        <v>16.07</v>
      </c>
      <c r="J86">
        <v>13.84</v>
      </c>
      <c r="K86">
        <v>6.56</v>
      </c>
      <c r="L86">
        <v>11.15</v>
      </c>
      <c r="M86" s="7">
        <v>0.84530000000000005</v>
      </c>
      <c r="N86">
        <v>75000</v>
      </c>
      <c r="O86" s="2">
        <v>45894</v>
      </c>
    </row>
    <row r="87" spans="4:15" x14ac:dyDescent="0.45">
      <c r="D87" t="s">
        <v>186</v>
      </c>
      <c r="E87" t="s">
        <v>73</v>
      </c>
      <c r="F87" t="s">
        <v>19</v>
      </c>
      <c r="G87" t="s">
        <v>28</v>
      </c>
      <c r="H87" t="s">
        <v>29</v>
      </c>
      <c r="I87">
        <v>13.13</v>
      </c>
      <c r="J87">
        <v>10.71</v>
      </c>
      <c r="K87">
        <v>15.21</v>
      </c>
      <c r="L87">
        <v>15.26</v>
      </c>
      <c r="M87" s="7">
        <v>0.74470000000000003</v>
      </c>
      <c r="N87">
        <v>120000</v>
      </c>
      <c r="O87" s="2">
        <v>45762</v>
      </c>
    </row>
    <row r="88" spans="4:15" x14ac:dyDescent="0.45">
      <c r="D88" t="s">
        <v>187</v>
      </c>
      <c r="E88" t="s">
        <v>188</v>
      </c>
      <c r="F88" t="s">
        <v>14</v>
      </c>
      <c r="G88" t="s">
        <v>35</v>
      </c>
      <c r="H88" t="s">
        <v>16</v>
      </c>
      <c r="I88">
        <v>19.649999999999999</v>
      </c>
      <c r="J88">
        <v>17.11</v>
      </c>
      <c r="K88">
        <v>18.34</v>
      </c>
      <c r="L88">
        <v>16.72</v>
      </c>
      <c r="M88" s="7">
        <v>0.67400000000000004</v>
      </c>
      <c r="N88">
        <v>75000</v>
      </c>
      <c r="O88" s="2">
        <v>45538</v>
      </c>
    </row>
    <row r="89" spans="4:15" x14ac:dyDescent="0.45">
      <c r="D89" t="s">
        <v>189</v>
      </c>
      <c r="E89" t="s">
        <v>190</v>
      </c>
      <c r="F89" t="s">
        <v>14</v>
      </c>
      <c r="G89" t="s">
        <v>15</v>
      </c>
      <c r="H89" t="s">
        <v>21</v>
      </c>
      <c r="I89">
        <v>10.68</v>
      </c>
      <c r="J89">
        <v>10.98</v>
      </c>
      <c r="K89">
        <v>6.72</v>
      </c>
      <c r="L89">
        <v>6.07</v>
      </c>
      <c r="M89" s="7">
        <v>0.76039999999999996</v>
      </c>
      <c r="N89">
        <v>90000</v>
      </c>
      <c r="O89" s="2">
        <v>45871</v>
      </c>
    </row>
    <row r="90" spans="4:15" x14ac:dyDescent="0.45">
      <c r="D90" t="s">
        <v>191</v>
      </c>
      <c r="E90" t="s">
        <v>192</v>
      </c>
      <c r="F90" t="s">
        <v>19</v>
      </c>
      <c r="G90" t="s">
        <v>15</v>
      </c>
      <c r="H90" t="s">
        <v>21</v>
      </c>
      <c r="I90">
        <v>15.78</v>
      </c>
      <c r="J90">
        <v>16.23</v>
      </c>
      <c r="K90">
        <v>17.41</v>
      </c>
      <c r="L90">
        <v>16.79</v>
      </c>
      <c r="M90" s="7">
        <v>0.84550000000000003</v>
      </c>
      <c r="N90">
        <v>75000</v>
      </c>
      <c r="O90" s="2">
        <v>45641</v>
      </c>
    </row>
    <row r="91" spans="4:15" x14ac:dyDescent="0.45">
      <c r="D91" t="s">
        <v>193</v>
      </c>
      <c r="E91" t="s">
        <v>194</v>
      </c>
      <c r="F91" t="s">
        <v>19</v>
      </c>
      <c r="G91" t="s">
        <v>28</v>
      </c>
      <c r="H91" t="s">
        <v>29</v>
      </c>
      <c r="I91">
        <v>16.489999999999998</v>
      </c>
      <c r="J91">
        <v>14.98</v>
      </c>
      <c r="K91">
        <v>15.02</v>
      </c>
      <c r="L91">
        <v>13.43</v>
      </c>
      <c r="M91" s="7">
        <v>0.67589999999999995</v>
      </c>
      <c r="N91">
        <v>85000</v>
      </c>
      <c r="O91" s="2">
        <v>46220</v>
      </c>
    </row>
    <row r="92" spans="4:15" x14ac:dyDescent="0.45">
      <c r="D92" t="s">
        <v>195</v>
      </c>
      <c r="E92" t="s">
        <v>196</v>
      </c>
      <c r="F92" t="s">
        <v>14</v>
      </c>
      <c r="G92" t="s">
        <v>32</v>
      </c>
      <c r="H92" t="s">
        <v>42</v>
      </c>
      <c r="I92">
        <v>15.45</v>
      </c>
      <c r="J92">
        <v>16.77</v>
      </c>
      <c r="K92">
        <v>11.24</v>
      </c>
      <c r="L92">
        <v>11.35</v>
      </c>
      <c r="M92" s="7">
        <v>0.89300000000000002</v>
      </c>
      <c r="N92">
        <v>85000</v>
      </c>
      <c r="O92" s="2">
        <v>45739</v>
      </c>
    </row>
    <row r="93" spans="4:15" x14ac:dyDescent="0.45">
      <c r="D93" t="s">
        <v>197</v>
      </c>
      <c r="E93" t="s">
        <v>198</v>
      </c>
      <c r="F93" t="s">
        <v>19</v>
      </c>
      <c r="G93" t="s">
        <v>47</v>
      </c>
      <c r="H93" t="s">
        <v>21</v>
      </c>
      <c r="I93">
        <v>14.4</v>
      </c>
      <c r="J93">
        <v>11.44</v>
      </c>
      <c r="K93">
        <v>15.58</v>
      </c>
      <c r="L93">
        <v>12.4</v>
      </c>
      <c r="M93" s="7">
        <v>0.94669999999999999</v>
      </c>
      <c r="N93">
        <v>100000</v>
      </c>
      <c r="O93" s="2">
        <v>45868</v>
      </c>
    </row>
    <row r="94" spans="4:15" x14ac:dyDescent="0.45">
      <c r="D94" t="s">
        <v>199</v>
      </c>
      <c r="E94" t="s">
        <v>73</v>
      </c>
      <c r="F94" t="s">
        <v>19</v>
      </c>
      <c r="G94" t="s">
        <v>35</v>
      </c>
      <c r="H94" t="s">
        <v>42</v>
      </c>
      <c r="I94">
        <v>16.260000000000002</v>
      </c>
      <c r="J94">
        <v>12.04</v>
      </c>
      <c r="K94">
        <v>16.62</v>
      </c>
      <c r="L94">
        <v>13.76</v>
      </c>
      <c r="M94" s="7">
        <v>0.82809999999999995</v>
      </c>
      <c r="N94">
        <v>85000</v>
      </c>
      <c r="O94" s="2">
        <v>45549</v>
      </c>
    </row>
    <row r="95" spans="4:15" x14ac:dyDescent="0.45">
      <c r="D95" t="s">
        <v>200</v>
      </c>
      <c r="E95" t="s">
        <v>201</v>
      </c>
      <c r="F95" t="s">
        <v>14</v>
      </c>
      <c r="G95" t="s">
        <v>32</v>
      </c>
      <c r="H95" t="s">
        <v>42</v>
      </c>
      <c r="I95">
        <v>16.86</v>
      </c>
      <c r="J95">
        <v>17.149999999999999</v>
      </c>
      <c r="K95">
        <v>13.37</v>
      </c>
      <c r="L95">
        <v>12.1</v>
      </c>
      <c r="M95" s="7">
        <v>0.73799999999999999</v>
      </c>
      <c r="N95">
        <v>85000</v>
      </c>
      <c r="O95" s="2">
        <v>45627</v>
      </c>
    </row>
    <row r="96" spans="4:15" x14ac:dyDescent="0.45">
      <c r="D96" t="s">
        <v>202</v>
      </c>
      <c r="E96" t="s">
        <v>90</v>
      </c>
      <c r="F96" t="s">
        <v>19</v>
      </c>
      <c r="G96" t="s">
        <v>28</v>
      </c>
      <c r="H96" t="s">
        <v>29</v>
      </c>
      <c r="I96">
        <v>17.95</v>
      </c>
      <c r="J96">
        <v>18.739999999999998</v>
      </c>
      <c r="K96">
        <v>15.86</v>
      </c>
      <c r="L96">
        <v>17.809999999999999</v>
      </c>
      <c r="M96" s="7">
        <v>0.88939999999999997</v>
      </c>
      <c r="N96">
        <v>100000</v>
      </c>
      <c r="O96" s="2">
        <v>45681</v>
      </c>
    </row>
    <row r="97" spans="4:15" x14ac:dyDescent="0.45">
      <c r="D97" t="s">
        <v>203</v>
      </c>
      <c r="E97" t="s">
        <v>204</v>
      </c>
      <c r="F97" t="s">
        <v>14</v>
      </c>
      <c r="G97" t="s">
        <v>32</v>
      </c>
      <c r="H97" t="s">
        <v>42</v>
      </c>
      <c r="I97">
        <v>11.97</v>
      </c>
      <c r="J97">
        <v>11.7</v>
      </c>
      <c r="K97">
        <v>10.27</v>
      </c>
      <c r="L97">
        <v>10.67</v>
      </c>
      <c r="M97" s="7">
        <v>0.83150000000000002</v>
      </c>
      <c r="N97">
        <v>80000</v>
      </c>
      <c r="O97" s="2">
        <v>45572</v>
      </c>
    </row>
    <row r="98" spans="4:15" x14ac:dyDescent="0.45">
      <c r="D98" t="s">
        <v>205</v>
      </c>
      <c r="E98" t="s">
        <v>13</v>
      </c>
      <c r="F98" t="s">
        <v>14</v>
      </c>
      <c r="G98" t="s">
        <v>32</v>
      </c>
      <c r="H98" t="s">
        <v>42</v>
      </c>
      <c r="I98">
        <v>19.989999999999998</v>
      </c>
      <c r="J98">
        <v>15.02</v>
      </c>
      <c r="K98">
        <v>19.13</v>
      </c>
      <c r="L98">
        <v>19.82</v>
      </c>
      <c r="M98" s="7">
        <v>0.92949999999999999</v>
      </c>
      <c r="N98">
        <v>85000</v>
      </c>
      <c r="O98" s="2">
        <v>46044</v>
      </c>
    </row>
    <row r="99" spans="4:15" x14ac:dyDescent="0.45">
      <c r="D99" t="s">
        <v>206</v>
      </c>
      <c r="E99" t="s">
        <v>207</v>
      </c>
      <c r="F99" t="s">
        <v>19</v>
      </c>
      <c r="G99" t="s">
        <v>28</v>
      </c>
      <c r="H99" t="s">
        <v>42</v>
      </c>
      <c r="I99">
        <v>13.82</v>
      </c>
      <c r="J99">
        <v>10.97</v>
      </c>
      <c r="K99">
        <v>8.57</v>
      </c>
      <c r="L99">
        <v>12.67</v>
      </c>
      <c r="M99" s="7">
        <v>0.94189999999999996</v>
      </c>
      <c r="N99">
        <v>50000</v>
      </c>
      <c r="O99" s="2">
        <v>46197</v>
      </c>
    </row>
    <row r="100" spans="4:15" x14ac:dyDescent="0.45">
      <c r="D100" t="s">
        <v>208</v>
      </c>
      <c r="E100" t="s">
        <v>98</v>
      </c>
      <c r="F100" t="s">
        <v>19</v>
      </c>
      <c r="G100" t="s">
        <v>20</v>
      </c>
      <c r="H100" t="s">
        <v>42</v>
      </c>
      <c r="I100">
        <v>12.63</v>
      </c>
      <c r="J100">
        <v>11.11</v>
      </c>
      <c r="K100">
        <v>15.87</v>
      </c>
      <c r="L100">
        <v>11.46</v>
      </c>
      <c r="M100" s="7">
        <v>0.92549999999999999</v>
      </c>
      <c r="N100">
        <v>120000</v>
      </c>
      <c r="O100" s="2">
        <v>46225</v>
      </c>
    </row>
    <row r="101" spans="4:15" x14ac:dyDescent="0.45">
      <c r="D101" t="s">
        <v>209</v>
      </c>
      <c r="E101" t="s">
        <v>210</v>
      </c>
      <c r="F101" t="s">
        <v>14</v>
      </c>
      <c r="G101" t="s">
        <v>15</v>
      </c>
      <c r="H101" t="s">
        <v>42</v>
      </c>
      <c r="I101">
        <v>10.51</v>
      </c>
      <c r="J101">
        <v>12.84</v>
      </c>
      <c r="K101">
        <v>10.34</v>
      </c>
      <c r="L101">
        <v>10.61</v>
      </c>
      <c r="M101" s="7">
        <v>0.78510000000000002</v>
      </c>
      <c r="N101">
        <v>60000</v>
      </c>
      <c r="O101" s="2">
        <v>45722</v>
      </c>
    </row>
    <row r="102" spans="4:15" x14ac:dyDescent="0.45">
      <c r="D102" t="s">
        <v>211</v>
      </c>
      <c r="E102" t="s">
        <v>212</v>
      </c>
      <c r="F102" t="s">
        <v>19</v>
      </c>
      <c r="G102" t="s">
        <v>47</v>
      </c>
      <c r="H102" t="s">
        <v>16</v>
      </c>
      <c r="I102">
        <v>15.2</v>
      </c>
      <c r="J102">
        <v>13.47</v>
      </c>
      <c r="K102">
        <v>14.76</v>
      </c>
      <c r="L102">
        <v>14.95</v>
      </c>
      <c r="M102" s="7">
        <v>0.80259999999999998</v>
      </c>
      <c r="N102">
        <v>120000</v>
      </c>
      <c r="O102" s="2">
        <v>46088</v>
      </c>
    </row>
    <row r="103" spans="4:15" x14ac:dyDescent="0.45">
      <c r="D103" t="s">
        <v>213</v>
      </c>
      <c r="E103" t="s">
        <v>214</v>
      </c>
      <c r="F103" t="s">
        <v>14</v>
      </c>
      <c r="G103" t="s">
        <v>32</v>
      </c>
      <c r="H103" t="s">
        <v>21</v>
      </c>
      <c r="I103">
        <v>18.34</v>
      </c>
      <c r="J103">
        <v>20</v>
      </c>
      <c r="K103">
        <v>13.99</v>
      </c>
      <c r="L103">
        <v>20</v>
      </c>
      <c r="M103" s="7">
        <v>0.79849999999999999</v>
      </c>
      <c r="N103">
        <v>110000</v>
      </c>
      <c r="O103" s="2">
        <v>45888</v>
      </c>
    </row>
    <row r="104" spans="4:15" x14ac:dyDescent="0.45">
      <c r="D104" t="s">
        <v>215</v>
      </c>
      <c r="E104" t="s">
        <v>31</v>
      </c>
      <c r="F104" t="s">
        <v>19</v>
      </c>
      <c r="G104" t="s">
        <v>47</v>
      </c>
      <c r="H104" t="s">
        <v>21</v>
      </c>
      <c r="I104">
        <v>10.3</v>
      </c>
      <c r="J104">
        <v>12.8</v>
      </c>
      <c r="K104">
        <v>13.16</v>
      </c>
      <c r="L104">
        <v>11.86</v>
      </c>
      <c r="M104" s="7">
        <v>0.62409999999999999</v>
      </c>
      <c r="N104">
        <v>130000</v>
      </c>
      <c r="O104" s="2">
        <v>45568</v>
      </c>
    </row>
    <row r="105" spans="4:15" x14ac:dyDescent="0.45">
      <c r="D105" t="s">
        <v>216</v>
      </c>
      <c r="E105" t="s">
        <v>172</v>
      </c>
      <c r="F105" t="s">
        <v>14</v>
      </c>
      <c r="G105" t="s">
        <v>35</v>
      </c>
      <c r="H105" t="s">
        <v>16</v>
      </c>
      <c r="I105">
        <v>9.56</v>
      </c>
      <c r="J105">
        <v>11.05</v>
      </c>
      <c r="K105">
        <v>14.5</v>
      </c>
      <c r="L105">
        <v>14.54</v>
      </c>
      <c r="M105" s="7">
        <v>0.90580000000000005</v>
      </c>
      <c r="N105">
        <v>50000</v>
      </c>
      <c r="O105" s="2">
        <v>45599</v>
      </c>
    </row>
    <row r="106" spans="4:15" x14ac:dyDescent="0.45">
      <c r="D106" t="s">
        <v>217</v>
      </c>
      <c r="E106" t="s">
        <v>218</v>
      </c>
      <c r="F106" t="s">
        <v>19</v>
      </c>
      <c r="G106" t="s">
        <v>32</v>
      </c>
      <c r="H106" t="s">
        <v>29</v>
      </c>
      <c r="I106">
        <v>8.43</v>
      </c>
      <c r="J106">
        <v>9.84</v>
      </c>
      <c r="K106">
        <v>7.64</v>
      </c>
      <c r="L106">
        <v>10.37</v>
      </c>
      <c r="M106" s="7">
        <v>0.6411</v>
      </c>
      <c r="N106">
        <v>70000</v>
      </c>
      <c r="O106" s="2">
        <v>45919</v>
      </c>
    </row>
    <row r="107" spans="4:15" x14ac:dyDescent="0.45">
      <c r="D107" t="s">
        <v>219</v>
      </c>
      <c r="E107" t="s">
        <v>220</v>
      </c>
      <c r="F107" t="s">
        <v>19</v>
      </c>
      <c r="G107" t="s">
        <v>15</v>
      </c>
      <c r="H107" t="s">
        <v>21</v>
      </c>
      <c r="I107">
        <v>10.74</v>
      </c>
      <c r="J107">
        <v>7.48</v>
      </c>
      <c r="K107">
        <v>14.15</v>
      </c>
      <c r="L107">
        <v>16.04</v>
      </c>
      <c r="M107" s="7">
        <v>0.89759999999999995</v>
      </c>
      <c r="N107">
        <v>50000</v>
      </c>
      <c r="O107" s="2">
        <v>45832</v>
      </c>
    </row>
    <row r="108" spans="4:15" x14ac:dyDescent="0.45">
      <c r="D108" t="s">
        <v>221</v>
      </c>
      <c r="E108" t="s">
        <v>185</v>
      </c>
      <c r="F108" t="s">
        <v>19</v>
      </c>
      <c r="G108" t="s">
        <v>47</v>
      </c>
      <c r="H108" t="s">
        <v>29</v>
      </c>
      <c r="I108">
        <v>7.62</v>
      </c>
      <c r="J108">
        <v>9.17</v>
      </c>
      <c r="K108">
        <v>9.44</v>
      </c>
      <c r="L108">
        <v>11.78</v>
      </c>
      <c r="M108" s="7">
        <v>0.85189999999999999</v>
      </c>
      <c r="N108">
        <v>80000</v>
      </c>
      <c r="O108" s="2">
        <v>45541</v>
      </c>
    </row>
    <row r="109" spans="4:15" x14ac:dyDescent="0.45">
      <c r="D109" t="s">
        <v>222</v>
      </c>
      <c r="E109" t="s">
        <v>223</v>
      </c>
      <c r="F109" t="s">
        <v>19</v>
      </c>
      <c r="G109" t="s">
        <v>15</v>
      </c>
      <c r="H109" t="s">
        <v>21</v>
      </c>
      <c r="I109">
        <v>12.34</v>
      </c>
      <c r="J109">
        <v>10.97</v>
      </c>
      <c r="K109">
        <v>9.73</v>
      </c>
      <c r="L109">
        <v>11.28</v>
      </c>
      <c r="M109" s="7">
        <v>0.79859999999999998</v>
      </c>
      <c r="N109">
        <v>120000</v>
      </c>
      <c r="O109" s="2">
        <v>46187</v>
      </c>
    </row>
    <row r="110" spans="4:15" x14ac:dyDescent="0.45">
      <c r="D110" t="s">
        <v>224</v>
      </c>
      <c r="E110" t="s">
        <v>225</v>
      </c>
      <c r="F110" t="s">
        <v>14</v>
      </c>
      <c r="G110" t="s">
        <v>35</v>
      </c>
      <c r="H110" t="s">
        <v>21</v>
      </c>
      <c r="I110">
        <v>13.76</v>
      </c>
      <c r="J110">
        <v>16.350000000000001</v>
      </c>
      <c r="K110">
        <v>16.22</v>
      </c>
      <c r="L110">
        <v>13.46</v>
      </c>
      <c r="M110" s="7">
        <v>0.98750000000000004</v>
      </c>
      <c r="N110">
        <v>110000</v>
      </c>
      <c r="O110" s="2">
        <v>46047</v>
      </c>
    </row>
    <row r="111" spans="4:15" x14ac:dyDescent="0.45">
      <c r="D111" t="s">
        <v>226</v>
      </c>
      <c r="E111" t="s">
        <v>227</v>
      </c>
      <c r="F111" t="s">
        <v>19</v>
      </c>
      <c r="G111" t="s">
        <v>15</v>
      </c>
      <c r="H111" t="s">
        <v>21</v>
      </c>
      <c r="I111">
        <v>17.63</v>
      </c>
      <c r="J111">
        <v>13.44</v>
      </c>
      <c r="K111">
        <v>12.55</v>
      </c>
      <c r="L111">
        <v>18.21</v>
      </c>
      <c r="M111" s="7">
        <v>0.8972</v>
      </c>
      <c r="N111">
        <v>100000</v>
      </c>
      <c r="O111" s="2">
        <v>45887</v>
      </c>
    </row>
    <row r="112" spans="4:15" x14ac:dyDescent="0.45">
      <c r="D112" t="s">
        <v>228</v>
      </c>
      <c r="E112" t="s">
        <v>229</v>
      </c>
      <c r="F112" t="s">
        <v>14</v>
      </c>
      <c r="G112" t="s">
        <v>28</v>
      </c>
      <c r="H112" t="s">
        <v>16</v>
      </c>
      <c r="I112">
        <v>18.670000000000002</v>
      </c>
      <c r="J112">
        <v>20</v>
      </c>
      <c r="K112">
        <v>20</v>
      </c>
      <c r="L112">
        <v>20</v>
      </c>
      <c r="M112" s="7">
        <v>0.88100000000000001</v>
      </c>
      <c r="N112">
        <v>120000</v>
      </c>
      <c r="O112" s="2">
        <v>46226</v>
      </c>
    </row>
    <row r="113" spans="4:15" x14ac:dyDescent="0.45">
      <c r="D113" t="s">
        <v>230</v>
      </c>
      <c r="E113" t="s">
        <v>231</v>
      </c>
      <c r="F113" t="s">
        <v>19</v>
      </c>
      <c r="G113" t="s">
        <v>32</v>
      </c>
      <c r="H113" t="s">
        <v>29</v>
      </c>
      <c r="I113">
        <v>10.84</v>
      </c>
      <c r="J113">
        <v>14.06</v>
      </c>
      <c r="K113">
        <v>15.62</v>
      </c>
      <c r="L113">
        <v>15.45</v>
      </c>
      <c r="M113" s="7">
        <v>0.89270000000000005</v>
      </c>
      <c r="N113">
        <v>50000</v>
      </c>
      <c r="O113" s="2">
        <v>46215</v>
      </c>
    </row>
    <row r="114" spans="4:15" x14ac:dyDescent="0.45">
      <c r="D114" t="s">
        <v>232</v>
      </c>
      <c r="E114" t="s">
        <v>233</v>
      </c>
      <c r="F114" t="s">
        <v>19</v>
      </c>
      <c r="G114" t="s">
        <v>47</v>
      </c>
      <c r="H114" t="s">
        <v>42</v>
      </c>
      <c r="I114">
        <v>18.809999999999999</v>
      </c>
      <c r="J114">
        <v>20</v>
      </c>
      <c r="K114">
        <v>20</v>
      </c>
      <c r="L114">
        <v>17.59</v>
      </c>
      <c r="M114" s="7">
        <v>0.84499999999999997</v>
      </c>
      <c r="N114">
        <v>110000</v>
      </c>
      <c r="O114" s="2">
        <v>46217</v>
      </c>
    </row>
    <row r="115" spans="4:15" x14ac:dyDescent="0.45">
      <c r="D115" t="s">
        <v>234</v>
      </c>
      <c r="E115" t="s">
        <v>235</v>
      </c>
      <c r="F115" t="s">
        <v>14</v>
      </c>
      <c r="G115" t="s">
        <v>20</v>
      </c>
      <c r="H115" t="s">
        <v>21</v>
      </c>
      <c r="I115">
        <v>15.49</v>
      </c>
      <c r="J115">
        <v>14.47</v>
      </c>
      <c r="K115">
        <v>15.24</v>
      </c>
      <c r="L115">
        <v>13.19</v>
      </c>
      <c r="M115" s="7">
        <v>0.80830000000000002</v>
      </c>
      <c r="N115">
        <v>75000</v>
      </c>
      <c r="O115" s="2">
        <v>45717</v>
      </c>
    </row>
    <row r="116" spans="4:15" x14ac:dyDescent="0.45">
      <c r="D116" t="s">
        <v>236</v>
      </c>
      <c r="E116" t="s">
        <v>237</v>
      </c>
      <c r="F116" t="s">
        <v>19</v>
      </c>
      <c r="G116" t="s">
        <v>47</v>
      </c>
      <c r="H116" t="s">
        <v>16</v>
      </c>
      <c r="I116">
        <v>11.48</v>
      </c>
      <c r="J116">
        <v>15.71</v>
      </c>
      <c r="K116">
        <v>12.61</v>
      </c>
      <c r="L116">
        <v>11.97</v>
      </c>
      <c r="M116" s="7">
        <v>0.55089999999999995</v>
      </c>
      <c r="N116">
        <v>100000</v>
      </c>
      <c r="O116" s="2">
        <v>46152</v>
      </c>
    </row>
    <row r="117" spans="4:15" x14ac:dyDescent="0.45">
      <c r="D117" t="s">
        <v>238</v>
      </c>
      <c r="E117" t="s">
        <v>167</v>
      </c>
      <c r="F117" t="s">
        <v>19</v>
      </c>
      <c r="G117" t="s">
        <v>15</v>
      </c>
      <c r="H117" t="s">
        <v>29</v>
      </c>
      <c r="I117">
        <v>15.07</v>
      </c>
      <c r="J117">
        <v>11.87</v>
      </c>
      <c r="K117">
        <v>13.51</v>
      </c>
      <c r="L117">
        <v>11.94</v>
      </c>
      <c r="M117" s="7">
        <v>0.91290000000000004</v>
      </c>
      <c r="N117">
        <v>110000</v>
      </c>
      <c r="O117" s="2">
        <v>45889</v>
      </c>
    </row>
    <row r="118" spans="4:15" x14ac:dyDescent="0.45">
      <c r="D118" t="s">
        <v>239</v>
      </c>
      <c r="E118" t="s">
        <v>240</v>
      </c>
      <c r="F118" t="s">
        <v>14</v>
      </c>
      <c r="G118" t="s">
        <v>32</v>
      </c>
      <c r="H118" t="s">
        <v>16</v>
      </c>
      <c r="I118">
        <v>18.510000000000002</v>
      </c>
      <c r="J118">
        <v>15.64</v>
      </c>
      <c r="K118">
        <v>13.21</v>
      </c>
      <c r="L118">
        <v>14.8</v>
      </c>
      <c r="M118" s="7">
        <v>0.66739999999999999</v>
      </c>
      <c r="N118">
        <v>100000</v>
      </c>
      <c r="O118" s="2">
        <v>46044</v>
      </c>
    </row>
    <row r="119" spans="4:15" x14ac:dyDescent="0.45">
      <c r="D119" t="s">
        <v>241</v>
      </c>
      <c r="E119" t="s">
        <v>242</v>
      </c>
      <c r="F119" t="s">
        <v>14</v>
      </c>
      <c r="G119" t="s">
        <v>47</v>
      </c>
      <c r="H119" t="s">
        <v>21</v>
      </c>
      <c r="I119">
        <v>13.77</v>
      </c>
      <c r="J119">
        <v>12.51</v>
      </c>
      <c r="K119">
        <v>15.21</v>
      </c>
      <c r="L119">
        <v>11.91</v>
      </c>
      <c r="M119" s="7">
        <v>0.94169999999999998</v>
      </c>
      <c r="N119">
        <v>80000</v>
      </c>
      <c r="O119" s="2">
        <v>46137</v>
      </c>
    </row>
    <row r="120" spans="4:15" x14ac:dyDescent="0.45">
      <c r="D120" t="s">
        <v>243</v>
      </c>
      <c r="E120" t="s">
        <v>94</v>
      </c>
      <c r="F120" t="s">
        <v>14</v>
      </c>
      <c r="G120" t="s">
        <v>28</v>
      </c>
      <c r="H120" t="s">
        <v>21</v>
      </c>
      <c r="I120">
        <v>10.83</v>
      </c>
      <c r="J120">
        <v>9.1199999999999992</v>
      </c>
      <c r="K120">
        <v>10.78</v>
      </c>
      <c r="L120">
        <v>14.67</v>
      </c>
      <c r="M120" s="7">
        <v>0.82340000000000002</v>
      </c>
      <c r="N120">
        <v>90000</v>
      </c>
      <c r="O120" s="2">
        <v>45650</v>
      </c>
    </row>
    <row r="121" spans="4:15" x14ac:dyDescent="0.45">
      <c r="D121" t="s">
        <v>244</v>
      </c>
      <c r="E121" t="s">
        <v>245</v>
      </c>
      <c r="F121" t="s">
        <v>14</v>
      </c>
      <c r="G121" t="s">
        <v>35</v>
      </c>
      <c r="H121" t="s">
        <v>16</v>
      </c>
      <c r="I121">
        <v>9.1999999999999993</v>
      </c>
      <c r="J121">
        <v>7.51</v>
      </c>
      <c r="K121">
        <v>11.45</v>
      </c>
      <c r="L121">
        <v>6.64</v>
      </c>
      <c r="M121" s="7">
        <v>0.77759999999999996</v>
      </c>
      <c r="N121">
        <v>85000</v>
      </c>
      <c r="O121" s="2">
        <v>45849</v>
      </c>
    </row>
    <row r="122" spans="4:15" x14ac:dyDescent="0.45">
      <c r="D122" t="s">
        <v>246</v>
      </c>
      <c r="E122" t="s">
        <v>247</v>
      </c>
      <c r="F122" t="s">
        <v>14</v>
      </c>
      <c r="G122" t="s">
        <v>47</v>
      </c>
      <c r="H122" t="s">
        <v>16</v>
      </c>
      <c r="I122">
        <v>9.3800000000000008</v>
      </c>
      <c r="J122">
        <v>9.59</v>
      </c>
      <c r="K122">
        <v>14.07</v>
      </c>
      <c r="L122">
        <v>9.36</v>
      </c>
      <c r="M122" s="7">
        <v>0.87290000000000001</v>
      </c>
      <c r="N122">
        <v>90000</v>
      </c>
      <c r="O122" s="2">
        <v>45626</v>
      </c>
    </row>
    <row r="123" spans="4:15" x14ac:dyDescent="0.45">
      <c r="D123" t="s">
        <v>248</v>
      </c>
      <c r="E123" t="s">
        <v>65</v>
      </c>
      <c r="F123" t="s">
        <v>19</v>
      </c>
      <c r="G123" t="s">
        <v>20</v>
      </c>
      <c r="H123" t="s">
        <v>29</v>
      </c>
      <c r="I123">
        <v>15</v>
      </c>
      <c r="J123">
        <v>13.92</v>
      </c>
      <c r="K123">
        <v>15.39</v>
      </c>
      <c r="L123">
        <v>17.760000000000002</v>
      </c>
      <c r="M123" s="7">
        <v>0.83599999999999997</v>
      </c>
      <c r="N123">
        <v>85000</v>
      </c>
      <c r="O123" s="2">
        <v>45731</v>
      </c>
    </row>
    <row r="124" spans="4:15" x14ac:dyDescent="0.45">
      <c r="D124" t="s">
        <v>249</v>
      </c>
      <c r="E124" t="s">
        <v>250</v>
      </c>
      <c r="F124" t="s">
        <v>19</v>
      </c>
      <c r="G124" t="s">
        <v>28</v>
      </c>
      <c r="H124" t="s">
        <v>21</v>
      </c>
      <c r="I124">
        <v>12.66</v>
      </c>
      <c r="J124">
        <v>13.95</v>
      </c>
      <c r="K124">
        <v>9.9700000000000006</v>
      </c>
      <c r="L124">
        <v>7.89</v>
      </c>
      <c r="M124" s="7">
        <v>0.8034</v>
      </c>
      <c r="N124">
        <v>80000</v>
      </c>
      <c r="O124" s="2">
        <v>45825</v>
      </c>
    </row>
    <row r="125" spans="4:15" x14ac:dyDescent="0.45">
      <c r="D125" t="s">
        <v>251</v>
      </c>
      <c r="E125" t="s">
        <v>252</v>
      </c>
      <c r="F125" t="s">
        <v>14</v>
      </c>
      <c r="G125" t="s">
        <v>20</v>
      </c>
      <c r="H125" t="s">
        <v>29</v>
      </c>
      <c r="I125">
        <v>8.66</v>
      </c>
      <c r="J125">
        <v>8.25</v>
      </c>
      <c r="K125">
        <v>9.07</v>
      </c>
      <c r="L125">
        <v>16.170000000000002</v>
      </c>
      <c r="M125" s="7">
        <v>0.70330000000000004</v>
      </c>
      <c r="N125">
        <v>70000</v>
      </c>
      <c r="O125" s="2">
        <v>46134</v>
      </c>
    </row>
    <row r="126" spans="4:15" x14ac:dyDescent="0.45">
      <c r="D126" t="s">
        <v>253</v>
      </c>
      <c r="E126" t="s">
        <v>254</v>
      </c>
      <c r="F126" t="s">
        <v>19</v>
      </c>
      <c r="G126" t="s">
        <v>47</v>
      </c>
      <c r="H126" t="s">
        <v>29</v>
      </c>
      <c r="I126">
        <v>11.41</v>
      </c>
      <c r="J126">
        <v>9.24</v>
      </c>
      <c r="K126">
        <v>15.43</v>
      </c>
      <c r="L126">
        <v>12.49</v>
      </c>
      <c r="M126" s="7">
        <v>0.77380000000000004</v>
      </c>
      <c r="N126">
        <v>80000</v>
      </c>
      <c r="O126" s="2">
        <v>46139</v>
      </c>
    </row>
    <row r="127" spans="4:15" x14ac:dyDescent="0.45">
      <c r="D127" t="s">
        <v>255</v>
      </c>
      <c r="E127" t="s">
        <v>256</v>
      </c>
      <c r="F127" t="s">
        <v>19</v>
      </c>
      <c r="G127" t="s">
        <v>35</v>
      </c>
      <c r="H127" t="s">
        <v>29</v>
      </c>
      <c r="I127">
        <v>15.4</v>
      </c>
      <c r="J127">
        <v>19.149999999999999</v>
      </c>
      <c r="K127">
        <v>15.79</v>
      </c>
      <c r="L127">
        <v>15.94</v>
      </c>
      <c r="M127" s="7">
        <v>0.82779999999999998</v>
      </c>
      <c r="N127">
        <v>100000</v>
      </c>
      <c r="O127" s="2">
        <v>45808</v>
      </c>
    </row>
    <row r="128" spans="4:15" x14ac:dyDescent="0.45">
      <c r="D128" t="s">
        <v>257</v>
      </c>
      <c r="E128" t="s">
        <v>258</v>
      </c>
      <c r="F128" t="s">
        <v>14</v>
      </c>
      <c r="G128" t="s">
        <v>47</v>
      </c>
      <c r="H128" t="s">
        <v>42</v>
      </c>
      <c r="I128">
        <v>13.64</v>
      </c>
      <c r="J128">
        <v>16.39</v>
      </c>
      <c r="K128">
        <v>16.13</v>
      </c>
      <c r="L128">
        <v>15.16</v>
      </c>
      <c r="M128" s="7">
        <v>0.83150000000000002</v>
      </c>
      <c r="N128">
        <v>120000</v>
      </c>
      <c r="O128" s="2">
        <v>45766</v>
      </c>
    </row>
    <row r="129" spans="4:15" x14ac:dyDescent="0.45">
      <c r="D129" t="s">
        <v>259</v>
      </c>
      <c r="E129" t="s">
        <v>117</v>
      </c>
      <c r="F129" t="s">
        <v>19</v>
      </c>
      <c r="G129" t="s">
        <v>35</v>
      </c>
      <c r="H129" t="s">
        <v>29</v>
      </c>
      <c r="I129">
        <v>10.42</v>
      </c>
      <c r="J129">
        <v>9.75</v>
      </c>
      <c r="K129">
        <v>10.69</v>
      </c>
      <c r="L129">
        <v>13.16</v>
      </c>
      <c r="M129" s="7">
        <v>0.89610000000000001</v>
      </c>
      <c r="N129">
        <v>60000</v>
      </c>
      <c r="O129" s="2">
        <v>45907</v>
      </c>
    </row>
    <row r="130" spans="4:15" x14ac:dyDescent="0.45">
      <c r="D130" t="s">
        <v>260</v>
      </c>
      <c r="E130" t="s">
        <v>23</v>
      </c>
      <c r="F130" t="s">
        <v>19</v>
      </c>
      <c r="G130" t="s">
        <v>28</v>
      </c>
      <c r="H130" t="s">
        <v>16</v>
      </c>
      <c r="I130">
        <v>16.54</v>
      </c>
      <c r="J130">
        <v>17.329999999999998</v>
      </c>
      <c r="K130">
        <v>18.96</v>
      </c>
      <c r="L130">
        <v>17.440000000000001</v>
      </c>
      <c r="M130" s="7">
        <v>0.75839999999999996</v>
      </c>
      <c r="N130">
        <v>70000</v>
      </c>
      <c r="O130" s="2">
        <v>46174</v>
      </c>
    </row>
    <row r="131" spans="4:15" x14ac:dyDescent="0.45">
      <c r="D131" t="s">
        <v>261</v>
      </c>
      <c r="E131" t="s">
        <v>262</v>
      </c>
      <c r="F131" t="s">
        <v>19</v>
      </c>
      <c r="G131" t="s">
        <v>15</v>
      </c>
      <c r="H131" t="s">
        <v>21</v>
      </c>
      <c r="I131">
        <v>18.059999999999999</v>
      </c>
      <c r="J131">
        <v>20</v>
      </c>
      <c r="K131">
        <v>17.77</v>
      </c>
      <c r="L131">
        <v>20</v>
      </c>
      <c r="M131" s="7">
        <v>0.76829999999999998</v>
      </c>
      <c r="N131">
        <v>85000</v>
      </c>
      <c r="O131" s="2">
        <v>46219</v>
      </c>
    </row>
    <row r="132" spans="4:15" x14ac:dyDescent="0.45">
      <c r="D132" t="s">
        <v>263</v>
      </c>
      <c r="E132" t="s">
        <v>264</v>
      </c>
      <c r="F132" t="s">
        <v>19</v>
      </c>
      <c r="G132" t="s">
        <v>47</v>
      </c>
      <c r="H132" t="s">
        <v>29</v>
      </c>
      <c r="I132">
        <v>16.84</v>
      </c>
      <c r="J132">
        <v>16.21</v>
      </c>
      <c r="K132">
        <v>13.47</v>
      </c>
      <c r="L132">
        <v>15.93</v>
      </c>
      <c r="M132" s="7">
        <v>0.56440000000000001</v>
      </c>
      <c r="N132">
        <v>100000</v>
      </c>
      <c r="O132" s="2">
        <v>45694</v>
      </c>
    </row>
    <row r="133" spans="4:15" x14ac:dyDescent="0.45">
      <c r="D133" t="s">
        <v>265</v>
      </c>
      <c r="E133" t="s">
        <v>266</v>
      </c>
      <c r="F133" t="s">
        <v>19</v>
      </c>
      <c r="G133" t="s">
        <v>28</v>
      </c>
      <c r="H133" t="s">
        <v>29</v>
      </c>
      <c r="I133">
        <v>16.010000000000002</v>
      </c>
      <c r="J133">
        <v>16.95</v>
      </c>
      <c r="K133">
        <v>15.54</v>
      </c>
      <c r="L133">
        <v>20</v>
      </c>
      <c r="M133" s="7">
        <v>0.71589999999999998</v>
      </c>
      <c r="N133">
        <v>60000</v>
      </c>
      <c r="O133" s="2">
        <v>45666</v>
      </c>
    </row>
    <row r="134" spans="4:15" x14ac:dyDescent="0.45">
      <c r="D134" t="s">
        <v>267</v>
      </c>
      <c r="E134" t="s">
        <v>268</v>
      </c>
      <c r="F134" t="s">
        <v>14</v>
      </c>
      <c r="G134" t="s">
        <v>47</v>
      </c>
      <c r="H134" t="s">
        <v>42</v>
      </c>
      <c r="I134">
        <v>17.86</v>
      </c>
      <c r="J134">
        <v>19.79</v>
      </c>
      <c r="K134">
        <v>14.54</v>
      </c>
      <c r="L134">
        <v>18.03</v>
      </c>
      <c r="M134" s="7">
        <v>0.58899999999999997</v>
      </c>
      <c r="N134">
        <v>75000</v>
      </c>
      <c r="O134" s="2">
        <v>46030</v>
      </c>
    </row>
    <row r="135" spans="4:15" x14ac:dyDescent="0.45">
      <c r="D135" t="s">
        <v>269</v>
      </c>
      <c r="E135" t="s">
        <v>18</v>
      </c>
      <c r="F135" t="s">
        <v>19</v>
      </c>
      <c r="G135" t="s">
        <v>28</v>
      </c>
      <c r="H135" t="s">
        <v>42</v>
      </c>
      <c r="I135">
        <v>15.47</v>
      </c>
      <c r="J135">
        <v>15.46</v>
      </c>
      <c r="K135">
        <v>20</v>
      </c>
      <c r="L135">
        <v>20</v>
      </c>
      <c r="M135" s="7">
        <v>0.81699999999999995</v>
      </c>
      <c r="N135">
        <v>50000</v>
      </c>
      <c r="O135" s="2">
        <v>45746</v>
      </c>
    </row>
    <row r="136" spans="4:15" x14ac:dyDescent="0.45">
      <c r="D136" t="s">
        <v>270</v>
      </c>
      <c r="E136" t="s">
        <v>119</v>
      </c>
      <c r="F136" t="s">
        <v>19</v>
      </c>
      <c r="G136" t="s">
        <v>20</v>
      </c>
      <c r="H136" t="s">
        <v>16</v>
      </c>
      <c r="I136">
        <v>16.48</v>
      </c>
      <c r="J136">
        <v>15.69</v>
      </c>
      <c r="K136">
        <v>15.21</v>
      </c>
      <c r="L136">
        <v>17.100000000000001</v>
      </c>
      <c r="M136" s="7">
        <v>0.95309999999999995</v>
      </c>
      <c r="N136">
        <v>50000</v>
      </c>
      <c r="O136" s="2">
        <v>45675</v>
      </c>
    </row>
    <row r="137" spans="4:15" x14ac:dyDescent="0.45">
      <c r="D137" t="s">
        <v>271</v>
      </c>
      <c r="E137" t="s">
        <v>272</v>
      </c>
      <c r="F137" t="s">
        <v>14</v>
      </c>
      <c r="G137" t="s">
        <v>32</v>
      </c>
      <c r="H137" t="s">
        <v>16</v>
      </c>
      <c r="I137">
        <v>16</v>
      </c>
      <c r="J137">
        <v>15.54</v>
      </c>
      <c r="K137">
        <v>16.79</v>
      </c>
      <c r="L137">
        <v>11.1</v>
      </c>
      <c r="M137" s="7">
        <v>0.94479999999999997</v>
      </c>
      <c r="N137">
        <v>60000</v>
      </c>
      <c r="O137" s="2">
        <v>45557</v>
      </c>
    </row>
    <row r="138" spans="4:15" x14ac:dyDescent="0.45">
      <c r="D138" t="s">
        <v>273</v>
      </c>
      <c r="E138" t="s">
        <v>274</v>
      </c>
      <c r="F138" t="s">
        <v>19</v>
      </c>
      <c r="G138" t="s">
        <v>32</v>
      </c>
      <c r="H138" t="s">
        <v>16</v>
      </c>
      <c r="I138">
        <v>16.86</v>
      </c>
      <c r="J138">
        <v>14.75</v>
      </c>
      <c r="K138">
        <v>13.97</v>
      </c>
      <c r="L138">
        <v>20</v>
      </c>
      <c r="M138" s="7">
        <v>0.93310000000000004</v>
      </c>
      <c r="N138">
        <v>110000</v>
      </c>
      <c r="O138" s="2">
        <v>45818</v>
      </c>
    </row>
    <row r="139" spans="4:15" x14ac:dyDescent="0.45">
      <c r="D139" t="s">
        <v>275</v>
      </c>
      <c r="E139" t="s">
        <v>109</v>
      </c>
      <c r="F139" t="s">
        <v>14</v>
      </c>
      <c r="G139" t="s">
        <v>32</v>
      </c>
      <c r="H139" t="s">
        <v>21</v>
      </c>
      <c r="I139">
        <v>12</v>
      </c>
      <c r="J139">
        <v>9.9700000000000006</v>
      </c>
      <c r="K139">
        <v>8.31</v>
      </c>
      <c r="L139">
        <v>9.06</v>
      </c>
      <c r="M139" s="7">
        <v>0.79290000000000005</v>
      </c>
      <c r="N139">
        <v>120000</v>
      </c>
      <c r="O139" s="2">
        <v>45810</v>
      </c>
    </row>
    <row r="140" spans="4:15" x14ac:dyDescent="0.45">
      <c r="D140" t="s">
        <v>276</v>
      </c>
      <c r="E140" t="s">
        <v>277</v>
      </c>
      <c r="F140" t="s">
        <v>14</v>
      </c>
      <c r="G140" t="s">
        <v>32</v>
      </c>
      <c r="H140" t="s">
        <v>42</v>
      </c>
      <c r="I140">
        <v>16.760000000000002</v>
      </c>
      <c r="J140">
        <v>16.02</v>
      </c>
      <c r="K140">
        <v>15.15</v>
      </c>
      <c r="L140">
        <v>18.649999999999999</v>
      </c>
      <c r="M140" s="7">
        <v>0.83130000000000004</v>
      </c>
      <c r="N140">
        <v>85000</v>
      </c>
      <c r="O140" s="2">
        <v>45930</v>
      </c>
    </row>
    <row r="141" spans="4:15" x14ac:dyDescent="0.45">
      <c r="D141" t="s">
        <v>278</v>
      </c>
      <c r="E141" t="s">
        <v>279</v>
      </c>
      <c r="F141" t="s">
        <v>14</v>
      </c>
      <c r="G141" t="s">
        <v>47</v>
      </c>
      <c r="H141" t="s">
        <v>21</v>
      </c>
      <c r="I141">
        <v>9.49</v>
      </c>
      <c r="J141">
        <v>10.18</v>
      </c>
      <c r="K141">
        <v>12.33</v>
      </c>
      <c r="L141">
        <v>9.66</v>
      </c>
      <c r="M141" s="7">
        <v>0.95430000000000004</v>
      </c>
      <c r="N141">
        <v>60000</v>
      </c>
      <c r="O141" s="2">
        <v>45676</v>
      </c>
    </row>
    <row r="142" spans="4:15" x14ac:dyDescent="0.45">
      <c r="D142" t="s">
        <v>280</v>
      </c>
      <c r="E142" t="s">
        <v>254</v>
      </c>
      <c r="F142" t="s">
        <v>19</v>
      </c>
      <c r="G142" t="s">
        <v>32</v>
      </c>
      <c r="H142" t="s">
        <v>42</v>
      </c>
      <c r="I142">
        <v>11.81</v>
      </c>
      <c r="J142">
        <v>9.3699999999999992</v>
      </c>
      <c r="K142">
        <v>10.33</v>
      </c>
      <c r="L142">
        <v>13.51</v>
      </c>
      <c r="M142" s="7">
        <v>0.80449999999999999</v>
      </c>
      <c r="N142">
        <v>130000</v>
      </c>
      <c r="O142" s="2">
        <v>46036</v>
      </c>
    </row>
    <row r="143" spans="4:15" x14ac:dyDescent="0.45">
      <c r="D143" t="s">
        <v>281</v>
      </c>
      <c r="E143" t="s">
        <v>282</v>
      </c>
      <c r="F143" t="s">
        <v>14</v>
      </c>
      <c r="G143" t="s">
        <v>28</v>
      </c>
      <c r="H143" t="s">
        <v>29</v>
      </c>
      <c r="I143">
        <v>19.489999999999998</v>
      </c>
      <c r="J143">
        <v>19.309999999999999</v>
      </c>
      <c r="K143">
        <v>15.43</v>
      </c>
      <c r="L143">
        <v>15.54</v>
      </c>
      <c r="M143" s="7">
        <v>0.85609999999999997</v>
      </c>
      <c r="N143">
        <v>75000</v>
      </c>
      <c r="O143" s="2">
        <v>46012</v>
      </c>
    </row>
    <row r="144" spans="4:15" x14ac:dyDescent="0.45">
      <c r="D144" t="s">
        <v>283</v>
      </c>
      <c r="E144" t="s">
        <v>190</v>
      </c>
      <c r="F144" t="s">
        <v>14</v>
      </c>
      <c r="G144" t="s">
        <v>32</v>
      </c>
      <c r="H144" t="s">
        <v>42</v>
      </c>
      <c r="I144">
        <v>14.42</v>
      </c>
      <c r="J144">
        <v>14.1</v>
      </c>
      <c r="K144">
        <v>16.39</v>
      </c>
      <c r="L144">
        <v>17.13</v>
      </c>
      <c r="M144" s="7">
        <v>0.76539999999999997</v>
      </c>
      <c r="N144">
        <v>60000</v>
      </c>
      <c r="O144" s="2">
        <v>45859</v>
      </c>
    </row>
    <row r="145" spans="4:15" x14ac:dyDescent="0.45">
      <c r="D145" t="s">
        <v>284</v>
      </c>
      <c r="E145" t="s">
        <v>285</v>
      </c>
      <c r="F145" t="s">
        <v>14</v>
      </c>
      <c r="G145" t="s">
        <v>20</v>
      </c>
      <c r="H145" t="s">
        <v>42</v>
      </c>
      <c r="I145">
        <v>16.28</v>
      </c>
      <c r="J145">
        <v>17.579999999999998</v>
      </c>
      <c r="K145">
        <v>18.96</v>
      </c>
      <c r="L145">
        <v>17.010000000000002</v>
      </c>
      <c r="M145" s="7">
        <v>0.8982</v>
      </c>
      <c r="N145">
        <v>60000</v>
      </c>
      <c r="O145" s="2">
        <v>45662</v>
      </c>
    </row>
    <row r="146" spans="4:15" x14ac:dyDescent="0.45">
      <c r="D146" t="s">
        <v>286</v>
      </c>
      <c r="E146" t="s">
        <v>57</v>
      </c>
      <c r="F146" t="s">
        <v>19</v>
      </c>
      <c r="G146" t="s">
        <v>20</v>
      </c>
      <c r="H146" t="s">
        <v>29</v>
      </c>
      <c r="I146">
        <v>13.14</v>
      </c>
      <c r="J146">
        <v>12.49</v>
      </c>
      <c r="K146">
        <v>16.55</v>
      </c>
      <c r="L146">
        <v>16.11</v>
      </c>
      <c r="M146" s="7">
        <v>0.72319999999999995</v>
      </c>
      <c r="N146">
        <v>75000</v>
      </c>
      <c r="O146" s="2">
        <v>45890</v>
      </c>
    </row>
    <row r="147" spans="4:15" x14ac:dyDescent="0.45">
      <c r="D147" t="s">
        <v>287</v>
      </c>
      <c r="E147" t="s">
        <v>138</v>
      </c>
      <c r="F147" t="s">
        <v>19</v>
      </c>
      <c r="G147" t="s">
        <v>20</v>
      </c>
      <c r="H147" t="s">
        <v>21</v>
      </c>
      <c r="I147">
        <v>11.19</v>
      </c>
      <c r="J147">
        <v>11.46</v>
      </c>
      <c r="K147">
        <v>11.25</v>
      </c>
      <c r="L147">
        <v>11.14</v>
      </c>
      <c r="M147" s="7">
        <v>0.91400000000000003</v>
      </c>
      <c r="N147">
        <v>110000</v>
      </c>
      <c r="O147" s="2">
        <v>46008</v>
      </c>
    </row>
    <row r="148" spans="4:15" x14ac:dyDescent="0.45">
      <c r="D148" t="s">
        <v>288</v>
      </c>
      <c r="E148" t="s">
        <v>289</v>
      </c>
      <c r="F148" t="s">
        <v>14</v>
      </c>
      <c r="G148" t="s">
        <v>28</v>
      </c>
      <c r="H148" t="s">
        <v>21</v>
      </c>
      <c r="I148">
        <v>11.01</v>
      </c>
      <c r="J148">
        <v>8.56</v>
      </c>
      <c r="K148">
        <v>14.44</v>
      </c>
      <c r="L148">
        <v>14.79</v>
      </c>
      <c r="M148" s="7">
        <v>0.81269999999999998</v>
      </c>
      <c r="N148">
        <v>80000</v>
      </c>
      <c r="O148" s="2">
        <v>45796</v>
      </c>
    </row>
    <row r="149" spans="4:15" x14ac:dyDescent="0.45">
      <c r="D149" t="s">
        <v>290</v>
      </c>
      <c r="E149" t="s">
        <v>291</v>
      </c>
      <c r="F149" t="s">
        <v>14</v>
      </c>
      <c r="G149" t="s">
        <v>32</v>
      </c>
      <c r="H149" t="s">
        <v>21</v>
      </c>
      <c r="I149">
        <v>13.62</v>
      </c>
      <c r="J149">
        <v>16.149999999999999</v>
      </c>
      <c r="K149">
        <v>15.57</v>
      </c>
      <c r="L149">
        <v>8.92</v>
      </c>
      <c r="M149" s="7">
        <v>0.94320000000000004</v>
      </c>
      <c r="N149">
        <v>80000</v>
      </c>
      <c r="O149" s="2">
        <v>45720</v>
      </c>
    </row>
    <row r="150" spans="4:15" x14ac:dyDescent="0.45">
      <c r="D150" t="s">
        <v>292</v>
      </c>
      <c r="E150" t="s">
        <v>266</v>
      </c>
      <c r="F150" t="s">
        <v>19</v>
      </c>
      <c r="G150" t="s">
        <v>35</v>
      </c>
      <c r="H150" t="s">
        <v>21</v>
      </c>
      <c r="I150">
        <v>13.51</v>
      </c>
      <c r="J150">
        <v>12.63</v>
      </c>
      <c r="K150">
        <v>11.38</v>
      </c>
      <c r="L150">
        <v>13.43</v>
      </c>
      <c r="M150" s="7">
        <v>0.70140000000000002</v>
      </c>
      <c r="N150">
        <v>75000</v>
      </c>
      <c r="O150" s="2">
        <v>45890</v>
      </c>
    </row>
    <row r="151" spans="4:15" x14ac:dyDescent="0.45">
      <c r="D151" t="s">
        <v>293</v>
      </c>
      <c r="E151" t="s">
        <v>34</v>
      </c>
      <c r="F151" t="s">
        <v>14</v>
      </c>
      <c r="G151" t="s">
        <v>32</v>
      </c>
      <c r="H151" t="s">
        <v>29</v>
      </c>
      <c r="I151">
        <v>11.8</v>
      </c>
      <c r="J151">
        <v>19.760000000000002</v>
      </c>
      <c r="K151">
        <v>14.75</v>
      </c>
      <c r="L151">
        <v>17.48</v>
      </c>
      <c r="M151" s="7">
        <v>0.68049999999999999</v>
      </c>
      <c r="N151">
        <v>130000</v>
      </c>
      <c r="O151" s="2">
        <v>45784</v>
      </c>
    </row>
    <row r="152" spans="4:15" x14ac:dyDescent="0.45">
      <c r="D152" t="s">
        <v>294</v>
      </c>
      <c r="E152" t="s">
        <v>295</v>
      </c>
      <c r="F152" t="s">
        <v>19</v>
      </c>
      <c r="G152" t="s">
        <v>15</v>
      </c>
      <c r="H152" t="s">
        <v>16</v>
      </c>
      <c r="I152">
        <v>12.01</v>
      </c>
      <c r="J152">
        <v>11.84</v>
      </c>
      <c r="K152">
        <v>10.3</v>
      </c>
      <c r="L152">
        <v>12.88</v>
      </c>
      <c r="M152" s="7">
        <v>0.81130000000000002</v>
      </c>
      <c r="N152">
        <v>100000</v>
      </c>
      <c r="O152" s="2">
        <v>45816</v>
      </c>
    </row>
    <row r="153" spans="4:15" x14ac:dyDescent="0.45">
      <c r="D153" t="s">
        <v>296</v>
      </c>
      <c r="E153" t="s">
        <v>41</v>
      </c>
      <c r="F153" t="s">
        <v>14</v>
      </c>
      <c r="G153" t="s">
        <v>15</v>
      </c>
      <c r="H153" t="s">
        <v>29</v>
      </c>
      <c r="I153">
        <v>14.14</v>
      </c>
      <c r="J153">
        <v>14.78</v>
      </c>
      <c r="K153">
        <v>11.75</v>
      </c>
      <c r="L153">
        <v>16.5</v>
      </c>
      <c r="M153" s="7">
        <v>0.90129999999999999</v>
      </c>
      <c r="N153">
        <v>100000</v>
      </c>
      <c r="O153" s="2">
        <v>45780</v>
      </c>
    </row>
    <row r="154" spans="4:15" x14ac:dyDescent="0.45">
      <c r="D154" t="s">
        <v>297</v>
      </c>
      <c r="E154" t="s">
        <v>174</v>
      </c>
      <c r="F154" t="s">
        <v>19</v>
      </c>
      <c r="G154" t="s">
        <v>20</v>
      </c>
      <c r="H154" t="s">
        <v>42</v>
      </c>
      <c r="I154">
        <v>10.38</v>
      </c>
      <c r="J154">
        <v>15.34</v>
      </c>
      <c r="K154">
        <v>12.68</v>
      </c>
      <c r="L154">
        <v>9.83</v>
      </c>
      <c r="M154" s="7">
        <v>0.74870000000000003</v>
      </c>
      <c r="N154">
        <v>80000</v>
      </c>
      <c r="O154" s="2">
        <v>45748</v>
      </c>
    </row>
    <row r="155" spans="4:15" x14ac:dyDescent="0.45">
      <c r="D155" t="s">
        <v>298</v>
      </c>
      <c r="E155" t="s">
        <v>225</v>
      </c>
      <c r="F155" t="s">
        <v>14</v>
      </c>
      <c r="G155" t="s">
        <v>28</v>
      </c>
      <c r="H155" t="s">
        <v>21</v>
      </c>
      <c r="I155">
        <v>17.88</v>
      </c>
      <c r="J155">
        <v>14.55</v>
      </c>
      <c r="K155">
        <v>15.6</v>
      </c>
      <c r="L155">
        <v>14.77</v>
      </c>
      <c r="M155" s="7">
        <v>0.84219999999999995</v>
      </c>
      <c r="N155">
        <v>85000</v>
      </c>
      <c r="O155" s="2">
        <v>46037</v>
      </c>
    </row>
    <row r="156" spans="4:15" x14ac:dyDescent="0.45">
      <c r="D156" t="s">
        <v>299</v>
      </c>
      <c r="E156" t="s">
        <v>282</v>
      </c>
      <c r="F156" t="s">
        <v>14</v>
      </c>
      <c r="G156" t="s">
        <v>20</v>
      </c>
      <c r="H156" t="s">
        <v>29</v>
      </c>
      <c r="I156">
        <v>10.83</v>
      </c>
      <c r="J156">
        <v>16.63</v>
      </c>
      <c r="K156">
        <v>13.88</v>
      </c>
      <c r="L156">
        <v>16.010000000000002</v>
      </c>
      <c r="M156" s="7">
        <v>0.71230000000000004</v>
      </c>
      <c r="N156">
        <v>120000</v>
      </c>
      <c r="O156" s="2">
        <v>45858</v>
      </c>
    </row>
    <row r="157" spans="4:15" x14ac:dyDescent="0.45">
      <c r="D157" t="s">
        <v>300</v>
      </c>
      <c r="E157" t="s">
        <v>301</v>
      </c>
      <c r="F157" t="s">
        <v>19</v>
      </c>
      <c r="G157" t="s">
        <v>35</v>
      </c>
      <c r="H157" t="s">
        <v>29</v>
      </c>
      <c r="I157">
        <v>9.59</v>
      </c>
      <c r="J157">
        <v>11.89</v>
      </c>
      <c r="K157">
        <v>5.9</v>
      </c>
      <c r="L157">
        <v>6.29</v>
      </c>
      <c r="M157" s="7">
        <v>0.89759999999999995</v>
      </c>
      <c r="N157">
        <v>100000</v>
      </c>
      <c r="O157" s="2">
        <v>45862</v>
      </c>
    </row>
    <row r="158" spans="4:15" x14ac:dyDescent="0.45">
      <c r="D158" t="s">
        <v>302</v>
      </c>
      <c r="E158" t="s">
        <v>146</v>
      </c>
      <c r="F158" t="s">
        <v>14</v>
      </c>
      <c r="G158" t="s">
        <v>15</v>
      </c>
      <c r="H158" t="s">
        <v>29</v>
      </c>
      <c r="I158">
        <v>7.09</v>
      </c>
      <c r="J158">
        <v>14.15</v>
      </c>
      <c r="K158">
        <v>17.559999999999999</v>
      </c>
      <c r="L158">
        <v>14.04</v>
      </c>
      <c r="M158" s="7">
        <v>0.92930000000000001</v>
      </c>
      <c r="N158">
        <v>110000</v>
      </c>
      <c r="O158" s="2">
        <v>45993</v>
      </c>
    </row>
    <row r="159" spans="4:15" x14ac:dyDescent="0.45">
      <c r="D159" t="s">
        <v>303</v>
      </c>
      <c r="E159" t="s">
        <v>304</v>
      </c>
      <c r="F159" t="s">
        <v>19</v>
      </c>
      <c r="G159" t="s">
        <v>35</v>
      </c>
      <c r="H159" t="s">
        <v>21</v>
      </c>
      <c r="I159">
        <v>11.93</v>
      </c>
      <c r="J159">
        <v>13.54</v>
      </c>
      <c r="K159">
        <v>11.22</v>
      </c>
      <c r="L159">
        <v>12.15</v>
      </c>
      <c r="M159" s="7">
        <v>0.82089999999999996</v>
      </c>
      <c r="N159">
        <v>50000</v>
      </c>
      <c r="O159" s="2">
        <v>45788</v>
      </c>
    </row>
    <row r="160" spans="4:15" x14ac:dyDescent="0.45">
      <c r="D160" t="s">
        <v>305</v>
      </c>
      <c r="E160" t="s">
        <v>218</v>
      </c>
      <c r="F160" t="s">
        <v>19</v>
      </c>
      <c r="G160" t="s">
        <v>32</v>
      </c>
      <c r="H160" t="s">
        <v>16</v>
      </c>
      <c r="I160">
        <v>11.87</v>
      </c>
      <c r="J160">
        <v>15.01</v>
      </c>
      <c r="K160">
        <v>17.46</v>
      </c>
      <c r="L160">
        <v>10.64</v>
      </c>
      <c r="M160" s="7">
        <v>0.6431</v>
      </c>
      <c r="N160">
        <v>120000</v>
      </c>
      <c r="O160" s="2">
        <v>45606</v>
      </c>
    </row>
    <row r="161" spans="4:15" x14ac:dyDescent="0.45">
      <c r="D161" t="s">
        <v>306</v>
      </c>
      <c r="E161" t="s">
        <v>307</v>
      </c>
      <c r="F161" t="s">
        <v>19</v>
      </c>
      <c r="G161" t="s">
        <v>35</v>
      </c>
      <c r="H161" t="s">
        <v>29</v>
      </c>
      <c r="I161">
        <v>17.34</v>
      </c>
      <c r="J161">
        <v>17.350000000000001</v>
      </c>
      <c r="K161">
        <v>15.47</v>
      </c>
      <c r="L161">
        <v>19.100000000000001</v>
      </c>
      <c r="M161" s="7">
        <v>0.83650000000000002</v>
      </c>
      <c r="N161">
        <v>130000</v>
      </c>
      <c r="O161" s="2">
        <v>46132</v>
      </c>
    </row>
    <row r="162" spans="4:15" x14ac:dyDescent="0.45">
      <c r="D162" t="s">
        <v>308</v>
      </c>
      <c r="E162" t="s">
        <v>309</v>
      </c>
      <c r="F162" t="s">
        <v>19</v>
      </c>
      <c r="G162" t="s">
        <v>32</v>
      </c>
      <c r="H162" t="s">
        <v>16</v>
      </c>
      <c r="I162">
        <v>15.66</v>
      </c>
      <c r="J162">
        <v>11.46</v>
      </c>
      <c r="K162">
        <v>11.64</v>
      </c>
      <c r="L162">
        <v>15.82</v>
      </c>
      <c r="M162" s="7">
        <v>0.91639999999999999</v>
      </c>
      <c r="N162">
        <v>100000</v>
      </c>
      <c r="O162" s="2">
        <v>45574</v>
      </c>
    </row>
    <row r="163" spans="4:15" x14ac:dyDescent="0.45">
      <c r="D163" t="s">
        <v>310</v>
      </c>
      <c r="E163" t="s">
        <v>311</v>
      </c>
      <c r="F163" t="s">
        <v>19</v>
      </c>
      <c r="G163" t="s">
        <v>35</v>
      </c>
      <c r="H163" t="s">
        <v>21</v>
      </c>
      <c r="I163">
        <v>14.71</v>
      </c>
      <c r="J163">
        <v>11.81</v>
      </c>
      <c r="K163">
        <v>8.17</v>
      </c>
      <c r="L163">
        <v>15</v>
      </c>
      <c r="M163" s="7">
        <v>0.74680000000000002</v>
      </c>
      <c r="N163">
        <v>130000</v>
      </c>
      <c r="O163" s="2">
        <v>45936</v>
      </c>
    </row>
    <row r="164" spans="4:15" x14ac:dyDescent="0.45">
      <c r="D164" t="s">
        <v>312</v>
      </c>
      <c r="E164" t="s">
        <v>13</v>
      </c>
      <c r="F164" t="s">
        <v>14</v>
      </c>
      <c r="G164" t="s">
        <v>15</v>
      </c>
      <c r="H164" t="s">
        <v>29</v>
      </c>
      <c r="I164">
        <v>7.8</v>
      </c>
      <c r="J164">
        <v>8.25</v>
      </c>
      <c r="K164">
        <v>8.6199999999999992</v>
      </c>
      <c r="L164">
        <v>7.23</v>
      </c>
      <c r="M164" s="7">
        <v>0.91080000000000005</v>
      </c>
      <c r="N164">
        <v>90000</v>
      </c>
      <c r="O164" s="2">
        <v>45722</v>
      </c>
    </row>
    <row r="165" spans="4:15" x14ac:dyDescent="0.45">
      <c r="D165" t="s">
        <v>313</v>
      </c>
      <c r="E165" t="s">
        <v>314</v>
      </c>
      <c r="F165" t="s">
        <v>14</v>
      </c>
      <c r="G165" t="s">
        <v>35</v>
      </c>
      <c r="H165" t="s">
        <v>16</v>
      </c>
      <c r="I165">
        <v>10.18</v>
      </c>
      <c r="J165">
        <v>10.91</v>
      </c>
      <c r="K165">
        <v>8.77</v>
      </c>
      <c r="L165">
        <v>12.82</v>
      </c>
      <c r="M165" s="7">
        <v>0.9526</v>
      </c>
      <c r="N165">
        <v>75000</v>
      </c>
      <c r="O165" s="2">
        <v>45685</v>
      </c>
    </row>
    <row r="166" spans="4:15" x14ac:dyDescent="0.45">
      <c r="D166" t="s">
        <v>315</v>
      </c>
      <c r="E166" t="s">
        <v>279</v>
      </c>
      <c r="F166" t="s">
        <v>14</v>
      </c>
      <c r="G166" t="s">
        <v>47</v>
      </c>
      <c r="H166" t="s">
        <v>29</v>
      </c>
      <c r="I166">
        <v>15.02</v>
      </c>
      <c r="J166">
        <v>14.73</v>
      </c>
      <c r="K166">
        <v>10.6</v>
      </c>
      <c r="L166">
        <v>14.57</v>
      </c>
      <c r="M166" s="7">
        <v>0.55000000000000004</v>
      </c>
      <c r="N166">
        <v>90000</v>
      </c>
      <c r="O166" s="2">
        <v>45565</v>
      </c>
    </row>
    <row r="167" spans="4:15" x14ac:dyDescent="0.45">
      <c r="D167" t="s">
        <v>316</v>
      </c>
      <c r="E167" t="s">
        <v>317</v>
      </c>
      <c r="F167" t="s">
        <v>19</v>
      </c>
      <c r="G167" t="s">
        <v>15</v>
      </c>
      <c r="H167" t="s">
        <v>16</v>
      </c>
      <c r="I167">
        <v>11.54</v>
      </c>
      <c r="J167">
        <v>14.85</v>
      </c>
      <c r="K167">
        <v>8.76</v>
      </c>
      <c r="L167">
        <v>11.29</v>
      </c>
      <c r="M167" s="7">
        <v>0.86670000000000003</v>
      </c>
      <c r="N167">
        <v>90000</v>
      </c>
      <c r="O167" s="2">
        <v>46166</v>
      </c>
    </row>
    <row r="168" spans="4:15" x14ac:dyDescent="0.45">
      <c r="D168" t="s">
        <v>318</v>
      </c>
      <c r="E168" t="s">
        <v>319</v>
      </c>
      <c r="F168" t="s">
        <v>14</v>
      </c>
      <c r="G168" t="s">
        <v>35</v>
      </c>
      <c r="H168" t="s">
        <v>29</v>
      </c>
      <c r="I168">
        <v>15.57</v>
      </c>
      <c r="J168">
        <v>15.62</v>
      </c>
      <c r="K168">
        <v>19.28</v>
      </c>
      <c r="L168">
        <v>15.74</v>
      </c>
      <c r="M168" s="7">
        <v>0.76029999999999998</v>
      </c>
      <c r="N168">
        <v>60000</v>
      </c>
      <c r="O168" s="2">
        <v>45836</v>
      </c>
    </row>
    <row r="169" spans="4:15" x14ac:dyDescent="0.45">
      <c r="D169" t="s">
        <v>320</v>
      </c>
      <c r="E169" t="s">
        <v>82</v>
      </c>
      <c r="F169" t="s">
        <v>14</v>
      </c>
      <c r="G169" t="s">
        <v>47</v>
      </c>
      <c r="H169" t="s">
        <v>21</v>
      </c>
      <c r="I169">
        <v>9.26</v>
      </c>
      <c r="J169">
        <v>11.82</v>
      </c>
      <c r="K169">
        <v>14.8</v>
      </c>
      <c r="L169">
        <v>11.54</v>
      </c>
      <c r="M169" s="7">
        <v>0.93049999999999999</v>
      </c>
      <c r="N169">
        <v>70000</v>
      </c>
      <c r="O169" s="2">
        <v>45775</v>
      </c>
    </row>
    <row r="170" spans="4:15" x14ac:dyDescent="0.45">
      <c r="D170" t="s">
        <v>321</v>
      </c>
      <c r="E170" t="s">
        <v>225</v>
      </c>
      <c r="F170" t="s">
        <v>14</v>
      </c>
      <c r="G170" t="s">
        <v>32</v>
      </c>
      <c r="H170" t="s">
        <v>42</v>
      </c>
      <c r="I170">
        <v>16.14</v>
      </c>
      <c r="J170">
        <v>14.35</v>
      </c>
      <c r="K170">
        <v>20</v>
      </c>
      <c r="L170">
        <v>18.850000000000001</v>
      </c>
      <c r="M170" s="7">
        <v>0.85829999999999995</v>
      </c>
      <c r="N170">
        <v>75000</v>
      </c>
      <c r="O170" s="2">
        <v>46054</v>
      </c>
    </row>
    <row r="171" spans="4:15" x14ac:dyDescent="0.45">
      <c r="D171" t="s">
        <v>322</v>
      </c>
      <c r="E171" t="s">
        <v>323</v>
      </c>
      <c r="F171" t="s">
        <v>14</v>
      </c>
      <c r="G171" t="s">
        <v>47</v>
      </c>
      <c r="H171" t="s">
        <v>21</v>
      </c>
      <c r="I171">
        <v>15.33</v>
      </c>
      <c r="J171">
        <v>18.54</v>
      </c>
      <c r="K171">
        <v>12.36</v>
      </c>
      <c r="L171">
        <v>13.48</v>
      </c>
      <c r="M171" s="7">
        <v>0.8236</v>
      </c>
      <c r="N171">
        <v>90000</v>
      </c>
      <c r="O171" s="2">
        <v>45563</v>
      </c>
    </row>
    <row r="172" spans="4:15" x14ac:dyDescent="0.45">
      <c r="D172" t="s">
        <v>324</v>
      </c>
      <c r="E172" t="s">
        <v>325</v>
      </c>
      <c r="F172" t="s">
        <v>14</v>
      </c>
      <c r="G172" t="s">
        <v>32</v>
      </c>
      <c r="H172" t="s">
        <v>42</v>
      </c>
      <c r="I172">
        <v>18.61</v>
      </c>
      <c r="J172">
        <v>14.67</v>
      </c>
      <c r="K172">
        <v>14.29</v>
      </c>
      <c r="L172">
        <v>11.2</v>
      </c>
      <c r="M172" s="7">
        <v>0.90839999999999999</v>
      </c>
      <c r="N172">
        <v>60000</v>
      </c>
      <c r="O172" s="2">
        <v>45931</v>
      </c>
    </row>
    <row r="173" spans="4:15" x14ac:dyDescent="0.45">
      <c r="D173" t="s">
        <v>326</v>
      </c>
      <c r="E173" t="s">
        <v>155</v>
      </c>
      <c r="F173" t="s">
        <v>14</v>
      </c>
      <c r="G173" t="s">
        <v>15</v>
      </c>
      <c r="H173" t="s">
        <v>21</v>
      </c>
      <c r="I173">
        <v>13.39</v>
      </c>
      <c r="J173">
        <v>14.71</v>
      </c>
      <c r="K173">
        <v>10.61</v>
      </c>
      <c r="L173">
        <v>9.44</v>
      </c>
      <c r="M173" s="7">
        <v>0.91259999999999997</v>
      </c>
      <c r="N173">
        <v>110000</v>
      </c>
      <c r="O173" s="2">
        <v>45882</v>
      </c>
    </row>
    <row r="174" spans="4:15" x14ac:dyDescent="0.45">
      <c r="D174" t="s">
        <v>327</v>
      </c>
      <c r="E174" t="s">
        <v>307</v>
      </c>
      <c r="F174" t="s">
        <v>19</v>
      </c>
      <c r="G174" t="s">
        <v>28</v>
      </c>
      <c r="H174" t="s">
        <v>29</v>
      </c>
      <c r="I174">
        <v>11.83</v>
      </c>
      <c r="J174">
        <v>10.96</v>
      </c>
      <c r="K174">
        <v>12.97</v>
      </c>
      <c r="L174">
        <v>15.24</v>
      </c>
      <c r="M174" s="7">
        <v>0.94269999999999998</v>
      </c>
      <c r="N174">
        <v>60000</v>
      </c>
      <c r="O174" s="2">
        <v>45923</v>
      </c>
    </row>
    <row r="175" spans="4:15" x14ac:dyDescent="0.45">
      <c r="D175" t="s">
        <v>328</v>
      </c>
      <c r="E175" t="s">
        <v>113</v>
      </c>
      <c r="F175" t="s">
        <v>19</v>
      </c>
      <c r="G175" t="s">
        <v>32</v>
      </c>
      <c r="H175" t="s">
        <v>21</v>
      </c>
      <c r="I175">
        <v>15.71</v>
      </c>
      <c r="J175">
        <v>18.71</v>
      </c>
      <c r="K175">
        <v>17.37</v>
      </c>
      <c r="L175">
        <v>17.010000000000002</v>
      </c>
      <c r="M175" s="7">
        <v>0.85809999999999997</v>
      </c>
      <c r="N175">
        <v>130000</v>
      </c>
      <c r="O175" s="2">
        <v>45622</v>
      </c>
    </row>
    <row r="176" spans="4:15" x14ac:dyDescent="0.45">
      <c r="D176" t="s">
        <v>329</v>
      </c>
      <c r="E176" t="s">
        <v>98</v>
      </c>
      <c r="F176" t="s">
        <v>19</v>
      </c>
      <c r="G176" t="s">
        <v>47</v>
      </c>
      <c r="H176" t="s">
        <v>16</v>
      </c>
      <c r="I176">
        <v>8.2200000000000006</v>
      </c>
      <c r="J176">
        <v>8.5299999999999994</v>
      </c>
      <c r="K176">
        <v>8.23</v>
      </c>
      <c r="L176">
        <v>7.63</v>
      </c>
      <c r="M176" s="7">
        <v>0.71509999999999996</v>
      </c>
      <c r="N176">
        <v>100000</v>
      </c>
      <c r="O176" s="2">
        <v>46202</v>
      </c>
    </row>
    <row r="177" spans="4:15" x14ac:dyDescent="0.45">
      <c r="D177" t="s">
        <v>330</v>
      </c>
      <c r="E177" t="s">
        <v>331</v>
      </c>
      <c r="F177" t="s">
        <v>14</v>
      </c>
      <c r="G177" t="s">
        <v>32</v>
      </c>
      <c r="H177" t="s">
        <v>29</v>
      </c>
      <c r="I177">
        <v>4.01</v>
      </c>
      <c r="J177">
        <v>7.74</v>
      </c>
      <c r="K177">
        <v>10.33</v>
      </c>
      <c r="L177">
        <v>10.52</v>
      </c>
      <c r="M177" s="7">
        <v>0.93520000000000003</v>
      </c>
      <c r="N177">
        <v>75000</v>
      </c>
      <c r="O177" s="2">
        <v>45702</v>
      </c>
    </row>
    <row r="178" spans="4:15" x14ac:dyDescent="0.45">
      <c r="D178" t="s">
        <v>332</v>
      </c>
      <c r="E178" t="s">
        <v>140</v>
      </c>
      <c r="F178" t="s">
        <v>19</v>
      </c>
      <c r="G178" t="s">
        <v>35</v>
      </c>
      <c r="H178" t="s">
        <v>42</v>
      </c>
      <c r="I178">
        <v>13.19</v>
      </c>
      <c r="J178">
        <v>14.75</v>
      </c>
      <c r="K178">
        <v>14.36</v>
      </c>
      <c r="L178">
        <v>9</v>
      </c>
      <c r="M178" s="7">
        <v>0.83160000000000001</v>
      </c>
      <c r="N178">
        <v>80000</v>
      </c>
      <c r="O178" s="2">
        <v>46010</v>
      </c>
    </row>
    <row r="179" spans="4:15" x14ac:dyDescent="0.45">
      <c r="D179" t="s">
        <v>333</v>
      </c>
      <c r="E179" t="s">
        <v>334</v>
      </c>
      <c r="F179" t="s">
        <v>14</v>
      </c>
      <c r="G179" t="s">
        <v>35</v>
      </c>
      <c r="H179" t="s">
        <v>29</v>
      </c>
      <c r="I179">
        <v>15.34</v>
      </c>
      <c r="J179">
        <v>19.03</v>
      </c>
      <c r="K179">
        <v>11.89</v>
      </c>
      <c r="L179">
        <v>13.34</v>
      </c>
      <c r="M179" s="7">
        <v>0.91769999999999996</v>
      </c>
      <c r="N179">
        <v>100000</v>
      </c>
      <c r="O179" s="2">
        <v>46058</v>
      </c>
    </row>
    <row r="180" spans="4:15" x14ac:dyDescent="0.45">
      <c r="D180" t="s">
        <v>335</v>
      </c>
      <c r="E180" t="s">
        <v>336</v>
      </c>
      <c r="F180" t="s">
        <v>19</v>
      </c>
      <c r="G180" t="s">
        <v>32</v>
      </c>
      <c r="H180" t="s">
        <v>29</v>
      </c>
      <c r="I180">
        <v>16.39</v>
      </c>
      <c r="J180">
        <v>13.75</v>
      </c>
      <c r="K180">
        <v>17.829999999999998</v>
      </c>
      <c r="L180">
        <v>14.96</v>
      </c>
      <c r="M180" s="7">
        <v>0.77470000000000006</v>
      </c>
      <c r="N180">
        <v>50000</v>
      </c>
      <c r="O180" s="2">
        <v>45776</v>
      </c>
    </row>
    <row r="181" spans="4:15" x14ac:dyDescent="0.45">
      <c r="D181" t="s">
        <v>337</v>
      </c>
      <c r="E181" t="s">
        <v>338</v>
      </c>
      <c r="F181" t="s">
        <v>19</v>
      </c>
      <c r="G181" t="s">
        <v>32</v>
      </c>
      <c r="H181" t="s">
        <v>16</v>
      </c>
      <c r="I181">
        <v>14.34</v>
      </c>
      <c r="J181">
        <v>12.98</v>
      </c>
      <c r="K181">
        <v>14.93</v>
      </c>
      <c r="L181">
        <v>15.56</v>
      </c>
      <c r="M181" s="7">
        <v>0.74880000000000002</v>
      </c>
      <c r="N181">
        <v>100000</v>
      </c>
      <c r="O181" s="2">
        <v>45627</v>
      </c>
    </row>
    <row r="182" spans="4:15" x14ac:dyDescent="0.45">
      <c r="D182" t="s">
        <v>339</v>
      </c>
      <c r="E182" t="s">
        <v>340</v>
      </c>
      <c r="F182" t="s">
        <v>19</v>
      </c>
      <c r="G182" t="s">
        <v>47</v>
      </c>
      <c r="H182" t="s">
        <v>16</v>
      </c>
      <c r="I182">
        <v>13.67</v>
      </c>
      <c r="J182">
        <v>10.89</v>
      </c>
      <c r="K182">
        <v>11.91</v>
      </c>
      <c r="L182">
        <v>15.05</v>
      </c>
      <c r="M182" s="7">
        <v>0.74060000000000004</v>
      </c>
      <c r="N182">
        <v>90000</v>
      </c>
      <c r="O182" s="2">
        <v>45743</v>
      </c>
    </row>
    <row r="183" spans="4:15" x14ac:dyDescent="0.45">
      <c r="D183" t="s">
        <v>341</v>
      </c>
      <c r="E183" t="s">
        <v>225</v>
      </c>
      <c r="F183" t="s">
        <v>14</v>
      </c>
      <c r="G183" t="s">
        <v>35</v>
      </c>
      <c r="H183" t="s">
        <v>42</v>
      </c>
      <c r="I183">
        <v>16.73</v>
      </c>
      <c r="J183">
        <v>20</v>
      </c>
      <c r="K183">
        <v>14.99</v>
      </c>
      <c r="L183">
        <v>13.33</v>
      </c>
      <c r="M183" s="7">
        <v>0.88170000000000004</v>
      </c>
      <c r="N183">
        <v>70000</v>
      </c>
      <c r="O183" s="2">
        <v>46100</v>
      </c>
    </row>
    <row r="184" spans="4:15" x14ac:dyDescent="0.45">
      <c r="D184" t="s">
        <v>342</v>
      </c>
      <c r="E184" t="s">
        <v>229</v>
      </c>
      <c r="F184" t="s">
        <v>14</v>
      </c>
      <c r="G184" t="s">
        <v>20</v>
      </c>
      <c r="H184" t="s">
        <v>21</v>
      </c>
      <c r="I184">
        <v>14.67</v>
      </c>
      <c r="J184">
        <v>19.079999999999998</v>
      </c>
      <c r="K184">
        <v>15.35</v>
      </c>
      <c r="L184">
        <v>17.54</v>
      </c>
      <c r="M184" s="7">
        <v>0.83099999999999996</v>
      </c>
      <c r="N184">
        <v>120000</v>
      </c>
      <c r="O184" s="2">
        <v>46170</v>
      </c>
    </row>
    <row r="185" spans="4:15" x14ac:dyDescent="0.45">
      <c r="D185" t="s">
        <v>343</v>
      </c>
      <c r="E185" t="s">
        <v>264</v>
      </c>
      <c r="F185" t="s">
        <v>19</v>
      </c>
      <c r="G185" t="s">
        <v>20</v>
      </c>
      <c r="H185" t="s">
        <v>16</v>
      </c>
      <c r="I185">
        <v>18.09</v>
      </c>
      <c r="J185">
        <v>14.12</v>
      </c>
      <c r="K185">
        <v>18.05</v>
      </c>
      <c r="L185">
        <v>16.18</v>
      </c>
      <c r="M185" s="7">
        <v>0.90920000000000001</v>
      </c>
      <c r="N185">
        <v>90000</v>
      </c>
      <c r="O185" s="2">
        <v>46191</v>
      </c>
    </row>
    <row r="186" spans="4:15" x14ac:dyDescent="0.45">
      <c r="D186" t="s">
        <v>344</v>
      </c>
      <c r="E186" t="s">
        <v>345</v>
      </c>
      <c r="F186" t="s">
        <v>14</v>
      </c>
      <c r="G186" t="s">
        <v>32</v>
      </c>
      <c r="H186" t="s">
        <v>29</v>
      </c>
      <c r="I186">
        <v>15.42</v>
      </c>
      <c r="J186">
        <v>16.68</v>
      </c>
      <c r="K186">
        <v>17.07</v>
      </c>
      <c r="L186">
        <v>15.69</v>
      </c>
      <c r="M186" s="7">
        <v>0.89990000000000003</v>
      </c>
      <c r="N186">
        <v>60000</v>
      </c>
      <c r="O186" s="2">
        <v>45694</v>
      </c>
    </row>
    <row r="187" spans="4:15" x14ac:dyDescent="0.45">
      <c r="D187" t="s">
        <v>346</v>
      </c>
      <c r="E187" t="s">
        <v>109</v>
      </c>
      <c r="F187" t="s">
        <v>14</v>
      </c>
      <c r="G187" t="s">
        <v>28</v>
      </c>
      <c r="H187" t="s">
        <v>21</v>
      </c>
      <c r="I187">
        <v>15.97</v>
      </c>
      <c r="J187">
        <v>12.87</v>
      </c>
      <c r="K187">
        <v>14.85</v>
      </c>
      <c r="L187">
        <v>13.86</v>
      </c>
      <c r="M187" s="7">
        <v>0.77890000000000004</v>
      </c>
      <c r="N187">
        <v>100000</v>
      </c>
      <c r="O187" s="2">
        <v>45960</v>
      </c>
    </row>
    <row r="188" spans="4:15" x14ac:dyDescent="0.45">
      <c r="D188" t="s">
        <v>347</v>
      </c>
      <c r="E188" t="s">
        <v>348</v>
      </c>
      <c r="F188" t="s">
        <v>14</v>
      </c>
      <c r="G188" t="s">
        <v>47</v>
      </c>
      <c r="H188" t="s">
        <v>21</v>
      </c>
      <c r="I188">
        <v>6.61</v>
      </c>
      <c r="J188">
        <v>14.29</v>
      </c>
      <c r="K188">
        <v>11.55</v>
      </c>
      <c r="L188">
        <v>12.75</v>
      </c>
      <c r="M188" s="7">
        <v>0.77200000000000002</v>
      </c>
      <c r="N188">
        <v>80000</v>
      </c>
      <c r="O188" s="2">
        <v>45641</v>
      </c>
    </row>
    <row r="189" spans="4:15" x14ac:dyDescent="0.45">
      <c r="D189" t="s">
        <v>349</v>
      </c>
      <c r="E189" t="s">
        <v>41</v>
      </c>
      <c r="F189" t="s">
        <v>14</v>
      </c>
      <c r="G189" t="s">
        <v>20</v>
      </c>
      <c r="H189" t="s">
        <v>16</v>
      </c>
      <c r="I189">
        <v>18.260000000000002</v>
      </c>
      <c r="J189">
        <v>15.02</v>
      </c>
      <c r="K189">
        <v>20</v>
      </c>
      <c r="L189">
        <v>16.11</v>
      </c>
      <c r="M189" s="7">
        <v>0.83209999999999995</v>
      </c>
      <c r="N189">
        <v>110000</v>
      </c>
      <c r="O189" s="2">
        <v>46033</v>
      </c>
    </row>
    <row r="190" spans="4:15" x14ac:dyDescent="0.45">
      <c r="D190" t="s">
        <v>350</v>
      </c>
      <c r="E190" t="s">
        <v>351</v>
      </c>
      <c r="F190" t="s">
        <v>14</v>
      </c>
      <c r="G190" t="s">
        <v>28</v>
      </c>
      <c r="H190" t="s">
        <v>42</v>
      </c>
      <c r="I190">
        <v>17.04</v>
      </c>
      <c r="J190">
        <v>13.64</v>
      </c>
      <c r="K190">
        <v>16.88</v>
      </c>
      <c r="L190">
        <v>14.99</v>
      </c>
      <c r="M190" s="7">
        <v>0.90059999999999996</v>
      </c>
      <c r="N190">
        <v>85000</v>
      </c>
      <c r="O190" s="2">
        <v>45827</v>
      </c>
    </row>
    <row r="191" spans="4:15" x14ac:dyDescent="0.45">
      <c r="D191" t="s">
        <v>352</v>
      </c>
      <c r="E191" t="s">
        <v>353</v>
      </c>
      <c r="F191" t="s">
        <v>14</v>
      </c>
      <c r="G191" t="s">
        <v>32</v>
      </c>
      <c r="H191" t="s">
        <v>16</v>
      </c>
      <c r="I191">
        <v>13.57</v>
      </c>
      <c r="J191">
        <v>15.24</v>
      </c>
      <c r="K191">
        <v>12.12</v>
      </c>
      <c r="L191">
        <v>14.64</v>
      </c>
      <c r="M191" s="7">
        <v>0.96360000000000001</v>
      </c>
      <c r="N191">
        <v>130000</v>
      </c>
      <c r="O191" s="2">
        <v>46035</v>
      </c>
    </row>
    <row r="192" spans="4:15" x14ac:dyDescent="0.45">
      <c r="D192" t="s">
        <v>354</v>
      </c>
      <c r="E192" t="s">
        <v>264</v>
      </c>
      <c r="F192" t="s">
        <v>19</v>
      </c>
      <c r="G192" t="s">
        <v>20</v>
      </c>
      <c r="H192" t="s">
        <v>16</v>
      </c>
      <c r="I192">
        <v>18.850000000000001</v>
      </c>
      <c r="J192">
        <v>17.61</v>
      </c>
      <c r="K192">
        <v>17.22</v>
      </c>
      <c r="L192">
        <v>15.36</v>
      </c>
      <c r="M192" s="7">
        <v>0.6754</v>
      </c>
      <c r="N192">
        <v>130000</v>
      </c>
      <c r="O192" s="2">
        <v>46015</v>
      </c>
    </row>
    <row r="193" spans="4:15" x14ac:dyDescent="0.45">
      <c r="D193" t="s">
        <v>355</v>
      </c>
      <c r="E193" t="s">
        <v>356</v>
      </c>
      <c r="F193" t="s">
        <v>19</v>
      </c>
      <c r="G193" t="s">
        <v>28</v>
      </c>
      <c r="H193" t="s">
        <v>16</v>
      </c>
      <c r="I193">
        <v>7.87</v>
      </c>
      <c r="J193">
        <v>6.52</v>
      </c>
      <c r="K193">
        <v>6.37</v>
      </c>
      <c r="L193">
        <v>8.7200000000000006</v>
      </c>
      <c r="M193" s="7">
        <v>0.97640000000000005</v>
      </c>
      <c r="N193">
        <v>50000</v>
      </c>
      <c r="O193" s="2">
        <v>46230</v>
      </c>
    </row>
    <row r="194" spans="4:15" x14ac:dyDescent="0.45">
      <c r="D194" t="s">
        <v>357</v>
      </c>
      <c r="E194" t="s">
        <v>121</v>
      </c>
      <c r="F194" t="s">
        <v>19</v>
      </c>
      <c r="G194" t="s">
        <v>15</v>
      </c>
      <c r="H194" t="s">
        <v>42</v>
      </c>
      <c r="I194">
        <v>8.1199999999999992</v>
      </c>
      <c r="J194">
        <v>9.9499999999999993</v>
      </c>
      <c r="K194">
        <v>10.050000000000001</v>
      </c>
      <c r="L194">
        <v>12</v>
      </c>
      <c r="M194" s="7">
        <v>0.91849999999999998</v>
      </c>
      <c r="N194">
        <v>80000</v>
      </c>
      <c r="O194" s="2">
        <v>45878</v>
      </c>
    </row>
    <row r="195" spans="4:15" x14ac:dyDescent="0.45">
      <c r="D195" t="s">
        <v>358</v>
      </c>
      <c r="E195" t="s">
        <v>94</v>
      </c>
      <c r="F195" t="s">
        <v>14</v>
      </c>
      <c r="G195" t="s">
        <v>32</v>
      </c>
      <c r="H195" t="s">
        <v>16</v>
      </c>
      <c r="I195">
        <v>11.38</v>
      </c>
      <c r="J195">
        <v>12.33</v>
      </c>
      <c r="K195">
        <v>8.83</v>
      </c>
      <c r="L195">
        <v>10.49</v>
      </c>
      <c r="M195" s="7">
        <v>0.72919999999999996</v>
      </c>
      <c r="N195">
        <v>70000</v>
      </c>
      <c r="O195" s="2">
        <v>45775</v>
      </c>
    </row>
    <row r="196" spans="4:15" x14ac:dyDescent="0.45">
      <c r="D196" t="s">
        <v>359</v>
      </c>
      <c r="E196" t="s">
        <v>360</v>
      </c>
      <c r="F196" t="s">
        <v>19</v>
      </c>
      <c r="G196" t="s">
        <v>47</v>
      </c>
      <c r="H196" t="s">
        <v>29</v>
      </c>
      <c r="I196">
        <v>10.7</v>
      </c>
      <c r="J196">
        <v>16.510000000000002</v>
      </c>
      <c r="K196">
        <v>13.65</v>
      </c>
      <c r="L196">
        <v>9.1</v>
      </c>
      <c r="M196" s="7">
        <v>0.76680000000000004</v>
      </c>
      <c r="N196">
        <v>80000</v>
      </c>
      <c r="O196" s="2">
        <v>45904</v>
      </c>
    </row>
    <row r="197" spans="4:15" x14ac:dyDescent="0.45">
      <c r="D197" t="s">
        <v>361</v>
      </c>
      <c r="E197" t="s">
        <v>325</v>
      </c>
      <c r="F197" t="s">
        <v>14</v>
      </c>
      <c r="G197" t="s">
        <v>35</v>
      </c>
      <c r="H197" t="s">
        <v>16</v>
      </c>
      <c r="I197">
        <v>11.45</v>
      </c>
      <c r="J197">
        <v>14.48</v>
      </c>
      <c r="K197">
        <v>16.18</v>
      </c>
      <c r="L197">
        <v>12.43</v>
      </c>
      <c r="M197" s="7">
        <v>0.74980000000000002</v>
      </c>
      <c r="N197">
        <v>60000</v>
      </c>
      <c r="O197" s="2">
        <v>45649</v>
      </c>
    </row>
    <row r="198" spans="4:15" x14ac:dyDescent="0.45">
      <c r="D198" t="s">
        <v>362</v>
      </c>
      <c r="E198" t="s">
        <v>277</v>
      </c>
      <c r="F198" t="s">
        <v>14</v>
      </c>
      <c r="G198" t="s">
        <v>32</v>
      </c>
      <c r="H198" t="s">
        <v>29</v>
      </c>
      <c r="I198">
        <v>11.76</v>
      </c>
      <c r="J198">
        <v>11.45</v>
      </c>
      <c r="K198">
        <v>6.59</v>
      </c>
      <c r="L198">
        <v>9.61</v>
      </c>
      <c r="M198" s="7">
        <v>0.8337</v>
      </c>
      <c r="N198">
        <v>85000</v>
      </c>
      <c r="O198" s="2">
        <v>45614</v>
      </c>
    </row>
    <row r="199" spans="4:15" x14ac:dyDescent="0.45">
      <c r="D199" t="s">
        <v>363</v>
      </c>
      <c r="E199" t="s">
        <v>364</v>
      </c>
      <c r="F199" t="s">
        <v>14</v>
      </c>
      <c r="G199" t="s">
        <v>32</v>
      </c>
      <c r="H199" t="s">
        <v>42</v>
      </c>
      <c r="I199">
        <v>12.89</v>
      </c>
      <c r="J199">
        <v>10.7</v>
      </c>
      <c r="K199">
        <v>8.4600000000000009</v>
      </c>
      <c r="L199">
        <v>8.1199999999999992</v>
      </c>
      <c r="M199" s="7">
        <v>0.94599999999999995</v>
      </c>
      <c r="N199">
        <v>60000</v>
      </c>
      <c r="O199" s="2">
        <v>45899</v>
      </c>
    </row>
    <row r="200" spans="4:15" x14ac:dyDescent="0.45">
      <c r="D200" t="s">
        <v>365</v>
      </c>
      <c r="E200" t="s">
        <v>366</v>
      </c>
      <c r="F200" t="s">
        <v>14</v>
      </c>
      <c r="G200" t="s">
        <v>20</v>
      </c>
      <c r="H200" t="s">
        <v>29</v>
      </c>
      <c r="I200">
        <v>9.5399999999999991</v>
      </c>
      <c r="J200">
        <v>9.93</v>
      </c>
      <c r="K200">
        <v>10.23</v>
      </c>
      <c r="L200">
        <v>10.199999999999999</v>
      </c>
      <c r="M200" s="7">
        <v>0.93899999999999995</v>
      </c>
      <c r="N200">
        <v>90000</v>
      </c>
      <c r="O200" s="2">
        <v>46113</v>
      </c>
    </row>
    <row r="201" spans="4:15" x14ac:dyDescent="0.45">
      <c r="D201" t="s">
        <v>367</v>
      </c>
      <c r="E201" t="s">
        <v>266</v>
      </c>
      <c r="F201" t="s">
        <v>19</v>
      </c>
      <c r="G201" t="s">
        <v>32</v>
      </c>
      <c r="H201" t="s">
        <v>29</v>
      </c>
      <c r="I201">
        <v>18.77</v>
      </c>
      <c r="J201">
        <v>20</v>
      </c>
      <c r="K201">
        <v>19.62</v>
      </c>
      <c r="L201">
        <v>17.18</v>
      </c>
      <c r="M201" s="7">
        <v>0.61180000000000001</v>
      </c>
      <c r="N201">
        <v>80000</v>
      </c>
      <c r="O201" s="2">
        <v>45909</v>
      </c>
    </row>
    <row r="202" spans="4:15" x14ac:dyDescent="0.45">
      <c r="D202" t="s">
        <v>368</v>
      </c>
      <c r="E202" t="s">
        <v>188</v>
      </c>
      <c r="F202" t="s">
        <v>14</v>
      </c>
      <c r="G202" t="s">
        <v>15</v>
      </c>
      <c r="H202" t="s">
        <v>42</v>
      </c>
      <c r="I202">
        <v>17.12</v>
      </c>
      <c r="J202">
        <v>19.32</v>
      </c>
      <c r="K202">
        <v>20</v>
      </c>
      <c r="L202">
        <v>19.78</v>
      </c>
      <c r="M202" s="7">
        <v>0.67989999999999995</v>
      </c>
      <c r="N202">
        <v>130000</v>
      </c>
      <c r="O202" s="2">
        <v>46083</v>
      </c>
    </row>
    <row r="203" spans="4:15" x14ac:dyDescent="0.45">
      <c r="D203" t="s">
        <v>369</v>
      </c>
      <c r="E203" t="s">
        <v>370</v>
      </c>
      <c r="F203" t="s">
        <v>19</v>
      </c>
      <c r="G203" t="s">
        <v>20</v>
      </c>
      <c r="H203" t="s">
        <v>42</v>
      </c>
      <c r="I203">
        <v>13.96</v>
      </c>
      <c r="J203">
        <v>9.6199999999999992</v>
      </c>
      <c r="K203">
        <v>14.75</v>
      </c>
      <c r="L203">
        <v>12.61</v>
      </c>
      <c r="M203" s="7">
        <v>0.74199999999999999</v>
      </c>
      <c r="N203">
        <v>120000</v>
      </c>
      <c r="O203" s="2">
        <v>45660</v>
      </c>
    </row>
    <row r="204" spans="4:15" x14ac:dyDescent="0.45">
      <c r="D204" t="s">
        <v>371</v>
      </c>
      <c r="E204" t="s">
        <v>372</v>
      </c>
      <c r="F204" t="s">
        <v>14</v>
      </c>
      <c r="G204" t="s">
        <v>28</v>
      </c>
      <c r="H204" t="s">
        <v>16</v>
      </c>
      <c r="I204">
        <v>10.28</v>
      </c>
      <c r="J204">
        <v>12.16</v>
      </c>
      <c r="K204">
        <v>14.76</v>
      </c>
      <c r="L204">
        <v>8.76</v>
      </c>
      <c r="M204" s="7">
        <v>0.77929999999999999</v>
      </c>
      <c r="N204">
        <v>90000</v>
      </c>
      <c r="O204" s="2">
        <v>45850</v>
      </c>
    </row>
    <row r="205" spans="4:15" x14ac:dyDescent="0.45">
      <c r="D205" t="s">
        <v>373</v>
      </c>
      <c r="E205" t="s">
        <v>374</v>
      </c>
      <c r="F205" t="s">
        <v>19</v>
      </c>
      <c r="G205" t="s">
        <v>28</v>
      </c>
      <c r="H205" t="s">
        <v>21</v>
      </c>
      <c r="I205">
        <v>11.07</v>
      </c>
      <c r="J205">
        <v>10.5</v>
      </c>
      <c r="K205">
        <v>9.9</v>
      </c>
      <c r="L205">
        <v>10.96</v>
      </c>
      <c r="M205" s="7">
        <v>0.89129999999999998</v>
      </c>
      <c r="N205">
        <v>80000</v>
      </c>
      <c r="O205" s="2">
        <v>45965</v>
      </c>
    </row>
    <row r="206" spans="4:15" x14ac:dyDescent="0.45">
      <c r="D206" t="s">
        <v>375</v>
      </c>
      <c r="E206" t="s">
        <v>376</v>
      </c>
      <c r="F206" t="s">
        <v>14</v>
      </c>
      <c r="G206" t="s">
        <v>47</v>
      </c>
      <c r="H206" t="s">
        <v>21</v>
      </c>
      <c r="I206">
        <v>9.8000000000000007</v>
      </c>
      <c r="J206">
        <v>7.43</v>
      </c>
      <c r="K206">
        <v>7.73</v>
      </c>
      <c r="L206">
        <v>7.93</v>
      </c>
      <c r="M206" s="7">
        <v>0.57250000000000001</v>
      </c>
      <c r="N206">
        <v>100000</v>
      </c>
      <c r="O206" s="2">
        <v>45779</v>
      </c>
    </row>
    <row r="207" spans="4:15" x14ac:dyDescent="0.45">
      <c r="D207" t="s">
        <v>377</v>
      </c>
      <c r="E207" t="s">
        <v>372</v>
      </c>
      <c r="F207" t="s">
        <v>14</v>
      </c>
      <c r="G207" t="s">
        <v>15</v>
      </c>
      <c r="H207" t="s">
        <v>42</v>
      </c>
      <c r="I207">
        <v>12.98</v>
      </c>
      <c r="J207">
        <v>16.829999999999998</v>
      </c>
      <c r="K207">
        <v>10.18</v>
      </c>
      <c r="L207">
        <v>14.21</v>
      </c>
      <c r="M207" s="7">
        <v>0.86299999999999999</v>
      </c>
      <c r="N207">
        <v>100000</v>
      </c>
      <c r="O207" s="2">
        <v>45545</v>
      </c>
    </row>
    <row r="208" spans="4:15" x14ac:dyDescent="0.45">
      <c r="D208" t="s">
        <v>378</v>
      </c>
      <c r="E208" t="s">
        <v>123</v>
      </c>
      <c r="F208" t="s">
        <v>19</v>
      </c>
      <c r="G208" t="s">
        <v>15</v>
      </c>
      <c r="H208" t="s">
        <v>42</v>
      </c>
      <c r="I208">
        <v>12.93</v>
      </c>
      <c r="J208">
        <v>12.16</v>
      </c>
      <c r="K208">
        <v>12.63</v>
      </c>
      <c r="L208">
        <v>9.74</v>
      </c>
      <c r="M208" s="7">
        <v>0.97829999999999995</v>
      </c>
      <c r="N208">
        <v>60000</v>
      </c>
      <c r="O208" s="2">
        <v>45587</v>
      </c>
    </row>
    <row r="209" spans="4:15" x14ac:dyDescent="0.45">
      <c r="D209" t="s">
        <v>379</v>
      </c>
      <c r="E209" t="s">
        <v>380</v>
      </c>
      <c r="F209" t="s">
        <v>19</v>
      </c>
      <c r="G209" t="s">
        <v>28</v>
      </c>
      <c r="H209" t="s">
        <v>42</v>
      </c>
      <c r="I209">
        <v>12.59</v>
      </c>
      <c r="J209">
        <v>16.68</v>
      </c>
      <c r="K209">
        <v>14.54</v>
      </c>
      <c r="L209">
        <v>11.4</v>
      </c>
      <c r="M209" s="7">
        <v>0.98960000000000004</v>
      </c>
      <c r="N209">
        <v>80000</v>
      </c>
      <c r="O209" s="2">
        <v>46185</v>
      </c>
    </row>
    <row r="210" spans="4:15" x14ac:dyDescent="0.45">
      <c r="D210" t="s">
        <v>381</v>
      </c>
      <c r="E210" t="s">
        <v>382</v>
      </c>
      <c r="F210" t="s">
        <v>14</v>
      </c>
      <c r="G210" t="s">
        <v>47</v>
      </c>
      <c r="H210" t="s">
        <v>29</v>
      </c>
      <c r="I210">
        <v>8.5500000000000007</v>
      </c>
      <c r="J210">
        <v>10</v>
      </c>
      <c r="K210">
        <v>12.05</v>
      </c>
      <c r="L210">
        <v>7.22</v>
      </c>
      <c r="M210" s="7">
        <v>0.90839999999999999</v>
      </c>
      <c r="N210">
        <v>130000</v>
      </c>
      <c r="O210" s="2">
        <v>45959</v>
      </c>
    </row>
    <row r="211" spans="4:15" x14ac:dyDescent="0.45">
      <c r="D211" t="s">
        <v>383</v>
      </c>
      <c r="E211" t="s">
        <v>31</v>
      </c>
      <c r="F211" t="s">
        <v>19</v>
      </c>
      <c r="G211" t="s">
        <v>47</v>
      </c>
      <c r="H211" t="s">
        <v>29</v>
      </c>
      <c r="I211">
        <v>9.2200000000000006</v>
      </c>
      <c r="J211">
        <v>11.95</v>
      </c>
      <c r="K211">
        <v>11.1</v>
      </c>
      <c r="L211">
        <v>10.08</v>
      </c>
      <c r="M211" s="7">
        <v>0.64800000000000002</v>
      </c>
      <c r="N211">
        <v>75000</v>
      </c>
      <c r="O211" s="2">
        <v>45721</v>
      </c>
    </row>
    <row r="212" spans="4:15" x14ac:dyDescent="0.45">
      <c r="D212" t="s">
        <v>384</v>
      </c>
      <c r="E212" t="s">
        <v>155</v>
      </c>
      <c r="F212" t="s">
        <v>14</v>
      </c>
      <c r="G212" t="s">
        <v>20</v>
      </c>
      <c r="H212" t="s">
        <v>29</v>
      </c>
      <c r="I212">
        <v>16.149999999999999</v>
      </c>
      <c r="J212">
        <v>12.26</v>
      </c>
      <c r="K212">
        <v>13.8</v>
      </c>
      <c r="L212">
        <v>13.86</v>
      </c>
      <c r="M212" s="7">
        <v>0.79520000000000002</v>
      </c>
      <c r="N212">
        <v>50000</v>
      </c>
      <c r="O212" s="2">
        <v>45717</v>
      </c>
    </row>
    <row r="213" spans="4:15" x14ac:dyDescent="0.45">
      <c r="D213" t="s">
        <v>385</v>
      </c>
      <c r="E213" t="s">
        <v>386</v>
      </c>
      <c r="F213" t="s">
        <v>19</v>
      </c>
      <c r="G213" t="s">
        <v>20</v>
      </c>
      <c r="H213" t="s">
        <v>16</v>
      </c>
      <c r="I213">
        <v>12.84</v>
      </c>
      <c r="J213">
        <v>14.95</v>
      </c>
      <c r="K213">
        <v>15.1</v>
      </c>
      <c r="L213">
        <v>14.75</v>
      </c>
      <c r="M213" s="7">
        <v>0.76449999999999996</v>
      </c>
      <c r="N213">
        <v>120000</v>
      </c>
      <c r="O213" s="2">
        <v>45563</v>
      </c>
    </row>
    <row r="214" spans="4:15" x14ac:dyDescent="0.45">
      <c r="D214" t="s">
        <v>387</v>
      </c>
      <c r="E214" t="s">
        <v>107</v>
      </c>
      <c r="F214" t="s">
        <v>19</v>
      </c>
      <c r="G214" t="s">
        <v>20</v>
      </c>
      <c r="H214" t="s">
        <v>21</v>
      </c>
      <c r="I214">
        <v>15.44</v>
      </c>
      <c r="J214">
        <v>15.1</v>
      </c>
      <c r="K214">
        <v>16.829999999999998</v>
      </c>
      <c r="L214">
        <v>14.15</v>
      </c>
      <c r="M214" s="7">
        <v>0.84589999999999999</v>
      </c>
      <c r="N214">
        <v>130000</v>
      </c>
      <c r="O214" s="2">
        <v>46197</v>
      </c>
    </row>
    <row r="215" spans="4:15" x14ac:dyDescent="0.45">
      <c r="D215" t="s">
        <v>388</v>
      </c>
      <c r="E215" t="s">
        <v>13</v>
      </c>
      <c r="F215" t="s">
        <v>14</v>
      </c>
      <c r="G215" t="s">
        <v>32</v>
      </c>
      <c r="H215" t="s">
        <v>29</v>
      </c>
      <c r="I215">
        <v>9.65</v>
      </c>
      <c r="J215">
        <v>7.19</v>
      </c>
      <c r="K215">
        <v>6.77</v>
      </c>
      <c r="L215">
        <v>8.77</v>
      </c>
      <c r="M215" s="7">
        <v>0.97270000000000001</v>
      </c>
      <c r="N215">
        <v>100000</v>
      </c>
      <c r="O215" s="2">
        <v>45611</v>
      </c>
    </row>
    <row r="216" spans="4:15" x14ac:dyDescent="0.45">
      <c r="D216" t="s">
        <v>389</v>
      </c>
      <c r="E216" t="s">
        <v>75</v>
      </c>
      <c r="F216" t="s">
        <v>19</v>
      </c>
      <c r="G216" t="s">
        <v>35</v>
      </c>
      <c r="H216" t="s">
        <v>29</v>
      </c>
      <c r="I216">
        <v>13.58</v>
      </c>
      <c r="J216">
        <v>15.11</v>
      </c>
      <c r="K216">
        <v>17.71</v>
      </c>
      <c r="L216">
        <v>15.02</v>
      </c>
      <c r="M216" s="7">
        <v>0.89070000000000005</v>
      </c>
      <c r="N216">
        <v>90000</v>
      </c>
      <c r="O216" s="2">
        <v>46067</v>
      </c>
    </row>
    <row r="217" spans="4:15" x14ac:dyDescent="0.45">
      <c r="D217" t="s">
        <v>390</v>
      </c>
      <c r="E217" t="s">
        <v>86</v>
      </c>
      <c r="F217" t="s">
        <v>14</v>
      </c>
      <c r="G217" t="s">
        <v>32</v>
      </c>
      <c r="H217" t="s">
        <v>21</v>
      </c>
      <c r="I217">
        <v>9.92</v>
      </c>
      <c r="J217">
        <v>10.95</v>
      </c>
      <c r="K217">
        <v>11.41</v>
      </c>
      <c r="L217">
        <v>16.68</v>
      </c>
      <c r="M217" s="7">
        <v>0.79590000000000005</v>
      </c>
      <c r="N217">
        <v>75000</v>
      </c>
      <c r="O217" s="2">
        <v>45704</v>
      </c>
    </row>
    <row r="218" spans="4:15" x14ac:dyDescent="0.45">
      <c r="D218" t="s">
        <v>391</v>
      </c>
      <c r="E218" t="s">
        <v>127</v>
      </c>
      <c r="F218" t="s">
        <v>14</v>
      </c>
      <c r="G218" t="s">
        <v>28</v>
      </c>
      <c r="H218" t="s">
        <v>42</v>
      </c>
      <c r="I218">
        <v>18.309999999999999</v>
      </c>
      <c r="J218">
        <v>16.579999999999998</v>
      </c>
      <c r="K218">
        <v>13.14</v>
      </c>
      <c r="L218">
        <v>13.48</v>
      </c>
      <c r="M218" s="7">
        <v>0.55000000000000004</v>
      </c>
      <c r="N218">
        <v>75000</v>
      </c>
      <c r="O218" s="2">
        <v>45770</v>
      </c>
    </row>
    <row r="219" spans="4:15" x14ac:dyDescent="0.45">
      <c r="D219" t="s">
        <v>392</v>
      </c>
      <c r="E219" t="s">
        <v>268</v>
      </c>
      <c r="F219" t="s">
        <v>14</v>
      </c>
      <c r="G219" t="s">
        <v>47</v>
      </c>
      <c r="H219" t="s">
        <v>42</v>
      </c>
      <c r="I219">
        <v>13.91</v>
      </c>
      <c r="J219">
        <v>14.89</v>
      </c>
      <c r="K219">
        <v>9.08</v>
      </c>
      <c r="L219">
        <v>12.14</v>
      </c>
      <c r="M219" s="7">
        <v>0.92500000000000004</v>
      </c>
      <c r="N219">
        <v>130000</v>
      </c>
      <c r="O219" s="2">
        <v>45727</v>
      </c>
    </row>
    <row r="220" spans="4:15" x14ac:dyDescent="0.45">
      <c r="D220" t="s">
        <v>393</v>
      </c>
      <c r="E220" t="s">
        <v>366</v>
      </c>
      <c r="F220" t="s">
        <v>14</v>
      </c>
      <c r="G220" t="s">
        <v>35</v>
      </c>
      <c r="H220" t="s">
        <v>16</v>
      </c>
      <c r="I220">
        <v>7.43</v>
      </c>
      <c r="J220">
        <v>8.77</v>
      </c>
      <c r="K220">
        <v>9.5500000000000007</v>
      </c>
      <c r="L220">
        <v>16.79</v>
      </c>
      <c r="M220" s="7">
        <v>0.86780000000000002</v>
      </c>
      <c r="N220">
        <v>120000</v>
      </c>
      <c r="O220" s="2">
        <v>46113</v>
      </c>
    </row>
    <row r="221" spans="4:15" x14ac:dyDescent="0.45">
      <c r="D221" t="s">
        <v>394</v>
      </c>
      <c r="E221" t="s">
        <v>167</v>
      </c>
      <c r="F221" t="s">
        <v>19</v>
      </c>
      <c r="G221" t="s">
        <v>32</v>
      </c>
      <c r="H221" t="s">
        <v>29</v>
      </c>
      <c r="I221">
        <v>13.29</v>
      </c>
      <c r="J221">
        <v>14.05</v>
      </c>
      <c r="K221">
        <v>16</v>
      </c>
      <c r="L221">
        <v>13.44</v>
      </c>
      <c r="M221" s="7">
        <v>0.7833</v>
      </c>
      <c r="N221">
        <v>85000</v>
      </c>
      <c r="O221" s="2">
        <v>45558</v>
      </c>
    </row>
    <row r="222" spans="4:15" x14ac:dyDescent="0.45">
      <c r="D222" t="s">
        <v>395</v>
      </c>
      <c r="E222" t="s">
        <v>325</v>
      </c>
      <c r="F222" t="s">
        <v>14</v>
      </c>
      <c r="G222" t="s">
        <v>20</v>
      </c>
      <c r="H222" t="s">
        <v>42</v>
      </c>
      <c r="I222">
        <v>14.2</v>
      </c>
      <c r="J222">
        <v>14.52</v>
      </c>
      <c r="K222">
        <v>18.41</v>
      </c>
      <c r="L222">
        <v>11.39</v>
      </c>
      <c r="M222" s="7">
        <v>0.71450000000000002</v>
      </c>
      <c r="N222">
        <v>75000</v>
      </c>
      <c r="O222" s="2">
        <v>45782</v>
      </c>
    </row>
    <row r="223" spans="4:15" x14ac:dyDescent="0.45">
      <c r="D223" t="s">
        <v>396</v>
      </c>
      <c r="E223" t="s">
        <v>196</v>
      </c>
      <c r="F223" t="s">
        <v>14</v>
      </c>
      <c r="G223" t="s">
        <v>32</v>
      </c>
      <c r="H223" t="s">
        <v>29</v>
      </c>
      <c r="I223">
        <v>20</v>
      </c>
      <c r="J223">
        <v>9.3000000000000007</v>
      </c>
      <c r="K223">
        <v>16.2</v>
      </c>
      <c r="L223">
        <v>16.97</v>
      </c>
      <c r="M223" s="7">
        <v>0.59699999999999998</v>
      </c>
      <c r="N223">
        <v>70000</v>
      </c>
      <c r="O223" s="2">
        <v>45731</v>
      </c>
    </row>
    <row r="224" spans="4:15" x14ac:dyDescent="0.45">
      <c r="D224" t="s">
        <v>397</v>
      </c>
      <c r="E224" t="s">
        <v>398</v>
      </c>
      <c r="F224" t="s">
        <v>19</v>
      </c>
      <c r="G224" t="s">
        <v>20</v>
      </c>
      <c r="H224" t="s">
        <v>16</v>
      </c>
      <c r="I224">
        <v>13.73</v>
      </c>
      <c r="J224">
        <v>12.44</v>
      </c>
      <c r="K224">
        <v>17.62</v>
      </c>
      <c r="L224">
        <v>11</v>
      </c>
      <c r="M224" s="7">
        <v>0.76500000000000001</v>
      </c>
      <c r="N224">
        <v>50000</v>
      </c>
      <c r="O224" s="2">
        <v>45727</v>
      </c>
    </row>
    <row r="225" spans="4:15" x14ac:dyDescent="0.45">
      <c r="D225" t="s">
        <v>399</v>
      </c>
      <c r="E225" t="s">
        <v>400</v>
      </c>
      <c r="F225" t="s">
        <v>14</v>
      </c>
      <c r="G225" t="s">
        <v>15</v>
      </c>
      <c r="H225" t="s">
        <v>21</v>
      </c>
      <c r="I225">
        <v>16.95</v>
      </c>
      <c r="J225">
        <v>20</v>
      </c>
      <c r="K225">
        <v>17.89</v>
      </c>
      <c r="L225">
        <v>19.690000000000001</v>
      </c>
      <c r="M225" s="7">
        <v>0.86499999999999999</v>
      </c>
      <c r="N225">
        <v>85000</v>
      </c>
      <c r="O225" s="2">
        <v>45671</v>
      </c>
    </row>
    <row r="226" spans="4:15" x14ac:dyDescent="0.45">
      <c r="D226" t="s">
        <v>401</v>
      </c>
      <c r="E226" t="s">
        <v>402</v>
      </c>
      <c r="F226" t="s">
        <v>19</v>
      </c>
      <c r="G226" t="s">
        <v>47</v>
      </c>
      <c r="H226" t="s">
        <v>29</v>
      </c>
      <c r="I226">
        <v>19.45</v>
      </c>
      <c r="J226">
        <v>13.02</v>
      </c>
      <c r="K226">
        <v>18.62</v>
      </c>
      <c r="L226">
        <v>15.76</v>
      </c>
      <c r="M226" s="7">
        <v>0.94030000000000002</v>
      </c>
      <c r="N226">
        <v>90000</v>
      </c>
      <c r="O226" s="2">
        <v>46174</v>
      </c>
    </row>
    <row r="227" spans="4:15" x14ac:dyDescent="0.45">
      <c r="D227" t="s">
        <v>403</v>
      </c>
      <c r="E227" t="s">
        <v>404</v>
      </c>
      <c r="F227" t="s">
        <v>14</v>
      </c>
      <c r="G227" t="s">
        <v>32</v>
      </c>
      <c r="H227" t="s">
        <v>42</v>
      </c>
      <c r="I227">
        <v>8.73</v>
      </c>
      <c r="J227">
        <v>13.43</v>
      </c>
      <c r="K227">
        <v>11.99</v>
      </c>
      <c r="L227">
        <v>11.71</v>
      </c>
      <c r="M227" s="7">
        <v>0.67549999999999999</v>
      </c>
      <c r="N227">
        <v>100000</v>
      </c>
      <c r="O227" s="2">
        <v>45801</v>
      </c>
    </row>
    <row r="228" spans="4:15" x14ac:dyDescent="0.45">
      <c r="D228" t="s">
        <v>405</v>
      </c>
      <c r="E228" t="s">
        <v>406</v>
      </c>
      <c r="F228" t="s">
        <v>19</v>
      </c>
      <c r="G228" t="s">
        <v>20</v>
      </c>
      <c r="H228" t="s">
        <v>29</v>
      </c>
      <c r="I228">
        <v>15.81</v>
      </c>
      <c r="J228">
        <v>19.489999999999998</v>
      </c>
      <c r="K228">
        <v>14.67</v>
      </c>
      <c r="L228">
        <v>19.04</v>
      </c>
      <c r="M228" s="7">
        <v>0.9395</v>
      </c>
      <c r="N228">
        <v>110000</v>
      </c>
      <c r="O228" s="2">
        <v>45828</v>
      </c>
    </row>
    <row r="229" spans="4:15" x14ac:dyDescent="0.45">
      <c r="D229" t="s">
        <v>407</v>
      </c>
      <c r="E229" t="s">
        <v>223</v>
      </c>
      <c r="F229" t="s">
        <v>19</v>
      </c>
      <c r="G229" t="s">
        <v>32</v>
      </c>
      <c r="H229" t="s">
        <v>42</v>
      </c>
      <c r="I229">
        <v>20</v>
      </c>
      <c r="J229">
        <v>17.64</v>
      </c>
      <c r="K229">
        <v>17.62</v>
      </c>
      <c r="L229">
        <v>20</v>
      </c>
      <c r="M229" s="7">
        <v>0.79869999999999997</v>
      </c>
      <c r="N229">
        <v>80000</v>
      </c>
      <c r="O229" s="2">
        <v>45805</v>
      </c>
    </row>
    <row r="230" spans="4:15" x14ac:dyDescent="0.45">
      <c r="D230" t="s">
        <v>408</v>
      </c>
      <c r="E230" t="s">
        <v>409</v>
      </c>
      <c r="F230" t="s">
        <v>19</v>
      </c>
      <c r="G230" t="s">
        <v>32</v>
      </c>
      <c r="H230" t="s">
        <v>21</v>
      </c>
      <c r="I230">
        <v>18.73</v>
      </c>
      <c r="J230">
        <v>19.39</v>
      </c>
      <c r="K230">
        <v>14.66</v>
      </c>
      <c r="L230">
        <v>20</v>
      </c>
      <c r="M230" s="7">
        <v>0.64900000000000002</v>
      </c>
      <c r="N230">
        <v>60000</v>
      </c>
      <c r="O230" s="2">
        <v>46222</v>
      </c>
    </row>
    <row r="231" spans="4:15" x14ac:dyDescent="0.45">
      <c r="D231" t="s">
        <v>410</v>
      </c>
      <c r="E231" t="s">
        <v>411</v>
      </c>
      <c r="F231" t="s">
        <v>14</v>
      </c>
      <c r="G231" t="s">
        <v>28</v>
      </c>
      <c r="H231" t="s">
        <v>21</v>
      </c>
      <c r="I231">
        <v>6.25</v>
      </c>
      <c r="J231">
        <v>7.59</v>
      </c>
      <c r="K231">
        <v>13.09</v>
      </c>
      <c r="L231">
        <v>10.92</v>
      </c>
      <c r="M231" s="7">
        <v>0.79449999999999998</v>
      </c>
      <c r="N231">
        <v>120000</v>
      </c>
      <c r="O231" s="2">
        <v>45773</v>
      </c>
    </row>
    <row r="232" spans="4:15" x14ac:dyDescent="0.45">
      <c r="D232" t="s">
        <v>412</v>
      </c>
      <c r="E232" t="s">
        <v>34</v>
      </c>
      <c r="F232" t="s">
        <v>14</v>
      </c>
      <c r="G232" t="s">
        <v>32</v>
      </c>
      <c r="H232" t="s">
        <v>16</v>
      </c>
      <c r="I232">
        <v>10.029999999999999</v>
      </c>
      <c r="J232">
        <v>14.89</v>
      </c>
      <c r="K232">
        <v>9.69</v>
      </c>
      <c r="L232">
        <v>9.83</v>
      </c>
      <c r="M232" s="7">
        <v>0.94510000000000005</v>
      </c>
      <c r="N232">
        <v>110000</v>
      </c>
      <c r="O232" s="2">
        <v>45775</v>
      </c>
    </row>
    <row r="233" spans="4:15" x14ac:dyDescent="0.45">
      <c r="D233" t="s">
        <v>413</v>
      </c>
      <c r="E233" t="s">
        <v>414</v>
      </c>
      <c r="F233" t="s">
        <v>19</v>
      </c>
      <c r="G233" t="s">
        <v>47</v>
      </c>
      <c r="H233" t="s">
        <v>42</v>
      </c>
      <c r="I233">
        <v>20</v>
      </c>
      <c r="J233">
        <v>17.87</v>
      </c>
      <c r="K233">
        <v>16.09</v>
      </c>
      <c r="L233">
        <v>18.899999999999999</v>
      </c>
      <c r="M233" s="7">
        <v>0.75680000000000003</v>
      </c>
      <c r="N233">
        <v>85000</v>
      </c>
      <c r="O233" s="2">
        <v>45765</v>
      </c>
    </row>
    <row r="234" spans="4:15" x14ac:dyDescent="0.45">
      <c r="D234" t="s">
        <v>415</v>
      </c>
      <c r="E234" t="s">
        <v>129</v>
      </c>
      <c r="F234" t="s">
        <v>14</v>
      </c>
      <c r="G234" t="s">
        <v>28</v>
      </c>
      <c r="H234" t="s">
        <v>21</v>
      </c>
      <c r="I234">
        <v>11.36</v>
      </c>
      <c r="J234">
        <v>11.04</v>
      </c>
      <c r="K234">
        <v>8.14</v>
      </c>
      <c r="L234">
        <v>13.1</v>
      </c>
      <c r="M234" s="7">
        <v>0.55000000000000004</v>
      </c>
      <c r="N234">
        <v>50000</v>
      </c>
      <c r="O234" s="2">
        <v>45764</v>
      </c>
    </row>
    <row r="235" spans="4:15" x14ac:dyDescent="0.45">
      <c r="D235" t="s">
        <v>416</v>
      </c>
      <c r="E235" t="s">
        <v>417</v>
      </c>
      <c r="F235" t="s">
        <v>19</v>
      </c>
      <c r="G235" t="s">
        <v>20</v>
      </c>
      <c r="H235" t="s">
        <v>42</v>
      </c>
      <c r="I235">
        <v>7.95</v>
      </c>
      <c r="J235">
        <v>13.18</v>
      </c>
      <c r="K235">
        <v>9.5500000000000007</v>
      </c>
      <c r="L235">
        <v>9.99</v>
      </c>
      <c r="M235" s="7">
        <v>0.90759999999999996</v>
      </c>
      <c r="N235">
        <v>85000</v>
      </c>
      <c r="O235" s="2">
        <v>45598</v>
      </c>
    </row>
    <row r="236" spans="4:15" x14ac:dyDescent="0.45">
      <c r="D236" t="s">
        <v>418</v>
      </c>
      <c r="E236" t="s">
        <v>419</v>
      </c>
      <c r="F236" t="s">
        <v>14</v>
      </c>
      <c r="G236" t="s">
        <v>20</v>
      </c>
      <c r="H236" t="s">
        <v>16</v>
      </c>
      <c r="I236">
        <v>10.63</v>
      </c>
      <c r="J236">
        <v>13.99</v>
      </c>
      <c r="K236">
        <v>16.22</v>
      </c>
      <c r="L236">
        <v>16</v>
      </c>
      <c r="M236" s="7">
        <v>0.59889999999999999</v>
      </c>
      <c r="N236">
        <v>90000</v>
      </c>
      <c r="O236" s="2">
        <v>45958</v>
      </c>
    </row>
    <row r="237" spans="4:15" x14ac:dyDescent="0.45">
      <c r="D237" t="s">
        <v>420</v>
      </c>
      <c r="E237" t="s">
        <v>295</v>
      </c>
      <c r="F237" t="s">
        <v>19</v>
      </c>
      <c r="G237" t="s">
        <v>35</v>
      </c>
      <c r="H237" t="s">
        <v>16</v>
      </c>
      <c r="I237">
        <v>13.45</v>
      </c>
      <c r="J237">
        <v>13.15</v>
      </c>
      <c r="K237">
        <v>19.48</v>
      </c>
      <c r="L237">
        <v>16.45</v>
      </c>
      <c r="M237" s="7">
        <v>0.69740000000000002</v>
      </c>
      <c r="N237">
        <v>120000</v>
      </c>
      <c r="O237" s="2">
        <v>45553</v>
      </c>
    </row>
    <row r="238" spans="4:15" x14ac:dyDescent="0.45">
      <c r="D238" t="s">
        <v>421</v>
      </c>
      <c r="E238" t="s">
        <v>422</v>
      </c>
      <c r="F238" t="s">
        <v>19</v>
      </c>
      <c r="G238" t="s">
        <v>47</v>
      </c>
      <c r="H238" t="s">
        <v>16</v>
      </c>
      <c r="I238">
        <v>14.01</v>
      </c>
      <c r="J238">
        <v>12.19</v>
      </c>
      <c r="K238">
        <v>9.76</v>
      </c>
      <c r="L238">
        <v>13.58</v>
      </c>
      <c r="M238" s="7">
        <v>0.77359999999999995</v>
      </c>
      <c r="N238">
        <v>85000</v>
      </c>
      <c r="O238" s="2">
        <v>45694</v>
      </c>
    </row>
    <row r="239" spans="4:15" x14ac:dyDescent="0.45">
      <c r="D239" t="s">
        <v>423</v>
      </c>
      <c r="E239" t="s">
        <v>348</v>
      </c>
      <c r="F239" t="s">
        <v>14</v>
      </c>
      <c r="G239" t="s">
        <v>15</v>
      </c>
      <c r="H239" t="s">
        <v>16</v>
      </c>
      <c r="I239">
        <v>14.62</v>
      </c>
      <c r="J239">
        <v>13.17</v>
      </c>
      <c r="K239">
        <v>11.1</v>
      </c>
      <c r="L239">
        <v>12.13</v>
      </c>
      <c r="M239" s="7">
        <v>0.91810000000000003</v>
      </c>
      <c r="N239">
        <v>85000</v>
      </c>
      <c r="O239" s="2">
        <v>45677</v>
      </c>
    </row>
    <row r="240" spans="4:15" x14ac:dyDescent="0.45">
      <c r="D240" t="s">
        <v>424</v>
      </c>
      <c r="E240" t="s">
        <v>425</v>
      </c>
      <c r="F240" t="s">
        <v>14</v>
      </c>
      <c r="G240" t="s">
        <v>32</v>
      </c>
      <c r="H240" t="s">
        <v>21</v>
      </c>
      <c r="I240">
        <v>13.93</v>
      </c>
      <c r="J240">
        <v>10.64</v>
      </c>
      <c r="K240">
        <v>9.5399999999999991</v>
      </c>
      <c r="L240">
        <v>11.81</v>
      </c>
      <c r="M240" s="7">
        <v>0.8478</v>
      </c>
      <c r="N240">
        <v>80000</v>
      </c>
      <c r="O240" s="2">
        <v>45740</v>
      </c>
    </row>
    <row r="241" spans="4:15" x14ac:dyDescent="0.45">
      <c r="D241" t="s">
        <v>426</v>
      </c>
      <c r="E241" t="s">
        <v>427</v>
      </c>
      <c r="F241" t="s">
        <v>19</v>
      </c>
      <c r="G241" t="s">
        <v>35</v>
      </c>
      <c r="H241" t="s">
        <v>21</v>
      </c>
      <c r="I241">
        <v>12.51</v>
      </c>
      <c r="J241">
        <v>7.25</v>
      </c>
      <c r="K241">
        <v>13.88</v>
      </c>
      <c r="L241">
        <v>8.65</v>
      </c>
      <c r="M241" s="7">
        <v>0.93389999999999995</v>
      </c>
      <c r="N241">
        <v>80000</v>
      </c>
      <c r="O241" s="2">
        <v>46065</v>
      </c>
    </row>
    <row r="242" spans="4:15" x14ac:dyDescent="0.45">
      <c r="D242" t="s">
        <v>428</v>
      </c>
      <c r="E242" t="s">
        <v>279</v>
      </c>
      <c r="F242" t="s">
        <v>14</v>
      </c>
      <c r="G242" t="s">
        <v>28</v>
      </c>
      <c r="H242" t="s">
        <v>42</v>
      </c>
      <c r="I242">
        <v>8.11</v>
      </c>
      <c r="J242">
        <v>11.32</v>
      </c>
      <c r="K242">
        <v>11.87</v>
      </c>
      <c r="L242">
        <v>10.74</v>
      </c>
      <c r="M242" s="7">
        <v>0.80379999999999996</v>
      </c>
      <c r="N242">
        <v>50000</v>
      </c>
      <c r="O242" s="2">
        <v>45955</v>
      </c>
    </row>
    <row r="243" spans="4:15" x14ac:dyDescent="0.45">
      <c r="D243" t="s">
        <v>429</v>
      </c>
      <c r="E243" t="s">
        <v>430</v>
      </c>
      <c r="F243" t="s">
        <v>19</v>
      </c>
      <c r="G243" t="s">
        <v>47</v>
      </c>
      <c r="H243" t="s">
        <v>42</v>
      </c>
      <c r="I243">
        <v>16.97</v>
      </c>
      <c r="J243">
        <v>17.03</v>
      </c>
      <c r="K243">
        <v>18.690000000000001</v>
      </c>
      <c r="L243">
        <v>20</v>
      </c>
      <c r="M243" s="7">
        <v>0.72509999999999997</v>
      </c>
      <c r="N243">
        <v>60000</v>
      </c>
      <c r="O243" s="2">
        <v>46229</v>
      </c>
    </row>
    <row r="244" spans="4:15" x14ac:dyDescent="0.45">
      <c r="D244" t="s">
        <v>431</v>
      </c>
      <c r="E244" t="s">
        <v>133</v>
      </c>
      <c r="F244" t="s">
        <v>14</v>
      </c>
      <c r="G244" t="s">
        <v>20</v>
      </c>
      <c r="H244" t="s">
        <v>21</v>
      </c>
      <c r="I244">
        <v>15.51</v>
      </c>
      <c r="J244">
        <v>18.29</v>
      </c>
      <c r="K244">
        <v>14.69</v>
      </c>
      <c r="L244">
        <v>13.32</v>
      </c>
      <c r="M244" s="7">
        <v>0.87749999999999995</v>
      </c>
      <c r="N244">
        <v>110000</v>
      </c>
      <c r="O244" s="2">
        <v>45781</v>
      </c>
    </row>
    <row r="245" spans="4:15" x14ac:dyDescent="0.45">
      <c r="D245" t="s">
        <v>432</v>
      </c>
      <c r="E245" t="s">
        <v>311</v>
      </c>
      <c r="F245" t="s">
        <v>19</v>
      </c>
      <c r="G245" t="s">
        <v>47</v>
      </c>
      <c r="H245" t="s">
        <v>29</v>
      </c>
      <c r="I245">
        <v>13.02</v>
      </c>
      <c r="J245">
        <v>16.77</v>
      </c>
      <c r="K245">
        <v>15.13</v>
      </c>
      <c r="L245">
        <v>16.63</v>
      </c>
      <c r="M245" s="7">
        <v>0.79690000000000005</v>
      </c>
      <c r="N245">
        <v>75000</v>
      </c>
      <c r="O245" s="2">
        <v>46185</v>
      </c>
    </row>
    <row r="246" spans="4:15" x14ac:dyDescent="0.45">
      <c r="D246" t="s">
        <v>433</v>
      </c>
      <c r="E246" t="s">
        <v>105</v>
      </c>
      <c r="F246" t="s">
        <v>19</v>
      </c>
      <c r="G246" t="s">
        <v>32</v>
      </c>
      <c r="H246" t="s">
        <v>29</v>
      </c>
      <c r="I246">
        <v>11.63</v>
      </c>
      <c r="J246">
        <v>10.54</v>
      </c>
      <c r="K246">
        <v>15.88</v>
      </c>
      <c r="L246">
        <v>12.08</v>
      </c>
      <c r="M246" s="7">
        <v>0.76190000000000002</v>
      </c>
      <c r="N246">
        <v>120000</v>
      </c>
      <c r="O246" s="2">
        <v>45567</v>
      </c>
    </row>
    <row r="247" spans="4:15" x14ac:dyDescent="0.45">
      <c r="D247" t="s">
        <v>434</v>
      </c>
      <c r="E247" t="s">
        <v>133</v>
      </c>
      <c r="F247" t="s">
        <v>14</v>
      </c>
      <c r="G247" t="s">
        <v>20</v>
      </c>
      <c r="H247" t="s">
        <v>42</v>
      </c>
      <c r="I247">
        <v>13.65</v>
      </c>
      <c r="J247">
        <v>11.84</v>
      </c>
      <c r="K247">
        <v>14.38</v>
      </c>
      <c r="L247">
        <v>14.58</v>
      </c>
      <c r="M247" s="7">
        <v>0.95069999999999999</v>
      </c>
      <c r="N247">
        <v>80000</v>
      </c>
      <c r="O247" s="2">
        <v>45888</v>
      </c>
    </row>
    <row r="248" spans="4:15" x14ac:dyDescent="0.45">
      <c r="D248" t="s">
        <v>435</v>
      </c>
      <c r="E248" t="s">
        <v>436</v>
      </c>
      <c r="F248" t="s">
        <v>19</v>
      </c>
      <c r="G248" t="s">
        <v>28</v>
      </c>
      <c r="H248" t="s">
        <v>29</v>
      </c>
      <c r="I248">
        <v>9</v>
      </c>
      <c r="J248">
        <v>7.75</v>
      </c>
      <c r="K248">
        <v>13.18</v>
      </c>
      <c r="L248">
        <v>12.86</v>
      </c>
      <c r="M248" s="7">
        <v>0.84540000000000004</v>
      </c>
      <c r="N248">
        <v>130000</v>
      </c>
      <c r="O248" s="2">
        <v>46095</v>
      </c>
    </row>
    <row r="249" spans="4:15" x14ac:dyDescent="0.45">
      <c r="D249" t="s">
        <v>437</v>
      </c>
      <c r="E249" t="s">
        <v>438</v>
      </c>
      <c r="F249" t="s">
        <v>14</v>
      </c>
      <c r="G249" t="s">
        <v>20</v>
      </c>
      <c r="H249" t="s">
        <v>16</v>
      </c>
      <c r="I249">
        <v>3.82</v>
      </c>
      <c r="J249">
        <v>4.0599999999999996</v>
      </c>
      <c r="K249">
        <v>0.41</v>
      </c>
      <c r="L249">
        <v>6.34</v>
      </c>
      <c r="M249" s="7">
        <v>0.92369999999999997</v>
      </c>
      <c r="N249">
        <v>60000</v>
      </c>
      <c r="O249" s="2">
        <v>45908</v>
      </c>
    </row>
    <row r="250" spans="4:15" x14ac:dyDescent="0.45">
      <c r="D250" t="s">
        <v>439</v>
      </c>
      <c r="E250" t="s">
        <v>295</v>
      </c>
      <c r="F250" t="s">
        <v>19</v>
      </c>
      <c r="G250" t="s">
        <v>28</v>
      </c>
      <c r="H250" t="s">
        <v>42</v>
      </c>
      <c r="I250">
        <v>9.43</v>
      </c>
      <c r="J250">
        <v>12.28</v>
      </c>
      <c r="K250">
        <v>9.69</v>
      </c>
      <c r="L250">
        <v>6.53</v>
      </c>
      <c r="M250" s="7">
        <v>0.87739999999999996</v>
      </c>
      <c r="N250">
        <v>70000</v>
      </c>
      <c r="O250" s="2">
        <v>46189</v>
      </c>
    </row>
    <row r="251" spans="4:15" x14ac:dyDescent="0.45">
      <c r="D251" t="s">
        <v>440</v>
      </c>
      <c r="E251" t="s">
        <v>225</v>
      </c>
      <c r="F251" t="s">
        <v>14</v>
      </c>
      <c r="G251" t="s">
        <v>35</v>
      </c>
      <c r="H251" t="s">
        <v>21</v>
      </c>
      <c r="I251">
        <v>9.5399999999999991</v>
      </c>
      <c r="J251">
        <v>13.74</v>
      </c>
      <c r="K251">
        <v>13.21</v>
      </c>
      <c r="L251">
        <v>12.27</v>
      </c>
      <c r="M251" s="7">
        <v>0.94869999999999999</v>
      </c>
      <c r="N251">
        <v>90000</v>
      </c>
      <c r="O251" s="2">
        <v>45756</v>
      </c>
    </row>
    <row r="252" spans="4:15" x14ac:dyDescent="0.45">
      <c r="D252" t="s">
        <v>441</v>
      </c>
      <c r="E252" t="s">
        <v>425</v>
      </c>
      <c r="F252" t="s">
        <v>14</v>
      </c>
      <c r="G252" t="s">
        <v>28</v>
      </c>
      <c r="H252" t="s">
        <v>16</v>
      </c>
      <c r="I252">
        <v>9.5399999999999991</v>
      </c>
      <c r="J252">
        <v>9.1999999999999993</v>
      </c>
      <c r="K252">
        <v>10.32</v>
      </c>
      <c r="L252">
        <v>6.79</v>
      </c>
      <c r="M252" s="7">
        <v>0.83479999999999999</v>
      </c>
      <c r="N252">
        <v>110000</v>
      </c>
      <c r="O252" s="2">
        <v>45559</v>
      </c>
    </row>
    <row r="253" spans="4:15" x14ac:dyDescent="0.45">
      <c r="D253" t="s">
        <v>442</v>
      </c>
      <c r="E253" t="s">
        <v>443</v>
      </c>
      <c r="F253" t="s">
        <v>14</v>
      </c>
      <c r="G253" t="s">
        <v>47</v>
      </c>
      <c r="H253" t="s">
        <v>16</v>
      </c>
      <c r="I253">
        <v>11.49</v>
      </c>
      <c r="J253">
        <v>10.35</v>
      </c>
      <c r="K253">
        <v>6.29</v>
      </c>
      <c r="L253">
        <v>9.8800000000000008</v>
      </c>
      <c r="M253" s="7">
        <v>0.91059999999999997</v>
      </c>
      <c r="N253">
        <v>60000</v>
      </c>
      <c r="O253" s="2">
        <v>46077</v>
      </c>
    </row>
    <row r="254" spans="4:15" x14ac:dyDescent="0.45">
      <c r="D254" t="s">
        <v>444</v>
      </c>
      <c r="E254" t="s">
        <v>445</v>
      </c>
      <c r="F254" t="s">
        <v>14</v>
      </c>
      <c r="G254" t="s">
        <v>47</v>
      </c>
      <c r="H254" t="s">
        <v>29</v>
      </c>
      <c r="I254">
        <v>17.37</v>
      </c>
      <c r="J254">
        <v>16.66</v>
      </c>
      <c r="K254">
        <v>16.72</v>
      </c>
      <c r="L254">
        <v>16.36</v>
      </c>
      <c r="M254" s="7">
        <v>0.94679999999999997</v>
      </c>
      <c r="N254">
        <v>85000</v>
      </c>
      <c r="O254" s="2">
        <v>45583</v>
      </c>
    </row>
    <row r="255" spans="4:15" x14ac:dyDescent="0.45">
      <c r="D255" t="s">
        <v>446</v>
      </c>
      <c r="E255" t="s">
        <v>447</v>
      </c>
      <c r="F255" t="s">
        <v>14</v>
      </c>
      <c r="G255" t="s">
        <v>20</v>
      </c>
      <c r="H255" t="s">
        <v>21</v>
      </c>
      <c r="I255">
        <v>11.73</v>
      </c>
      <c r="J255">
        <v>11.67</v>
      </c>
      <c r="K255">
        <v>10.93</v>
      </c>
      <c r="L255">
        <v>12.2</v>
      </c>
      <c r="M255" s="7">
        <v>0.68320000000000003</v>
      </c>
      <c r="N255">
        <v>70000</v>
      </c>
      <c r="O255" s="2">
        <v>46071</v>
      </c>
    </row>
    <row r="256" spans="4:15" x14ac:dyDescent="0.45">
      <c r="D256" t="s">
        <v>448</v>
      </c>
      <c r="E256" t="s">
        <v>449</v>
      </c>
      <c r="F256" t="s">
        <v>19</v>
      </c>
      <c r="G256" t="s">
        <v>47</v>
      </c>
      <c r="H256" t="s">
        <v>42</v>
      </c>
      <c r="I256">
        <v>14.76</v>
      </c>
      <c r="J256">
        <v>20</v>
      </c>
      <c r="K256">
        <v>20</v>
      </c>
      <c r="L256">
        <v>20</v>
      </c>
      <c r="M256" s="7">
        <v>0.96360000000000001</v>
      </c>
      <c r="N256">
        <v>110000</v>
      </c>
      <c r="O256" s="2">
        <v>46049</v>
      </c>
    </row>
    <row r="257" spans="4:15" x14ac:dyDescent="0.45">
      <c r="D257" t="s">
        <v>450</v>
      </c>
      <c r="E257" t="s">
        <v>445</v>
      </c>
      <c r="F257" t="s">
        <v>14</v>
      </c>
      <c r="G257" t="s">
        <v>15</v>
      </c>
      <c r="H257" t="s">
        <v>42</v>
      </c>
      <c r="I257">
        <v>13.53</v>
      </c>
      <c r="J257">
        <v>14.64</v>
      </c>
      <c r="K257">
        <v>15.39</v>
      </c>
      <c r="L257">
        <v>17.600000000000001</v>
      </c>
      <c r="M257" s="7">
        <v>0.63129999999999997</v>
      </c>
      <c r="N257">
        <v>90000</v>
      </c>
      <c r="O257" s="2">
        <v>46126</v>
      </c>
    </row>
    <row r="258" spans="4:15" x14ac:dyDescent="0.45">
      <c r="D258" t="s">
        <v>451</v>
      </c>
      <c r="E258" t="s">
        <v>452</v>
      </c>
      <c r="F258" t="s">
        <v>19</v>
      </c>
      <c r="G258" t="s">
        <v>47</v>
      </c>
      <c r="H258" t="s">
        <v>42</v>
      </c>
      <c r="I258">
        <v>16.59</v>
      </c>
      <c r="J258">
        <v>20</v>
      </c>
      <c r="K258">
        <v>14.2</v>
      </c>
      <c r="L258">
        <v>16.57</v>
      </c>
      <c r="M258" s="7">
        <v>0.92749999999999999</v>
      </c>
      <c r="N258">
        <v>100000</v>
      </c>
      <c r="O258" s="2">
        <v>45871</v>
      </c>
    </row>
    <row r="259" spans="4:15" x14ac:dyDescent="0.45">
      <c r="D259" t="s">
        <v>453</v>
      </c>
      <c r="E259" t="s">
        <v>454</v>
      </c>
      <c r="F259" t="s">
        <v>14</v>
      </c>
      <c r="G259" t="s">
        <v>32</v>
      </c>
      <c r="H259" t="s">
        <v>29</v>
      </c>
      <c r="I259">
        <v>11.72</v>
      </c>
      <c r="J259">
        <v>14.44</v>
      </c>
      <c r="K259">
        <v>11.25</v>
      </c>
      <c r="L259">
        <v>10.64</v>
      </c>
      <c r="M259" s="7">
        <v>0.79310000000000003</v>
      </c>
      <c r="N259">
        <v>70000</v>
      </c>
      <c r="O259" s="2">
        <v>46162</v>
      </c>
    </row>
    <row r="260" spans="4:15" x14ac:dyDescent="0.45">
      <c r="D260" t="s">
        <v>455</v>
      </c>
      <c r="E260" t="s">
        <v>279</v>
      </c>
      <c r="F260" t="s">
        <v>14</v>
      </c>
      <c r="G260" t="s">
        <v>28</v>
      </c>
      <c r="H260" t="s">
        <v>42</v>
      </c>
      <c r="I260">
        <v>10.35</v>
      </c>
      <c r="J260">
        <v>11.54</v>
      </c>
      <c r="K260">
        <v>9.43</v>
      </c>
      <c r="L260">
        <v>16.23</v>
      </c>
      <c r="M260" s="7">
        <v>0.97809999999999997</v>
      </c>
      <c r="N260">
        <v>75000</v>
      </c>
      <c r="O260" s="2">
        <v>45654</v>
      </c>
    </row>
    <row r="261" spans="4:15" x14ac:dyDescent="0.45">
      <c r="D261" t="s">
        <v>456</v>
      </c>
      <c r="E261" t="s">
        <v>304</v>
      </c>
      <c r="F261" t="s">
        <v>19</v>
      </c>
      <c r="G261" t="s">
        <v>32</v>
      </c>
      <c r="H261" t="s">
        <v>16</v>
      </c>
      <c r="I261">
        <v>13.81</v>
      </c>
      <c r="J261">
        <v>14.48</v>
      </c>
      <c r="K261">
        <v>13.35</v>
      </c>
      <c r="L261">
        <v>15.6</v>
      </c>
      <c r="M261" s="7">
        <v>0.82909999999999995</v>
      </c>
      <c r="N261">
        <v>100000</v>
      </c>
      <c r="O261" s="2">
        <v>45840</v>
      </c>
    </row>
    <row r="262" spans="4:15" x14ac:dyDescent="0.45">
      <c r="D262" t="s">
        <v>457</v>
      </c>
      <c r="E262" t="s">
        <v>458</v>
      </c>
      <c r="F262" t="s">
        <v>19</v>
      </c>
      <c r="G262" t="s">
        <v>15</v>
      </c>
      <c r="H262" t="s">
        <v>16</v>
      </c>
      <c r="I262">
        <v>14.54</v>
      </c>
      <c r="J262">
        <v>10.81</v>
      </c>
      <c r="K262">
        <v>12.17</v>
      </c>
      <c r="L262">
        <v>11.37</v>
      </c>
      <c r="M262" s="7">
        <v>0.83850000000000002</v>
      </c>
      <c r="N262">
        <v>75000</v>
      </c>
      <c r="O262" s="2">
        <v>45621</v>
      </c>
    </row>
    <row r="263" spans="4:15" x14ac:dyDescent="0.45">
      <c r="D263" t="s">
        <v>459</v>
      </c>
      <c r="E263" t="s">
        <v>404</v>
      </c>
      <c r="F263" t="s">
        <v>14</v>
      </c>
      <c r="G263" t="s">
        <v>35</v>
      </c>
      <c r="H263" t="s">
        <v>21</v>
      </c>
      <c r="I263">
        <v>15.24</v>
      </c>
      <c r="J263">
        <v>15.29</v>
      </c>
      <c r="K263">
        <v>17.13</v>
      </c>
      <c r="L263">
        <v>15.71</v>
      </c>
      <c r="M263" s="7">
        <v>0.92810000000000004</v>
      </c>
      <c r="N263">
        <v>100000</v>
      </c>
      <c r="O263" s="2">
        <v>46072</v>
      </c>
    </row>
    <row r="264" spans="4:15" x14ac:dyDescent="0.45">
      <c r="D264" t="s">
        <v>460</v>
      </c>
      <c r="E264" t="s">
        <v>461</v>
      </c>
      <c r="F264" t="s">
        <v>14</v>
      </c>
      <c r="G264" t="s">
        <v>47</v>
      </c>
      <c r="H264" t="s">
        <v>42</v>
      </c>
      <c r="I264">
        <v>11.97</v>
      </c>
      <c r="J264">
        <v>15.35</v>
      </c>
      <c r="K264">
        <v>11.01</v>
      </c>
      <c r="L264">
        <v>14.01</v>
      </c>
      <c r="M264" s="7">
        <v>0.82140000000000002</v>
      </c>
      <c r="N264">
        <v>60000</v>
      </c>
      <c r="O264" s="2">
        <v>46035</v>
      </c>
    </row>
    <row r="265" spans="4:15" x14ac:dyDescent="0.45">
      <c r="D265" t="s">
        <v>462</v>
      </c>
      <c r="E265" t="s">
        <v>463</v>
      </c>
      <c r="F265" t="s">
        <v>19</v>
      </c>
      <c r="G265" t="s">
        <v>47</v>
      </c>
      <c r="H265" t="s">
        <v>16</v>
      </c>
      <c r="I265">
        <v>17.14</v>
      </c>
      <c r="J265">
        <v>18.95</v>
      </c>
      <c r="K265">
        <v>11.32</v>
      </c>
      <c r="L265">
        <v>12.42</v>
      </c>
      <c r="M265" s="7">
        <v>0.93889999999999996</v>
      </c>
      <c r="N265">
        <v>75000</v>
      </c>
      <c r="O265" s="2">
        <v>46100</v>
      </c>
    </row>
    <row r="266" spans="4:15" x14ac:dyDescent="0.45">
      <c r="D266" t="s">
        <v>464</v>
      </c>
      <c r="E266" t="s">
        <v>465</v>
      </c>
      <c r="F266" t="s">
        <v>19</v>
      </c>
      <c r="G266" t="s">
        <v>32</v>
      </c>
      <c r="H266" t="s">
        <v>29</v>
      </c>
      <c r="I266">
        <v>10.29</v>
      </c>
      <c r="J266">
        <v>8.39</v>
      </c>
      <c r="K266">
        <v>12.78</v>
      </c>
      <c r="L266">
        <v>10.71</v>
      </c>
      <c r="M266" s="7">
        <v>0.98360000000000003</v>
      </c>
      <c r="N266">
        <v>60000</v>
      </c>
      <c r="O266" s="2">
        <v>46071</v>
      </c>
    </row>
    <row r="267" spans="4:15" x14ac:dyDescent="0.45">
      <c r="D267" t="s">
        <v>466</v>
      </c>
      <c r="E267" t="s">
        <v>92</v>
      </c>
      <c r="F267" t="s">
        <v>19</v>
      </c>
      <c r="G267" t="s">
        <v>20</v>
      </c>
      <c r="H267" t="s">
        <v>16</v>
      </c>
      <c r="I267">
        <v>11.03</v>
      </c>
      <c r="J267">
        <v>11.09</v>
      </c>
      <c r="K267">
        <v>7.19</v>
      </c>
      <c r="L267">
        <v>11.41</v>
      </c>
      <c r="M267" s="7">
        <v>0.98909999999999998</v>
      </c>
      <c r="N267">
        <v>50000</v>
      </c>
      <c r="O267" s="2">
        <v>45751</v>
      </c>
    </row>
    <row r="268" spans="4:15" x14ac:dyDescent="0.45">
      <c r="D268" t="s">
        <v>467</v>
      </c>
      <c r="E268" t="s">
        <v>468</v>
      </c>
      <c r="F268" t="s">
        <v>14</v>
      </c>
      <c r="G268" t="s">
        <v>15</v>
      </c>
      <c r="H268" t="s">
        <v>42</v>
      </c>
      <c r="I268">
        <v>14.62</v>
      </c>
      <c r="J268">
        <v>15.5</v>
      </c>
      <c r="K268">
        <v>14.45</v>
      </c>
      <c r="L268">
        <v>12.28</v>
      </c>
      <c r="M268" s="7">
        <v>0.9153</v>
      </c>
      <c r="N268">
        <v>70000</v>
      </c>
      <c r="O268" s="2">
        <v>45583</v>
      </c>
    </row>
    <row r="269" spans="4:15" x14ac:dyDescent="0.45">
      <c r="D269" t="s">
        <v>469</v>
      </c>
      <c r="E269" t="s">
        <v>82</v>
      </c>
      <c r="F269" t="s">
        <v>14</v>
      </c>
      <c r="G269" t="s">
        <v>28</v>
      </c>
      <c r="H269" t="s">
        <v>21</v>
      </c>
      <c r="I269">
        <v>13.61</v>
      </c>
      <c r="J269">
        <v>14.81</v>
      </c>
      <c r="K269">
        <v>14.76</v>
      </c>
      <c r="L269">
        <v>15.88</v>
      </c>
      <c r="M269" s="7">
        <v>0.67179999999999995</v>
      </c>
      <c r="N269">
        <v>85000</v>
      </c>
      <c r="O269" s="2">
        <v>46186</v>
      </c>
    </row>
    <row r="270" spans="4:15" x14ac:dyDescent="0.45">
      <c r="D270" t="s">
        <v>470</v>
      </c>
      <c r="E270" t="s">
        <v>471</v>
      </c>
      <c r="F270" t="s">
        <v>19</v>
      </c>
      <c r="G270" t="s">
        <v>47</v>
      </c>
      <c r="H270" t="s">
        <v>29</v>
      </c>
      <c r="I270">
        <v>9.68</v>
      </c>
      <c r="J270">
        <v>11.92</v>
      </c>
      <c r="K270">
        <v>15.25</v>
      </c>
      <c r="L270">
        <v>9.19</v>
      </c>
      <c r="M270" s="7">
        <v>0.81479999999999997</v>
      </c>
      <c r="N270">
        <v>60000</v>
      </c>
      <c r="O270" s="2">
        <v>45880</v>
      </c>
    </row>
    <row r="271" spans="4:15" x14ac:dyDescent="0.45">
      <c r="D271" t="s">
        <v>472</v>
      </c>
      <c r="E271" t="s">
        <v>473</v>
      </c>
      <c r="F271" t="s">
        <v>19</v>
      </c>
      <c r="G271" t="s">
        <v>20</v>
      </c>
      <c r="H271" t="s">
        <v>29</v>
      </c>
      <c r="I271">
        <v>18.239999999999998</v>
      </c>
      <c r="J271">
        <v>11.68</v>
      </c>
      <c r="K271">
        <v>13.27</v>
      </c>
      <c r="L271">
        <v>12.21</v>
      </c>
      <c r="M271" s="7">
        <v>0.55000000000000004</v>
      </c>
      <c r="N271">
        <v>60000</v>
      </c>
      <c r="O271" s="2">
        <v>45602</v>
      </c>
    </row>
    <row r="272" spans="4:15" x14ac:dyDescent="0.45">
      <c r="D272" t="s">
        <v>474</v>
      </c>
      <c r="E272" t="s">
        <v>82</v>
      </c>
      <c r="F272" t="s">
        <v>14</v>
      </c>
      <c r="G272" t="s">
        <v>47</v>
      </c>
      <c r="H272" t="s">
        <v>16</v>
      </c>
      <c r="I272">
        <v>17.3</v>
      </c>
      <c r="J272">
        <v>15.73</v>
      </c>
      <c r="K272">
        <v>14.92</v>
      </c>
      <c r="L272">
        <v>13.83</v>
      </c>
      <c r="M272" s="7">
        <v>0.83330000000000004</v>
      </c>
      <c r="N272">
        <v>120000</v>
      </c>
      <c r="O272" s="2">
        <v>46184</v>
      </c>
    </row>
    <row r="273" spans="4:15" x14ac:dyDescent="0.45">
      <c r="D273" t="s">
        <v>475</v>
      </c>
      <c r="E273" t="s">
        <v>476</v>
      </c>
      <c r="F273" t="s">
        <v>14</v>
      </c>
      <c r="G273" t="s">
        <v>20</v>
      </c>
      <c r="H273" t="s">
        <v>29</v>
      </c>
      <c r="I273">
        <v>17.04</v>
      </c>
      <c r="J273">
        <v>16.760000000000002</v>
      </c>
      <c r="K273">
        <v>17.309999999999999</v>
      </c>
      <c r="L273">
        <v>12.77</v>
      </c>
      <c r="M273" s="7">
        <v>0.84279999999999999</v>
      </c>
      <c r="N273">
        <v>85000</v>
      </c>
      <c r="O273" s="2">
        <v>46231</v>
      </c>
    </row>
    <row r="274" spans="4:15" x14ac:dyDescent="0.45">
      <c r="D274" t="s">
        <v>477</v>
      </c>
      <c r="E274" t="s">
        <v>129</v>
      </c>
      <c r="F274" t="s">
        <v>14</v>
      </c>
      <c r="G274" t="s">
        <v>47</v>
      </c>
      <c r="H274" t="s">
        <v>29</v>
      </c>
      <c r="I274">
        <v>19.11</v>
      </c>
      <c r="J274">
        <v>18.97</v>
      </c>
      <c r="K274">
        <v>15.13</v>
      </c>
      <c r="L274">
        <v>19.98</v>
      </c>
      <c r="M274" s="7">
        <v>0.55000000000000004</v>
      </c>
      <c r="N274">
        <v>100000</v>
      </c>
      <c r="O274" s="2">
        <v>45847</v>
      </c>
    </row>
    <row r="275" spans="4:15" x14ac:dyDescent="0.45">
      <c r="D275" t="s">
        <v>478</v>
      </c>
      <c r="E275" t="s">
        <v>479</v>
      </c>
      <c r="F275" t="s">
        <v>19</v>
      </c>
      <c r="G275" t="s">
        <v>35</v>
      </c>
      <c r="H275" t="s">
        <v>16</v>
      </c>
      <c r="I275">
        <v>14.87</v>
      </c>
      <c r="J275">
        <v>18.73</v>
      </c>
      <c r="K275">
        <v>16.79</v>
      </c>
      <c r="L275">
        <v>14.84</v>
      </c>
      <c r="M275" s="7">
        <v>0.62019999999999997</v>
      </c>
      <c r="N275">
        <v>100000</v>
      </c>
      <c r="O275" s="2">
        <v>46075</v>
      </c>
    </row>
    <row r="276" spans="4:15" x14ac:dyDescent="0.45">
      <c r="D276" t="s">
        <v>480</v>
      </c>
      <c r="E276" t="s">
        <v>149</v>
      </c>
      <c r="F276" t="s">
        <v>14</v>
      </c>
      <c r="G276" t="s">
        <v>32</v>
      </c>
      <c r="H276" t="s">
        <v>29</v>
      </c>
      <c r="I276">
        <v>13.51</v>
      </c>
      <c r="J276">
        <v>14.2</v>
      </c>
      <c r="K276">
        <v>9.89</v>
      </c>
      <c r="L276">
        <v>9.06</v>
      </c>
      <c r="M276" s="7">
        <v>0.88829999999999998</v>
      </c>
      <c r="N276">
        <v>60000</v>
      </c>
      <c r="O276" s="2">
        <v>45561</v>
      </c>
    </row>
    <row r="277" spans="4:15" x14ac:dyDescent="0.45">
      <c r="D277" t="s">
        <v>481</v>
      </c>
      <c r="E277" t="s">
        <v>447</v>
      </c>
      <c r="F277" t="s">
        <v>14</v>
      </c>
      <c r="G277" t="s">
        <v>32</v>
      </c>
      <c r="H277" t="s">
        <v>21</v>
      </c>
      <c r="I277">
        <v>16.36</v>
      </c>
      <c r="J277">
        <v>20</v>
      </c>
      <c r="K277">
        <v>18.11</v>
      </c>
      <c r="L277">
        <v>20</v>
      </c>
      <c r="M277" s="7">
        <v>0.60209999999999997</v>
      </c>
      <c r="N277">
        <v>90000</v>
      </c>
      <c r="O277" s="2">
        <v>45601</v>
      </c>
    </row>
    <row r="278" spans="4:15" x14ac:dyDescent="0.45">
      <c r="D278" t="s">
        <v>482</v>
      </c>
      <c r="E278" t="s">
        <v>376</v>
      </c>
      <c r="F278" t="s">
        <v>14</v>
      </c>
      <c r="G278" t="s">
        <v>15</v>
      </c>
      <c r="H278" t="s">
        <v>21</v>
      </c>
      <c r="I278">
        <v>12.64</v>
      </c>
      <c r="J278">
        <v>12.57</v>
      </c>
      <c r="K278">
        <v>14.08</v>
      </c>
      <c r="L278">
        <v>10.66</v>
      </c>
      <c r="M278" s="7">
        <v>0.83730000000000004</v>
      </c>
      <c r="N278">
        <v>120000</v>
      </c>
      <c r="O278" s="2">
        <v>45729</v>
      </c>
    </row>
    <row r="279" spans="4:15" x14ac:dyDescent="0.45">
      <c r="D279" t="s">
        <v>483</v>
      </c>
      <c r="E279" t="s">
        <v>484</v>
      </c>
      <c r="F279" t="s">
        <v>19</v>
      </c>
      <c r="G279" t="s">
        <v>47</v>
      </c>
      <c r="H279" t="s">
        <v>29</v>
      </c>
      <c r="I279">
        <v>12.82</v>
      </c>
      <c r="J279">
        <v>14.25</v>
      </c>
      <c r="K279">
        <v>17.84</v>
      </c>
      <c r="L279">
        <v>15.91</v>
      </c>
      <c r="M279" s="7">
        <v>0.85229999999999995</v>
      </c>
      <c r="N279">
        <v>80000</v>
      </c>
      <c r="O279" s="2">
        <v>45995</v>
      </c>
    </row>
    <row r="280" spans="4:15" x14ac:dyDescent="0.45">
      <c r="D280" t="s">
        <v>485</v>
      </c>
      <c r="E280" t="s">
        <v>486</v>
      </c>
      <c r="F280" t="s">
        <v>14</v>
      </c>
      <c r="G280" t="s">
        <v>47</v>
      </c>
      <c r="H280" t="s">
        <v>21</v>
      </c>
      <c r="I280">
        <v>9.1999999999999993</v>
      </c>
      <c r="J280">
        <v>12.77</v>
      </c>
      <c r="K280">
        <v>12.24</v>
      </c>
      <c r="L280">
        <v>11.36</v>
      </c>
      <c r="M280" s="7">
        <v>0.82589999999999997</v>
      </c>
      <c r="N280">
        <v>120000</v>
      </c>
      <c r="O280" s="2">
        <v>45629</v>
      </c>
    </row>
    <row r="281" spans="4:15" x14ac:dyDescent="0.45">
      <c r="D281" t="s">
        <v>487</v>
      </c>
      <c r="E281" t="s">
        <v>488</v>
      </c>
      <c r="F281" t="s">
        <v>14</v>
      </c>
      <c r="G281" t="s">
        <v>28</v>
      </c>
      <c r="H281" t="s">
        <v>16</v>
      </c>
      <c r="I281">
        <v>13.05</v>
      </c>
      <c r="J281">
        <v>12.26</v>
      </c>
      <c r="K281">
        <v>12.85</v>
      </c>
      <c r="L281">
        <v>14.08</v>
      </c>
      <c r="M281" s="7">
        <v>0.88490000000000002</v>
      </c>
      <c r="N281">
        <v>130000</v>
      </c>
      <c r="O281" s="2">
        <v>45559</v>
      </c>
    </row>
    <row r="282" spans="4:15" x14ac:dyDescent="0.45">
      <c r="D282" t="s">
        <v>489</v>
      </c>
      <c r="E282" t="s">
        <v>490</v>
      </c>
      <c r="F282" t="s">
        <v>14</v>
      </c>
      <c r="G282" t="s">
        <v>32</v>
      </c>
      <c r="H282" t="s">
        <v>21</v>
      </c>
      <c r="I282">
        <v>6.66</v>
      </c>
      <c r="J282">
        <v>9.39</v>
      </c>
      <c r="K282">
        <v>11.92</v>
      </c>
      <c r="L282">
        <v>10.199999999999999</v>
      </c>
      <c r="M282" s="7">
        <v>0.95240000000000002</v>
      </c>
      <c r="N282">
        <v>90000</v>
      </c>
      <c r="O282" s="2">
        <v>46004</v>
      </c>
    </row>
    <row r="283" spans="4:15" x14ac:dyDescent="0.45">
      <c r="D283" t="s">
        <v>491</v>
      </c>
      <c r="E283" t="s">
        <v>447</v>
      </c>
      <c r="F283" t="s">
        <v>14</v>
      </c>
      <c r="G283" t="s">
        <v>15</v>
      </c>
      <c r="H283" t="s">
        <v>29</v>
      </c>
      <c r="I283">
        <v>8.64</v>
      </c>
      <c r="J283">
        <v>12.37</v>
      </c>
      <c r="K283">
        <v>11.39</v>
      </c>
      <c r="L283">
        <v>14.55</v>
      </c>
      <c r="M283" s="7">
        <v>0.74180000000000001</v>
      </c>
      <c r="N283">
        <v>60000</v>
      </c>
      <c r="O283" s="2">
        <v>46075</v>
      </c>
    </row>
    <row r="284" spans="4:15" x14ac:dyDescent="0.45">
      <c r="D284" t="s">
        <v>492</v>
      </c>
      <c r="E284" t="s">
        <v>140</v>
      </c>
      <c r="F284" t="s">
        <v>19</v>
      </c>
      <c r="G284" t="s">
        <v>20</v>
      </c>
      <c r="H284" t="s">
        <v>42</v>
      </c>
      <c r="I284">
        <v>10.32</v>
      </c>
      <c r="J284">
        <v>7.48</v>
      </c>
      <c r="K284">
        <v>9.65</v>
      </c>
      <c r="L284">
        <v>10.220000000000001</v>
      </c>
      <c r="M284" s="7">
        <v>0.95789999999999997</v>
      </c>
      <c r="N284">
        <v>90000</v>
      </c>
      <c r="O284" s="2">
        <v>46053</v>
      </c>
    </row>
    <row r="285" spans="4:15" x14ac:dyDescent="0.45">
      <c r="D285" t="s">
        <v>493</v>
      </c>
      <c r="E285" t="s">
        <v>494</v>
      </c>
      <c r="F285" t="s">
        <v>14</v>
      </c>
      <c r="G285" t="s">
        <v>47</v>
      </c>
      <c r="H285" t="s">
        <v>16</v>
      </c>
      <c r="I285">
        <v>20</v>
      </c>
      <c r="J285">
        <v>13.99</v>
      </c>
      <c r="K285">
        <v>15.98</v>
      </c>
      <c r="L285">
        <v>16.27</v>
      </c>
      <c r="M285" s="7">
        <v>0.71940000000000004</v>
      </c>
      <c r="N285">
        <v>120000</v>
      </c>
      <c r="O285" s="2">
        <v>46095</v>
      </c>
    </row>
    <row r="286" spans="4:15" x14ac:dyDescent="0.45">
      <c r="D286" t="s">
        <v>495</v>
      </c>
      <c r="E286" t="s">
        <v>282</v>
      </c>
      <c r="F286" t="s">
        <v>14</v>
      </c>
      <c r="G286" t="s">
        <v>15</v>
      </c>
      <c r="H286" t="s">
        <v>21</v>
      </c>
      <c r="I286">
        <v>20</v>
      </c>
      <c r="J286">
        <v>14.51</v>
      </c>
      <c r="K286">
        <v>17.809999999999999</v>
      </c>
      <c r="L286">
        <v>16.489999999999998</v>
      </c>
      <c r="M286" s="7">
        <v>0.91659999999999997</v>
      </c>
      <c r="N286">
        <v>90000</v>
      </c>
      <c r="O286" s="2">
        <v>46097</v>
      </c>
    </row>
    <row r="287" spans="4:15" x14ac:dyDescent="0.45">
      <c r="D287" t="s">
        <v>496</v>
      </c>
      <c r="E287" t="s">
        <v>427</v>
      </c>
      <c r="F287" t="s">
        <v>19</v>
      </c>
      <c r="G287" t="s">
        <v>32</v>
      </c>
      <c r="H287" t="s">
        <v>29</v>
      </c>
      <c r="I287">
        <v>10.7</v>
      </c>
      <c r="J287">
        <v>11.15</v>
      </c>
      <c r="K287">
        <v>7.88</v>
      </c>
      <c r="L287">
        <v>9.3800000000000008</v>
      </c>
      <c r="M287" s="7">
        <v>0.83550000000000002</v>
      </c>
      <c r="N287">
        <v>110000</v>
      </c>
      <c r="O287" s="2">
        <v>45957</v>
      </c>
    </row>
    <row r="288" spans="4:15" x14ac:dyDescent="0.45">
      <c r="D288" t="s">
        <v>497</v>
      </c>
      <c r="E288" t="s">
        <v>364</v>
      </c>
      <c r="F288" t="s">
        <v>14</v>
      </c>
      <c r="G288" t="s">
        <v>15</v>
      </c>
      <c r="H288" t="s">
        <v>21</v>
      </c>
      <c r="I288">
        <v>14.36</v>
      </c>
      <c r="J288">
        <v>11.51</v>
      </c>
      <c r="K288">
        <v>17.649999999999999</v>
      </c>
      <c r="L288">
        <v>17.079999999999998</v>
      </c>
      <c r="M288" s="7">
        <v>0.67620000000000002</v>
      </c>
      <c r="N288">
        <v>85000</v>
      </c>
      <c r="O288" s="2">
        <v>45899</v>
      </c>
    </row>
    <row r="289" spans="4:15" x14ac:dyDescent="0.45">
      <c r="D289" t="s">
        <v>498</v>
      </c>
      <c r="E289" t="s">
        <v>49</v>
      </c>
      <c r="F289" t="s">
        <v>19</v>
      </c>
      <c r="G289" t="s">
        <v>32</v>
      </c>
      <c r="H289" t="s">
        <v>16</v>
      </c>
      <c r="I289">
        <v>13.42</v>
      </c>
      <c r="J289">
        <v>9.67</v>
      </c>
      <c r="K289">
        <v>9.9700000000000006</v>
      </c>
      <c r="L289">
        <v>13.05</v>
      </c>
      <c r="M289" s="7">
        <v>0.59109999999999996</v>
      </c>
      <c r="N289">
        <v>80000</v>
      </c>
      <c r="O289" s="2">
        <v>46135</v>
      </c>
    </row>
    <row r="290" spans="4:15" x14ac:dyDescent="0.45">
      <c r="D290" t="s">
        <v>499</v>
      </c>
      <c r="E290" t="s">
        <v>500</v>
      </c>
      <c r="F290" t="s">
        <v>19</v>
      </c>
      <c r="G290" t="s">
        <v>47</v>
      </c>
      <c r="H290" t="s">
        <v>42</v>
      </c>
      <c r="I290">
        <v>14.21</v>
      </c>
      <c r="J290">
        <v>11.27</v>
      </c>
      <c r="K290">
        <v>14.2</v>
      </c>
      <c r="L290">
        <v>10.11</v>
      </c>
      <c r="M290" s="7">
        <v>0.91249999999999998</v>
      </c>
      <c r="N290">
        <v>130000</v>
      </c>
      <c r="O290" s="2">
        <v>45779</v>
      </c>
    </row>
    <row r="291" spans="4:15" x14ac:dyDescent="0.45">
      <c r="D291" t="s">
        <v>501</v>
      </c>
      <c r="E291" t="s">
        <v>155</v>
      </c>
      <c r="F291" t="s">
        <v>14</v>
      </c>
      <c r="G291" t="s">
        <v>47</v>
      </c>
      <c r="H291" t="s">
        <v>16</v>
      </c>
      <c r="I291">
        <v>14.91</v>
      </c>
      <c r="J291">
        <v>13.13</v>
      </c>
      <c r="K291">
        <v>14.5</v>
      </c>
      <c r="L291">
        <v>15.66</v>
      </c>
      <c r="M291" s="7">
        <v>0.84230000000000005</v>
      </c>
      <c r="N291">
        <v>60000</v>
      </c>
      <c r="O291" s="2">
        <v>45604</v>
      </c>
    </row>
    <row r="292" spans="4:15" x14ac:dyDescent="0.45">
      <c r="D292" t="s">
        <v>502</v>
      </c>
      <c r="E292" t="s">
        <v>503</v>
      </c>
      <c r="F292" t="s">
        <v>19</v>
      </c>
      <c r="G292" t="s">
        <v>35</v>
      </c>
      <c r="H292" t="s">
        <v>21</v>
      </c>
      <c r="I292">
        <v>13.47</v>
      </c>
      <c r="J292">
        <v>14.63</v>
      </c>
      <c r="K292">
        <v>12.22</v>
      </c>
      <c r="L292">
        <v>12.63</v>
      </c>
      <c r="M292" s="7">
        <v>0.83460000000000001</v>
      </c>
      <c r="N292">
        <v>80000</v>
      </c>
      <c r="O292" s="2">
        <v>46062</v>
      </c>
    </row>
    <row r="293" spans="4:15" x14ac:dyDescent="0.45">
      <c r="D293" t="s">
        <v>504</v>
      </c>
      <c r="E293" t="s">
        <v>505</v>
      </c>
      <c r="F293" t="s">
        <v>14</v>
      </c>
      <c r="G293" t="s">
        <v>47</v>
      </c>
      <c r="H293" t="s">
        <v>29</v>
      </c>
      <c r="I293">
        <v>19.03</v>
      </c>
      <c r="J293">
        <v>20</v>
      </c>
      <c r="K293">
        <v>20</v>
      </c>
      <c r="L293">
        <v>15.79</v>
      </c>
      <c r="M293" s="7">
        <v>0.88360000000000005</v>
      </c>
      <c r="N293">
        <v>60000</v>
      </c>
      <c r="O293" s="2">
        <v>45729</v>
      </c>
    </row>
    <row r="294" spans="4:15" x14ac:dyDescent="0.45">
      <c r="D294" t="s">
        <v>506</v>
      </c>
      <c r="E294" t="s">
        <v>107</v>
      </c>
      <c r="F294" t="s">
        <v>19</v>
      </c>
      <c r="G294" t="s">
        <v>20</v>
      </c>
      <c r="H294" t="s">
        <v>42</v>
      </c>
      <c r="I294">
        <v>13.37</v>
      </c>
      <c r="J294">
        <v>11.34</v>
      </c>
      <c r="K294">
        <v>14.54</v>
      </c>
      <c r="L294">
        <v>12.44</v>
      </c>
      <c r="M294" s="7">
        <v>0.89810000000000001</v>
      </c>
      <c r="N294">
        <v>100000</v>
      </c>
      <c r="O294" s="2">
        <v>46221</v>
      </c>
    </row>
    <row r="295" spans="4:15" x14ac:dyDescent="0.45">
      <c r="D295" t="s">
        <v>507</v>
      </c>
      <c r="E295" t="s">
        <v>508</v>
      </c>
      <c r="F295" t="s">
        <v>14</v>
      </c>
      <c r="G295" t="s">
        <v>35</v>
      </c>
      <c r="H295" t="s">
        <v>21</v>
      </c>
      <c r="I295">
        <v>16.010000000000002</v>
      </c>
      <c r="J295">
        <v>15.74</v>
      </c>
      <c r="K295">
        <v>16.96</v>
      </c>
      <c r="L295">
        <v>15.28</v>
      </c>
      <c r="M295" s="7">
        <v>0.92490000000000006</v>
      </c>
      <c r="N295">
        <v>130000</v>
      </c>
      <c r="O295" s="2">
        <v>45825</v>
      </c>
    </row>
    <row r="296" spans="4:15" x14ac:dyDescent="0.45">
      <c r="D296" t="s">
        <v>509</v>
      </c>
      <c r="E296" t="s">
        <v>510</v>
      </c>
      <c r="F296" t="s">
        <v>19</v>
      </c>
      <c r="G296" t="s">
        <v>15</v>
      </c>
      <c r="H296" t="s">
        <v>42</v>
      </c>
      <c r="I296">
        <v>13.51</v>
      </c>
      <c r="J296">
        <v>15.36</v>
      </c>
      <c r="K296">
        <v>15.65</v>
      </c>
      <c r="L296">
        <v>11.58</v>
      </c>
      <c r="M296" s="7">
        <v>0.87549999999999994</v>
      </c>
      <c r="N296">
        <v>130000</v>
      </c>
      <c r="O296" s="2">
        <v>46132</v>
      </c>
    </row>
    <row r="297" spans="4:15" x14ac:dyDescent="0.45">
      <c r="D297" t="s">
        <v>511</v>
      </c>
      <c r="E297" t="s">
        <v>512</v>
      </c>
      <c r="F297" t="s">
        <v>19</v>
      </c>
      <c r="G297" t="s">
        <v>32</v>
      </c>
      <c r="H297" t="s">
        <v>16</v>
      </c>
      <c r="I297">
        <v>18.760000000000002</v>
      </c>
      <c r="J297">
        <v>14.56</v>
      </c>
      <c r="K297">
        <v>15.29</v>
      </c>
      <c r="L297">
        <v>12.37</v>
      </c>
      <c r="M297" s="7">
        <v>0.94489999999999996</v>
      </c>
      <c r="N297">
        <v>70000</v>
      </c>
      <c r="O297" s="2">
        <v>45565</v>
      </c>
    </row>
    <row r="298" spans="4:15" x14ac:dyDescent="0.45">
      <c r="D298" t="s">
        <v>513</v>
      </c>
      <c r="E298" t="s">
        <v>185</v>
      </c>
      <c r="F298" t="s">
        <v>19</v>
      </c>
      <c r="G298" t="s">
        <v>20</v>
      </c>
      <c r="H298" t="s">
        <v>16</v>
      </c>
      <c r="I298">
        <v>14.91</v>
      </c>
      <c r="J298">
        <v>10.93</v>
      </c>
      <c r="K298">
        <v>12.43</v>
      </c>
      <c r="L298">
        <v>8.7100000000000009</v>
      </c>
      <c r="M298" s="7">
        <v>0.71930000000000005</v>
      </c>
      <c r="N298">
        <v>110000</v>
      </c>
      <c r="O298" s="2">
        <v>45997</v>
      </c>
    </row>
    <row r="299" spans="4:15" x14ac:dyDescent="0.45">
      <c r="D299" t="s">
        <v>514</v>
      </c>
      <c r="E299" t="s">
        <v>515</v>
      </c>
      <c r="F299" t="s">
        <v>14</v>
      </c>
      <c r="G299" t="s">
        <v>35</v>
      </c>
      <c r="H299" t="s">
        <v>16</v>
      </c>
      <c r="I299">
        <v>14.41</v>
      </c>
      <c r="J299">
        <v>16.39</v>
      </c>
      <c r="K299">
        <v>12.11</v>
      </c>
      <c r="L299">
        <v>12.44</v>
      </c>
      <c r="M299" s="7">
        <v>0.78539999999999999</v>
      </c>
      <c r="N299">
        <v>120000</v>
      </c>
      <c r="O299" s="2">
        <v>45849</v>
      </c>
    </row>
    <row r="300" spans="4:15" x14ac:dyDescent="0.45">
      <c r="D300" t="s">
        <v>516</v>
      </c>
      <c r="E300" t="s">
        <v>454</v>
      </c>
      <c r="F300" t="s">
        <v>14</v>
      </c>
      <c r="G300" t="s">
        <v>47</v>
      </c>
      <c r="H300" t="s">
        <v>21</v>
      </c>
      <c r="I300">
        <v>16.96</v>
      </c>
      <c r="J300">
        <v>15.52</v>
      </c>
      <c r="K300">
        <v>15.37</v>
      </c>
      <c r="L300">
        <v>12.89</v>
      </c>
      <c r="M300" s="7">
        <v>0.75690000000000002</v>
      </c>
      <c r="N300">
        <v>120000</v>
      </c>
      <c r="O300" s="2">
        <v>45859</v>
      </c>
    </row>
    <row r="301" spans="4:15" x14ac:dyDescent="0.45">
      <c r="D301" t="s">
        <v>517</v>
      </c>
      <c r="E301" t="s">
        <v>77</v>
      </c>
      <c r="F301" t="s">
        <v>14</v>
      </c>
      <c r="G301" t="s">
        <v>35</v>
      </c>
      <c r="H301" t="s">
        <v>21</v>
      </c>
      <c r="I301">
        <v>10.31</v>
      </c>
      <c r="J301">
        <v>12.88</v>
      </c>
      <c r="K301">
        <v>9.83</v>
      </c>
      <c r="L301">
        <v>9.1300000000000008</v>
      </c>
      <c r="M301" s="7">
        <v>0.69230000000000003</v>
      </c>
      <c r="N301">
        <v>85000</v>
      </c>
      <c r="O301" s="2">
        <v>45721</v>
      </c>
    </row>
    <row r="302" spans="4:15" x14ac:dyDescent="0.45">
      <c r="D302" t="s">
        <v>518</v>
      </c>
      <c r="E302" t="s">
        <v>268</v>
      </c>
      <c r="F302" t="s">
        <v>14</v>
      </c>
      <c r="G302" t="s">
        <v>35</v>
      </c>
      <c r="H302" t="s">
        <v>29</v>
      </c>
      <c r="I302">
        <v>18.920000000000002</v>
      </c>
      <c r="J302">
        <v>17.79</v>
      </c>
      <c r="K302">
        <v>18.82</v>
      </c>
      <c r="L302">
        <v>16.690000000000001</v>
      </c>
      <c r="M302" s="7">
        <v>0.97560000000000002</v>
      </c>
      <c r="N302">
        <v>60000</v>
      </c>
      <c r="O302" s="2">
        <v>46215</v>
      </c>
    </row>
    <row r="303" spans="4:15" x14ac:dyDescent="0.45">
      <c r="D303" t="s">
        <v>519</v>
      </c>
      <c r="E303" t="s">
        <v>520</v>
      </c>
      <c r="F303" t="s">
        <v>19</v>
      </c>
      <c r="G303" t="s">
        <v>47</v>
      </c>
      <c r="H303" t="s">
        <v>21</v>
      </c>
      <c r="I303">
        <v>16.510000000000002</v>
      </c>
      <c r="J303">
        <v>11.37</v>
      </c>
      <c r="K303">
        <v>14.83</v>
      </c>
      <c r="L303">
        <v>15.08</v>
      </c>
      <c r="M303" s="7">
        <v>0.81740000000000002</v>
      </c>
      <c r="N303">
        <v>85000</v>
      </c>
      <c r="O303" s="2">
        <v>45810</v>
      </c>
    </row>
    <row r="304" spans="4:15" x14ac:dyDescent="0.45">
      <c r="D304" t="s">
        <v>521</v>
      </c>
      <c r="E304" t="s">
        <v>522</v>
      </c>
      <c r="F304" t="s">
        <v>14</v>
      </c>
      <c r="G304" t="s">
        <v>47</v>
      </c>
      <c r="H304" t="s">
        <v>16</v>
      </c>
      <c r="I304">
        <v>20</v>
      </c>
      <c r="J304">
        <v>18.54</v>
      </c>
      <c r="K304">
        <v>15.41</v>
      </c>
      <c r="L304">
        <v>16.329999999999998</v>
      </c>
      <c r="M304" s="7">
        <v>0.7198</v>
      </c>
      <c r="N304">
        <v>110000</v>
      </c>
      <c r="O304" s="2">
        <v>46131</v>
      </c>
    </row>
    <row r="305" spans="4:15" x14ac:dyDescent="0.45">
      <c r="D305" t="s">
        <v>523</v>
      </c>
      <c r="E305" t="s">
        <v>55</v>
      </c>
      <c r="F305" t="s">
        <v>19</v>
      </c>
      <c r="G305" t="s">
        <v>20</v>
      </c>
      <c r="H305" t="s">
        <v>42</v>
      </c>
      <c r="I305">
        <v>15.18</v>
      </c>
      <c r="J305">
        <v>19.07</v>
      </c>
      <c r="K305">
        <v>19.670000000000002</v>
      </c>
      <c r="L305">
        <v>17.3</v>
      </c>
      <c r="M305" s="7">
        <v>0.7026</v>
      </c>
      <c r="N305">
        <v>90000</v>
      </c>
      <c r="O305" s="2">
        <v>45833</v>
      </c>
    </row>
    <row r="306" spans="4:15" x14ac:dyDescent="0.45">
      <c r="D306" t="s">
        <v>524</v>
      </c>
      <c r="E306" t="s">
        <v>119</v>
      </c>
      <c r="F306" t="s">
        <v>19</v>
      </c>
      <c r="G306" t="s">
        <v>47</v>
      </c>
      <c r="H306" t="s">
        <v>29</v>
      </c>
      <c r="I306">
        <v>16.04</v>
      </c>
      <c r="J306">
        <v>20</v>
      </c>
      <c r="K306">
        <v>17.809999999999999</v>
      </c>
      <c r="L306">
        <v>15.73</v>
      </c>
      <c r="M306" s="7">
        <v>0.84230000000000005</v>
      </c>
      <c r="N306">
        <v>80000</v>
      </c>
      <c r="O306" s="2">
        <v>45569</v>
      </c>
    </row>
    <row r="307" spans="4:15" x14ac:dyDescent="0.45">
      <c r="D307" t="s">
        <v>525</v>
      </c>
      <c r="E307" t="s">
        <v>526</v>
      </c>
      <c r="F307" t="s">
        <v>14</v>
      </c>
      <c r="G307" t="s">
        <v>28</v>
      </c>
      <c r="H307" t="s">
        <v>16</v>
      </c>
      <c r="I307">
        <v>13.37</v>
      </c>
      <c r="J307">
        <v>13.7</v>
      </c>
      <c r="K307">
        <v>11.99</v>
      </c>
      <c r="L307">
        <v>12.6</v>
      </c>
      <c r="M307" s="7">
        <v>0.55000000000000004</v>
      </c>
      <c r="N307">
        <v>70000</v>
      </c>
      <c r="O307" s="2">
        <v>46151</v>
      </c>
    </row>
    <row r="308" spans="4:15" x14ac:dyDescent="0.45">
      <c r="D308" t="s">
        <v>527</v>
      </c>
      <c r="E308" t="s">
        <v>425</v>
      </c>
      <c r="F308" t="s">
        <v>14</v>
      </c>
      <c r="G308" t="s">
        <v>47</v>
      </c>
      <c r="H308" t="s">
        <v>29</v>
      </c>
      <c r="I308">
        <v>15.42</v>
      </c>
      <c r="J308">
        <v>15.05</v>
      </c>
      <c r="K308">
        <v>14.68</v>
      </c>
      <c r="L308">
        <v>11.67</v>
      </c>
      <c r="M308" s="7">
        <v>0.79059999999999997</v>
      </c>
      <c r="N308">
        <v>100000</v>
      </c>
      <c r="O308" s="2">
        <v>45665</v>
      </c>
    </row>
    <row r="309" spans="4:15" x14ac:dyDescent="0.45">
      <c r="D309" t="s">
        <v>528</v>
      </c>
      <c r="E309" t="s">
        <v>529</v>
      </c>
      <c r="F309" t="s">
        <v>19</v>
      </c>
      <c r="G309" t="s">
        <v>20</v>
      </c>
      <c r="H309" t="s">
        <v>29</v>
      </c>
      <c r="I309">
        <v>16.04</v>
      </c>
      <c r="J309">
        <v>11.55</v>
      </c>
      <c r="K309">
        <v>13.92</v>
      </c>
      <c r="L309">
        <v>12.84</v>
      </c>
      <c r="M309" s="7">
        <v>0.74919999999999998</v>
      </c>
      <c r="N309">
        <v>80000</v>
      </c>
      <c r="O309" s="2">
        <v>45725</v>
      </c>
    </row>
    <row r="310" spans="4:15" x14ac:dyDescent="0.45">
      <c r="D310" t="s">
        <v>530</v>
      </c>
      <c r="E310" t="s">
        <v>438</v>
      </c>
      <c r="F310" t="s">
        <v>14</v>
      </c>
      <c r="G310" t="s">
        <v>32</v>
      </c>
      <c r="H310" t="s">
        <v>29</v>
      </c>
      <c r="I310">
        <v>12.09</v>
      </c>
      <c r="J310">
        <v>14.77</v>
      </c>
      <c r="K310">
        <v>12.31</v>
      </c>
      <c r="L310">
        <v>11.4</v>
      </c>
      <c r="M310" s="7">
        <v>0.77869999999999995</v>
      </c>
      <c r="N310">
        <v>85000</v>
      </c>
      <c r="O310" s="2">
        <v>46138</v>
      </c>
    </row>
    <row r="311" spans="4:15" x14ac:dyDescent="0.45">
      <c r="D311" t="s">
        <v>531</v>
      </c>
      <c r="E311" t="s">
        <v>366</v>
      </c>
      <c r="F311" t="s">
        <v>14</v>
      </c>
      <c r="G311" t="s">
        <v>47</v>
      </c>
      <c r="H311" t="s">
        <v>16</v>
      </c>
      <c r="I311">
        <v>13.81</v>
      </c>
      <c r="J311">
        <v>11.53</v>
      </c>
      <c r="K311">
        <v>11.74</v>
      </c>
      <c r="L311">
        <v>13.74</v>
      </c>
      <c r="M311" s="7">
        <v>0.64239999999999997</v>
      </c>
      <c r="N311">
        <v>130000</v>
      </c>
      <c r="O311" s="2">
        <v>46161</v>
      </c>
    </row>
    <row r="312" spans="4:15" x14ac:dyDescent="0.45">
      <c r="D312" t="s">
        <v>532</v>
      </c>
      <c r="E312" t="s">
        <v>533</v>
      </c>
      <c r="F312" t="s">
        <v>19</v>
      </c>
      <c r="G312" t="s">
        <v>47</v>
      </c>
      <c r="H312" t="s">
        <v>29</v>
      </c>
      <c r="I312">
        <v>20</v>
      </c>
      <c r="J312">
        <v>20</v>
      </c>
      <c r="K312">
        <v>18.260000000000002</v>
      </c>
      <c r="L312">
        <v>17.190000000000001</v>
      </c>
      <c r="M312" s="7">
        <v>0.91190000000000004</v>
      </c>
      <c r="N312">
        <v>50000</v>
      </c>
      <c r="O312" s="2">
        <v>46177</v>
      </c>
    </row>
    <row r="313" spans="4:15" x14ac:dyDescent="0.45">
      <c r="D313" t="s">
        <v>534</v>
      </c>
      <c r="E313" t="s">
        <v>535</v>
      </c>
      <c r="F313" t="s">
        <v>19</v>
      </c>
      <c r="G313" t="s">
        <v>32</v>
      </c>
      <c r="H313" t="s">
        <v>16</v>
      </c>
      <c r="I313">
        <v>16.07</v>
      </c>
      <c r="J313">
        <v>11.43</v>
      </c>
      <c r="K313">
        <v>16.62</v>
      </c>
      <c r="L313">
        <v>16.760000000000002</v>
      </c>
      <c r="M313" s="7">
        <v>0.8952</v>
      </c>
      <c r="N313">
        <v>70000</v>
      </c>
      <c r="O313" s="2">
        <v>45834</v>
      </c>
    </row>
    <row r="314" spans="4:15" x14ac:dyDescent="0.45">
      <c r="D314" t="s">
        <v>536</v>
      </c>
      <c r="E314" t="s">
        <v>537</v>
      </c>
      <c r="F314" t="s">
        <v>14</v>
      </c>
      <c r="G314" t="s">
        <v>28</v>
      </c>
      <c r="H314" t="s">
        <v>21</v>
      </c>
      <c r="I314">
        <v>10.78</v>
      </c>
      <c r="J314">
        <v>12.1</v>
      </c>
      <c r="K314">
        <v>12.87</v>
      </c>
      <c r="L314">
        <v>10.32</v>
      </c>
      <c r="M314" s="7">
        <v>0.88970000000000005</v>
      </c>
      <c r="N314">
        <v>130000</v>
      </c>
      <c r="O314" s="2">
        <v>46065</v>
      </c>
    </row>
    <row r="315" spans="4:15" x14ac:dyDescent="0.45">
      <c r="D315" t="s">
        <v>538</v>
      </c>
      <c r="E315" t="s">
        <v>505</v>
      </c>
      <c r="F315" t="s">
        <v>14</v>
      </c>
      <c r="G315" t="s">
        <v>47</v>
      </c>
      <c r="H315" t="s">
        <v>29</v>
      </c>
      <c r="I315">
        <v>19.940000000000001</v>
      </c>
      <c r="J315">
        <v>20</v>
      </c>
      <c r="K315">
        <v>20</v>
      </c>
      <c r="L315">
        <v>15.25</v>
      </c>
      <c r="M315" s="7">
        <v>0.78210000000000002</v>
      </c>
      <c r="N315">
        <v>130000</v>
      </c>
      <c r="O315" s="2">
        <v>45765</v>
      </c>
    </row>
    <row r="316" spans="4:15" x14ac:dyDescent="0.45">
      <c r="D316" t="s">
        <v>539</v>
      </c>
      <c r="E316" t="s">
        <v>240</v>
      </c>
      <c r="F316" t="s">
        <v>14</v>
      </c>
      <c r="G316" t="s">
        <v>20</v>
      </c>
      <c r="H316" t="s">
        <v>16</v>
      </c>
      <c r="I316">
        <v>10.130000000000001</v>
      </c>
      <c r="J316">
        <v>6.44</v>
      </c>
      <c r="K316">
        <v>7.28</v>
      </c>
      <c r="L316">
        <v>8.16</v>
      </c>
      <c r="M316" s="7">
        <v>0.78939999999999999</v>
      </c>
      <c r="N316">
        <v>75000</v>
      </c>
      <c r="O316" s="2">
        <v>46054</v>
      </c>
    </row>
    <row r="317" spans="4:15" x14ac:dyDescent="0.45">
      <c r="D317" t="s">
        <v>540</v>
      </c>
      <c r="E317" t="s">
        <v>250</v>
      </c>
      <c r="F317" t="s">
        <v>19</v>
      </c>
      <c r="G317" t="s">
        <v>28</v>
      </c>
      <c r="H317" t="s">
        <v>42</v>
      </c>
      <c r="I317">
        <v>9.18</v>
      </c>
      <c r="J317">
        <v>7.74</v>
      </c>
      <c r="K317">
        <v>7.54</v>
      </c>
      <c r="L317">
        <v>10.34</v>
      </c>
      <c r="M317" s="7">
        <v>0.60060000000000002</v>
      </c>
      <c r="N317">
        <v>130000</v>
      </c>
      <c r="O317" s="2">
        <v>45887</v>
      </c>
    </row>
    <row r="318" spans="4:15" x14ac:dyDescent="0.45">
      <c r="D318" t="s">
        <v>541</v>
      </c>
      <c r="E318" t="s">
        <v>417</v>
      </c>
      <c r="F318" t="s">
        <v>19</v>
      </c>
      <c r="G318" t="s">
        <v>32</v>
      </c>
      <c r="H318" t="s">
        <v>21</v>
      </c>
      <c r="I318">
        <v>16.18</v>
      </c>
      <c r="J318">
        <v>14.19</v>
      </c>
      <c r="K318">
        <v>15.55</v>
      </c>
      <c r="L318">
        <v>19.29</v>
      </c>
      <c r="M318" s="7">
        <v>0.86739999999999995</v>
      </c>
      <c r="N318">
        <v>70000</v>
      </c>
      <c r="O318" s="2">
        <v>45572</v>
      </c>
    </row>
    <row r="319" spans="4:15" x14ac:dyDescent="0.45">
      <c r="D319" t="s">
        <v>542</v>
      </c>
      <c r="E319" t="s">
        <v>533</v>
      </c>
      <c r="F319" t="s">
        <v>19</v>
      </c>
      <c r="G319" t="s">
        <v>35</v>
      </c>
      <c r="H319" t="s">
        <v>29</v>
      </c>
      <c r="I319">
        <v>14.17</v>
      </c>
      <c r="J319">
        <v>14.81</v>
      </c>
      <c r="K319">
        <v>10.97</v>
      </c>
      <c r="L319">
        <v>13.66</v>
      </c>
      <c r="M319" s="7">
        <v>0.98650000000000004</v>
      </c>
      <c r="N319">
        <v>50000</v>
      </c>
      <c r="O319" s="2">
        <v>45828</v>
      </c>
    </row>
    <row r="320" spans="4:15" x14ac:dyDescent="0.45">
      <c r="D320" t="s">
        <v>543</v>
      </c>
      <c r="E320" t="s">
        <v>544</v>
      </c>
      <c r="F320" t="s">
        <v>19</v>
      </c>
      <c r="G320" t="s">
        <v>28</v>
      </c>
      <c r="H320" t="s">
        <v>21</v>
      </c>
      <c r="I320">
        <v>14.03</v>
      </c>
      <c r="J320">
        <v>12.98</v>
      </c>
      <c r="K320">
        <v>12.12</v>
      </c>
      <c r="L320">
        <v>18.14</v>
      </c>
      <c r="M320" s="7">
        <v>0.87139999999999995</v>
      </c>
      <c r="N320">
        <v>75000</v>
      </c>
      <c r="O320" s="2">
        <v>45863</v>
      </c>
    </row>
    <row r="321" spans="4:15" x14ac:dyDescent="0.45">
      <c r="D321" t="s">
        <v>545</v>
      </c>
      <c r="E321" t="s">
        <v>546</v>
      </c>
      <c r="F321" t="s">
        <v>19</v>
      </c>
      <c r="G321" t="s">
        <v>20</v>
      </c>
      <c r="H321" t="s">
        <v>42</v>
      </c>
      <c r="I321">
        <v>11.2</v>
      </c>
      <c r="J321">
        <v>9.7799999999999994</v>
      </c>
      <c r="K321">
        <v>8.82</v>
      </c>
      <c r="L321">
        <v>9.0500000000000007</v>
      </c>
      <c r="M321" s="7">
        <v>0.96179999999999999</v>
      </c>
      <c r="N321">
        <v>85000</v>
      </c>
      <c r="O321" s="2">
        <v>45716</v>
      </c>
    </row>
    <row r="322" spans="4:15" x14ac:dyDescent="0.45">
      <c r="D322" t="s">
        <v>547</v>
      </c>
      <c r="E322" t="s">
        <v>169</v>
      </c>
      <c r="F322" t="s">
        <v>14</v>
      </c>
      <c r="G322" t="s">
        <v>32</v>
      </c>
      <c r="H322" t="s">
        <v>42</v>
      </c>
      <c r="I322">
        <v>13.5</v>
      </c>
      <c r="J322">
        <v>15.7</v>
      </c>
      <c r="K322">
        <v>16.13</v>
      </c>
      <c r="L322">
        <v>15.75</v>
      </c>
      <c r="M322" s="7">
        <v>0.55000000000000004</v>
      </c>
      <c r="N322">
        <v>50000</v>
      </c>
      <c r="O322" s="2">
        <v>45798</v>
      </c>
    </row>
    <row r="323" spans="4:15" x14ac:dyDescent="0.45">
      <c r="D323" t="s">
        <v>548</v>
      </c>
      <c r="E323" t="s">
        <v>549</v>
      </c>
      <c r="F323" t="s">
        <v>14</v>
      </c>
      <c r="G323" t="s">
        <v>20</v>
      </c>
      <c r="H323" t="s">
        <v>29</v>
      </c>
      <c r="I323">
        <v>17.239999999999998</v>
      </c>
      <c r="J323">
        <v>17.97</v>
      </c>
      <c r="K323">
        <v>19.239999999999998</v>
      </c>
      <c r="L323">
        <v>16.940000000000001</v>
      </c>
      <c r="M323" s="7">
        <v>0.67400000000000004</v>
      </c>
      <c r="N323">
        <v>60000</v>
      </c>
      <c r="O323" s="2">
        <v>45887</v>
      </c>
    </row>
    <row r="324" spans="4:15" x14ac:dyDescent="0.45">
      <c r="D324" t="s">
        <v>550</v>
      </c>
      <c r="E324" t="s">
        <v>551</v>
      </c>
      <c r="F324" t="s">
        <v>19</v>
      </c>
      <c r="G324" t="s">
        <v>28</v>
      </c>
      <c r="H324" t="s">
        <v>16</v>
      </c>
      <c r="I324">
        <v>13.5</v>
      </c>
      <c r="J324">
        <v>17.940000000000001</v>
      </c>
      <c r="K324">
        <v>14.94</v>
      </c>
      <c r="L324">
        <v>16.63</v>
      </c>
      <c r="M324" s="7">
        <v>0.8901</v>
      </c>
      <c r="N324">
        <v>110000</v>
      </c>
      <c r="O324" s="2">
        <v>45570</v>
      </c>
    </row>
    <row r="325" spans="4:15" x14ac:dyDescent="0.45">
      <c r="D325" t="s">
        <v>552</v>
      </c>
      <c r="E325" t="s">
        <v>176</v>
      </c>
      <c r="F325" t="s">
        <v>19</v>
      </c>
      <c r="G325" t="s">
        <v>35</v>
      </c>
      <c r="H325" t="s">
        <v>29</v>
      </c>
      <c r="I325">
        <v>12.32</v>
      </c>
      <c r="J325">
        <v>16.18</v>
      </c>
      <c r="K325">
        <v>16.87</v>
      </c>
      <c r="L325">
        <v>8.7200000000000006</v>
      </c>
      <c r="M325" s="7">
        <v>0.66690000000000005</v>
      </c>
      <c r="N325">
        <v>90000</v>
      </c>
      <c r="O325" s="2">
        <v>45642</v>
      </c>
    </row>
    <row r="326" spans="4:15" x14ac:dyDescent="0.45">
      <c r="D326" t="s">
        <v>553</v>
      </c>
      <c r="E326" t="s">
        <v>73</v>
      </c>
      <c r="F326" t="s">
        <v>19</v>
      </c>
      <c r="G326" t="s">
        <v>15</v>
      </c>
      <c r="H326" t="s">
        <v>21</v>
      </c>
      <c r="I326">
        <v>12.76</v>
      </c>
      <c r="J326">
        <v>14.99</v>
      </c>
      <c r="K326">
        <v>15.88</v>
      </c>
      <c r="L326">
        <v>9.6999999999999993</v>
      </c>
      <c r="M326" s="7">
        <v>0.92649999999999999</v>
      </c>
      <c r="N326">
        <v>90000</v>
      </c>
      <c r="O326" s="2">
        <v>46072</v>
      </c>
    </row>
    <row r="327" spans="4:15" x14ac:dyDescent="0.45">
      <c r="D327" t="s">
        <v>554</v>
      </c>
      <c r="E327" t="s">
        <v>63</v>
      </c>
      <c r="F327" t="s">
        <v>14</v>
      </c>
      <c r="G327" t="s">
        <v>20</v>
      </c>
      <c r="H327" t="s">
        <v>21</v>
      </c>
      <c r="I327">
        <v>12.34</v>
      </c>
      <c r="J327">
        <v>13.1</v>
      </c>
      <c r="K327">
        <v>15.36</v>
      </c>
      <c r="L327">
        <v>13.32</v>
      </c>
      <c r="M327" s="7">
        <v>0.9254</v>
      </c>
      <c r="N327">
        <v>130000</v>
      </c>
      <c r="O327" s="2">
        <v>45782</v>
      </c>
    </row>
    <row r="328" spans="4:15" x14ac:dyDescent="0.45">
      <c r="D328" t="s">
        <v>555</v>
      </c>
      <c r="E328" t="s">
        <v>556</v>
      </c>
      <c r="F328" t="s">
        <v>14</v>
      </c>
      <c r="G328" t="s">
        <v>15</v>
      </c>
      <c r="H328" t="s">
        <v>21</v>
      </c>
      <c r="I328">
        <v>8.01</v>
      </c>
      <c r="J328">
        <v>15.07</v>
      </c>
      <c r="K328">
        <v>5.86</v>
      </c>
      <c r="L328">
        <v>4.55</v>
      </c>
      <c r="M328" s="7">
        <v>0.89339999999999997</v>
      </c>
      <c r="N328">
        <v>70000</v>
      </c>
      <c r="O328" s="2">
        <v>45961</v>
      </c>
    </row>
    <row r="329" spans="4:15" x14ac:dyDescent="0.45">
      <c r="D329" t="s">
        <v>557</v>
      </c>
      <c r="E329" t="s">
        <v>558</v>
      </c>
      <c r="F329" t="s">
        <v>14</v>
      </c>
      <c r="G329" t="s">
        <v>47</v>
      </c>
      <c r="H329" t="s">
        <v>21</v>
      </c>
      <c r="I329">
        <v>15.32</v>
      </c>
      <c r="J329">
        <v>16.940000000000001</v>
      </c>
      <c r="K329">
        <v>13.33</v>
      </c>
      <c r="L329">
        <v>15.06</v>
      </c>
      <c r="M329" s="7">
        <v>0.80220000000000002</v>
      </c>
      <c r="N329">
        <v>120000</v>
      </c>
      <c r="O329" s="2">
        <v>45932</v>
      </c>
    </row>
    <row r="330" spans="4:15" x14ac:dyDescent="0.45">
      <c r="D330" t="s">
        <v>559</v>
      </c>
      <c r="E330" t="s">
        <v>376</v>
      </c>
      <c r="F330" t="s">
        <v>14</v>
      </c>
      <c r="G330" t="s">
        <v>47</v>
      </c>
      <c r="H330" t="s">
        <v>29</v>
      </c>
      <c r="I330">
        <v>14.49</v>
      </c>
      <c r="J330">
        <v>16.98</v>
      </c>
      <c r="K330">
        <v>20</v>
      </c>
      <c r="L330">
        <v>17.760000000000002</v>
      </c>
      <c r="M330" s="7">
        <v>0.67269999999999996</v>
      </c>
      <c r="N330">
        <v>75000</v>
      </c>
      <c r="O330" s="2">
        <v>45921</v>
      </c>
    </row>
    <row r="331" spans="4:15" x14ac:dyDescent="0.45">
      <c r="D331" t="s">
        <v>560</v>
      </c>
      <c r="E331" t="s">
        <v>546</v>
      </c>
      <c r="F331" t="s">
        <v>19</v>
      </c>
      <c r="G331" t="s">
        <v>35</v>
      </c>
      <c r="H331" t="s">
        <v>29</v>
      </c>
      <c r="I331">
        <v>12.31</v>
      </c>
      <c r="J331">
        <v>7.56</v>
      </c>
      <c r="K331">
        <v>9.82</v>
      </c>
      <c r="L331">
        <v>7.89</v>
      </c>
      <c r="M331" s="7">
        <v>0.85360000000000003</v>
      </c>
      <c r="N331">
        <v>130000</v>
      </c>
      <c r="O331" s="2">
        <v>45825</v>
      </c>
    </row>
    <row r="332" spans="4:15" x14ac:dyDescent="0.45">
      <c r="D332" t="s">
        <v>561</v>
      </c>
      <c r="E332" t="s">
        <v>264</v>
      </c>
      <c r="F332" t="s">
        <v>19</v>
      </c>
      <c r="G332" t="s">
        <v>20</v>
      </c>
      <c r="H332" t="s">
        <v>21</v>
      </c>
      <c r="I332">
        <v>11.06</v>
      </c>
      <c r="J332">
        <v>11.83</v>
      </c>
      <c r="K332">
        <v>11.26</v>
      </c>
      <c r="L332">
        <v>9.42</v>
      </c>
      <c r="M332" s="7">
        <v>0.78349999999999997</v>
      </c>
      <c r="N332">
        <v>110000</v>
      </c>
      <c r="O332" s="2">
        <v>45874</v>
      </c>
    </row>
    <row r="333" spans="4:15" x14ac:dyDescent="0.45">
      <c r="D333" t="s">
        <v>562</v>
      </c>
      <c r="E333" t="s">
        <v>447</v>
      </c>
      <c r="F333" t="s">
        <v>14</v>
      </c>
      <c r="G333" t="s">
        <v>15</v>
      </c>
      <c r="H333" t="s">
        <v>42</v>
      </c>
      <c r="I333">
        <v>9.31</v>
      </c>
      <c r="J333">
        <v>13.8</v>
      </c>
      <c r="K333">
        <v>12.04</v>
      </c>
      <c r="L333">
        <v>9.1199999999999992</v>
      </c>
      <c r="M333" s="7">
        <v>0.83299999999999996</v>
      </c>
      <c r="N333">
        <v>70000</v>
      </c>
      <c r="O333" s="2">
        <v>46112</v>
      </c>
    </row>
    <row r="334" spans="4:15" x14ac:dyDescent="0.45">
      <c r="D334" t="s">
        <v>563</v>
      </c>
      <c r="E334" t="s">
        <v>214</v>
      </c>
      <c r="F334" t="s">
        <v>14</v>
      </c>
      <c r="G334" t="s">
        <v>20</v>
      </c>
      <c r="H334" t="s">
        <v>29</v>
      </c>
      <c r="I334">
        <v>11.86</v>
      </c>
      <c r="J334">
        <v>14.96</v>
      </c>
      <c r="K334">
        <v>13.21</v>
      </c>
      <c r="L334">
        <v>8.57</v>
      </c>
      <c r="M334" s="7">
        <v>0.95879999999999999</v>
      </c>
      <c r="N334">
        <v>70000</v>
      </c>
      <c r="O334" s="2">
        <v>46211</v>
      </c>
    </row>
    <row r="335" spans="4:15" x14ac:dyDescent="0.45">
      <c r="D335" t="s">
        <v>564</v>
      </c>
      <c r="E335" t="s">
        <v>105</v>
      </c>
      <c r="F335" t="s">
        <v>19</v>
      </c>
      <c r="G335" t="s">
        <v>47</v>
      </c>
      <c r="H335" t="s">
        <v>29</v>
      </c>
      <c r="I335">
        <v>9.61</v>
      </c>
      <c r="J335">
        <v>17.3</v>
      </c>
      <c r="K335">
        <v>12.59</v>
      </c>
      <c r="L335">
        <v>13.33</v>
      </c>
      <c r="M335" s="7">
        <v>0.95950000000000002</v>
      </c>
      <c r="N335">
        <v>85000</v>
      </c>
      <c r="O335" s="2">
        <v>45715</v>
      </c>
    </row>
    <row r="336" spans="4:15" x14ac:dyDescent="0.45">
      <c r="D336" t="s">
        <v>565</v>
      </c>
      <c r="E336" t="s">
        <v>314</v>
      </c>
      <c r="F336" t="s">
        <v>14</v>
      </c>
      <c r="G336" t="s">
        <v>47</v>
      </c>
      <c r="H336" t="s">
        <v>21</v>
      </c>
      <c r="I336">
        <v>5.92</v>
      </c>
      <c r="J336">
        <v>9.7899999999999991</v>
      </c>
      <c r="K336">
        <v>8.35</v>
      </c>
      <c r="L336">
        <v>7.79</v>
      </c>
      <c r="M336" s="7">
        <v>0.93059999999999998</v>
      </c>
      <c r="N336">
        <v>85000</v>
      </c>
      <c r="O336" s="2">
        <v>46004</v>
      </c>
    </row>
    <row r="337" spans="4:15" x14ac:dyDescent="0.45">
      <c r="D337" t="s">
        <v>566</v>
      </c>
      <c r="E337" t="s">
        <v>471</v>
      </c>
      <c r="F337" t="s">
        <v>19</v>
      </c>
      <c r="G337" t="s">
        <v>28</v>
      </c>
      <c r="H337" t="s">
        <v>16</v>
      </c>
      <c r="I337">
        <v>17.38</v>
      </c>
      <c r="J337">
        <v>12.86</v>
      </c>
      <c r="K337">
        <v>17.46</v>
      </c>
      <c r="L337">
        <v>14.45</v>
      </c>
      <c r="M337" s="7">
        <v>0.84789999999999999</v>
      </c>
      <c r="N337">
        <v>70000</v>
      </c>
      <c r="O337" s="2">
        <v>46214</v>
      </c>
    </row>
    <row r="338" spans="4:15" x14ac:dyDescent="0.45">
      <c r="D338" t="s">
        <v>567</v>
      </c>
      <c r="E338" t="s">
        <v>479</v>
      </c>
      <c r="F338" t="s">
        <v>19</v>
      </c>
      <c r="G338" t="s">
        <v>28</v>
      </c>
      <c r="H338" t="s">
        <v>16</v>
      </c>
      <c r="I338">
        <v>11.79</v>
      </c>
      <c r="J338">
        <v>17.079999999999998</v>
      </c>
      <c r="K338">
        <v>13.26</v>
      </c>
      <c r="L338">
        <v>19.190000000000001</v>
      </c>
      <c r="M338" s="7">
        <v>0.8589</v>
      </c>
      <c r="N338">
        <v>70000</v>
      </c>
      <c r="O338" s="2">
        <v>45541</v>
      </c>
    </row>
    <row r="339" spans="4:15" x14ac:dyDescent="0.45">
      <c r="D339" t="s">
        <v>568</v>
      </c>
      <c r="E339" t="s">
        <v>569</v>
      </c>
      <c r="F339" t="s">
        <v>14</v>
      </c>
      <c r="G339" t="s">
        <v>35</v>
      </c>
      <c r="H339" t="s">
        <v>42</v>
      </c>
      <c r="I339">
        <v>15.26</v>
      </c>
      <c r="J339">
        <v>10.47</v>
      </c>
      <c r="K339">
        <v>13.02</v>
      </c>
      <c r="L339">
        <v>11.11</v>
      </c>
      <c r="M339" s="7">
        <v>0.73309999999999997</v>
      </c>
      <c r="N339">
        <v>120000</v>
      </c>
      <c r="O339" s="2">
        <v>46085</v>
      </c>
    </row>
    <row r="340" spans="4:15" x14ac:dyDescent="0.45">
      <c r="D340" t="s">
        <v>570</v>
      </c>
      <c r="E340" t="s">
        <v>164</v>
      </c>
      <c r="F340" t="s">
        <v>14</v>
      </c>
      <c r="G340" t="s">
        <v>20</v>
      </c>
      <c r="H340" t="s">
        <v>16</v>
      </c>
      <c r="I340">
        <v>9.8800000000000008</v>
      </c>
      <c r="J340">
        <v>3.68</v>
      </c>
      <c r="K340">
        <v>4.3</v>
      </c>
      <c r="L340">
        <v>9.52</v>
      </c>
      <c r="M340" s="7">
        <v>0.80679999999999996</v>
      </c>
      <c r="N340">
        <v>110000</v>
      </c>
      <c r="O340" s="2">
        <v>45883</v>
      </c>
    </row>
    <row r="341" spans="4:15" x14ac:dyDescent="0.45">
      <c r="D341" t="s">
        <v>571</v>
      </c>
      <c r="E341" t="s">
        <v>572</v>
      </c>
      <c r="F341" t="s">
        <v>19</v>
      </c>
      <c r="G341" t="s">
        <v>32</v>
      </c>
      <c r="H341" t="s">
        <v>16</v>
      </c>
      <c r="I341">
        <v>9.9</v>
      </c>
      <c r="J341">
        <v>11.64</v>
      </c>
      <c r="K341">
        <v>8.75</v>
      </c>
      <c r="L341">
        <v>8.32</v>
      </c>
      <c r="M341" s="7">
        <v>0.95840000000000003</v>
      </c>
      <c r="N341">
        <v>70000</v>
      </c>
      <c r="O341" s="2">
        <v>46213</v>
      </c>
    </row>
    <row r="342" spans="4:15" x14ac:dyDescent="0.45">
      <c r="D342" t="s">
        <v>573</v>
      </c>
      <c r="E342" t="s">
        <v>23</v>
      </c>
      <c r="F342" t="s">
        <v>19</v>
      </c>
      <c r="G342" t="s">
        <v>20</v>
      </c>
      <c r="H342" t="s">
        <v>21</v>
      </c>
      <c r="I342">
        <v>17.59</v>
      </c>
      <c r="J342">
        <v>18.5</v>
      </c>
      <c r="K342">
        <v>15.91</v>
      </c>
      <c r="L342">
        <v>17.010000000000002</v>
      </c>
      <c r="M342" s="7">
        <v>0.93799999999999994</v>
      </c>
      <c r="N342">
        <v>100000</v>
      </c>
      <c r="O342" s="2">
        <v>45940</v>
      </c>
    </row>
    <row r="343" spans="4:15" x14ac:dyDescent="0.45">
      <c r="D343" t="s">
        <v>574</v>
      </c>
      <c r="E343" t="s">
        <v>575</v>
      </c>
      <c r="F343" t="s">
        <v>14</v>
      </c>
      <c r="G343" t="s">
        <v>15</v>
      </c>
      <c r="H343" t="s">
        <v>29</v>
      </c>
      <c r="I343">
        <v>8.18</v>
      </c>
      <c r="J343">
        <v>8.11</v>
      </c>
      <c r="K343">
        <v>6.97</v>
      </c>
      <c r="L343">
        <v>8.2200000000000006</v>
      </c>
      <c r="M343" s="7">
        <v>0.81640000000000001</v>
      </c>
      <c r="N343">
        <v>60000</v>
      </c>
      <c r="O343" s="2">
        <v>46122</v>
      </c>
    </row>
    <row r="344" spans="4:15" x14ac:dyDescent="0.45">
      <c r="D344" t="s">
        <v>576</v>
      </c>
      <c r="E344" t="s">
        <v>237</v>
      </c>
      <c r="F344" t="s">
        <v>19</v>
      </c>
      <c r="G344" t="s">
        <v>20</v>
      </c>
      <c r="H344" t="s">
        <v>42</v>
      </c>
      <c r="I344">
        <v>11.5</v>
      </c>
      <c r="J344">
        <v>14.02</v>
      </c>
      <c r="K344">
        <v>12.02</v>
      </c>
      <c r="L344">
        <v>14.92</v>
      </c>
      <c r="M344" s="7">
        <v>0.67269999999999996</v>
      </c>
      <c r="N344">
        <v>80000</v>
      </c>
      <c r="O344" s="2">
        <v>45652</v>
      </c>
    </row>
    <row r="345" spans="4:15" x14ac:dyDescent="0.45">
      <c r="D345" t="s">
        <v>577</v>
      </c>
      <c r="E345" t="s">
        <v>533</v>
      </c>
      <c r="F345" t="s">
        <v>19</v>
      </c>
      <c r="G345" t="s">
        <v>32</v>
      </c>
      <c r="H345" t="s">
        <v>29</v>
      </c>
      <c r="I345">
        <v>12.11</v>
      </c>
      <c r="J345">
        <v>11.77</v>
      </c>
      <c r="K345">
        <v>8.9700000000000006</v>
      </c>
      <c r="L345">
        <v>9.17</v>
      </c>
      <c r="M345" s="7">
        <v>0.82779999999999998</v>
      </c>
      <c r="N345">
        <v>50000</v>
      </c>
      <c r="O345" s="2">
        <v>45635</v>
      </c>
    </row>
    <row r="346" spans="4:15" x14ac:dyDescent="0.45">
      <c r="D346" t="s">
        <v>578</v>
      </c>
      <c r="E346" t="s">
        <v>579</v>
      </c>
      <c r="F346" t="s">
        <v>19</v>
      </c>
      <c r="G346" t="s">
        <v>47</v>
      </c>
      <c r="H346" t="s">
        <v>16</v>
      </c>
      <c r="I346">
        <v>14.28</v>
      </c>
      <c r="J346">
        <v>13.99</v>
      </c>
      <c r="K346">
        <v>16.07</v>
      </c>
      <c r="L346">
        <v>16.87</v>
      </c>
      <c r="M346" s="7">
        <v>0.79369999999999996</v>
      </c>
      <c r="N346">
        <v>100000</v>
      </c>
      <c r="O346" s="2">
        <v>46184</v>
      </c>
    </row>
    <row r="347" spans="4:15" x14ac:dyDescent="0.45">
      <c r="D347" t="s">
        <v>580</v>
      </c>
      <c r="E347" t="s">
        <v>372</v>
      </c>
      <c r="F347" t="s">
        <v>14</v>
      </c>
      <c r="G347" t="s">
        <v>47</v>
      </c>
      <c r="H347" t="s">
        <v>16</v>
      </c>
      <c r="I347">
        <v>10.56</v>
      </c>
      <c r="J347">
        <v>11.78</v>
      </c>
      <c r="K347">
        <v>9.2899999999999991</v>
      </c>
      <c r="L347">
        <v>12.44</v>
      </c>
      <c r="M347" s="7">
        <v>0.85799999999999998</v>
      </c>
      <c r="N347">
        <v>70000</v>
      </c>
      <c r="O347" s="2">
        <v>45904</v>
      </c>
    </row>
    <row r="348" spans="4:15" x14ac:dyDescent="0.45">
      <c r="D348" t="s">
        <v>581</v>
      </c>
      <c r="E348" t="s">
        <v>304</v>
      </c>
      <c r="F348" t="s">
        <v>19</v>
      </c>
      <c r="G348" t="s">
        <v>35</v>
      </c>
      <c r="H348" t="s">
        <v>21</v>
      </c>
      <c r="I348">
        <v>12.87</v>
      </c>
      <c r="J348">
        <v>11.72</v>
      </c>
      <c r="K348">
        <v>15.77</v>
      </c>
      <c r="L348">
        <v>13.34</v>
      </c>
      <c r="M348" s="7">
        <v>0.86880000000000002</v>
      </c>
      <c r="N348">
        <v>70000</v>
      </c>
      <c r="O348" s="2">
        <v>45926</v>
      </c>
    </row>
    <row r="349" spans="4:15" x14ac:dyDescent="0.45">
      <c r="D349" t="s">
        <v>582</v>
      </c>
      <c r="E349" t="s">
        <v>583</v>
      </c>
      <c r="F349" t="s">
        <v>19</v>
      </c>
      <c r="G349" t="s">
        <v>47</v>
      </c>
      <c r="H349" t="s">
        <v>16</v>
      </c>
      <c r="I349">
        <v>15.84</v>
      </c>
      <c r="J349">
        <v>11.08</v>
      </c>
      <c r="K349">
        <v>17.77</v>
      </c>
      <c r="L349">
        <v>16.34</v>
      </c>
      <c r="M349" s="7">
        <v>0.80469999999999997</v>
      </c>
      <c r="N349">
        <v>70000</v>
      </c>
      <c r="O349" s="2">
        <v>45654</v>
      </c>
    </row>
    <row r="350" spans="4:15" x14ac:dyDescent="0.45">
      <c r="D350" t="s">
        <v>584</v>
      </c>
      <c r="E350" t="s">
        <v>39</v>
      </c>
      <c r="F350" t="s">
        <v>14</v>
      </c>
      <c r="G350" t="s">
        <v>35</v>
      </c>
      <c r="H350" t="s">
        <v>42</v>
      </c>
      <c r="I350">
        <v>20</v>
      </c>
      <c r="J350">
        <v>20</v>
      </c>
      <c r="K350">
        <v>18.670000000000002</v>
      </c>
      <c r="L350">
        <v>20</v>
      </c>
      <c r="M350" s="7">
        <v>0.9738</v>
      </c>
      <c r="N350">
        <v>70000</v>
      </c>
      <c r="O350" s="2">
        <v>45694</v>
      </c>
    </row>
    <row r="351" spans="4:15" x14ac:dyDescent="0.45">
      <c r="D351" t="s">
        <v>585</v>
      </c>
      <c r="E351" t="s">
        <v>196</v>
      </c>
      <c r="F351" t="s">
        <v>14</v>
      </c>
      <c r="G351" t="s">
        <v>20</v>
      </c>
      <c r="H351" t="s">
        <v>29</v>
      </c>
      <c r="I351">
        <v>12.53</v>
      </c>
      <c r="J351">
        <v>11.67</v>
      </c>
      <c r="K351">
        <v>12.69</v>
      </c>
      <c r="L351">
        <v>13.87</v>
      </c>
      <c r="M351" s="7">
        <v>0.58009999999999995</v>
      </c>
      <c r="N351">
        <v>50000</v>
      </c>
      <c r="O351" s="2">
        <v>46108</v>
      </c>
    </row>
    <row r="352" spans="4:15" x14ac:dyDescent="0.45">
      <c r="D352" t="s">
        <v>586</v>
      </c>
      <c r="E352" t="s">
        <v>473</v>
      </c>
      <c r="F352" t="s">
        <v>19</v>
      </c>
      <c r="G352" t="s">
        <v>47</v>
      </c>
      <c r="H352" t="s">
        <v>29</v>
      </c>
      <c r="I352">
        <v>11.76</v>
      </c>
      <c r="J352">
        <v>16.87</v>
      </c>
      <c r="K352">
        <v>15.57</v>
      </c>
      <c r="L352">
        <v>15.7</v>
      </c>
      <c r="M352" s="7">
        <v>0.83930000000000005</v>
      </c>
      <c r="N352">
        <v>90000</v>
      </c>
      <c r="O352" s="2">
        <v>45748</v>
      </c>
    </row>
    <row r="353" spans="4:15" x14ac:dyDescent="0.45">
      <c r="D353" t="s">
        <v>587</v>
      </c>
      <c r="E353" t="s">
        <v>588</v>
      </c>
      <c r="F353" t="s">
        <v>14</v>
      </c>
      <c r="G353" t="s">
        <v>35</v>
      </c>
      <c r="H353" t="s">
        <v>21</v>
      </c>
      <c r="I353">
        <v>6.96</v>
      </c>
      <c r="J353">
        <v>12.18</v>
      </c>
      <c r="K353">
        <v>5.08</v>
      </c>
      <c r="L353">
        <v>10.72</v>
      </c>
      <c r="M353" s="7">
        <v>0.85319999999999996</v>
      </c>
      <c r="N353">
        <v>120000</v>
      </c>
      <c r="O353" s="2">
        <v>45944</v>
      </c>
    </row>
    <row r="354" spans="4:15" x14ac:dyDescent="0.45">
      <c r="D354" t="s">
        <v>589</v>
      </c>
      <c r="E354" t="s">
        <v>59</v>
      </c>
      <c r="F354" t="s">
        <v>14</v>
      </c>
      <c r="G354" t="s">
        <v>47</v>
      </c>
      <c r="H354" t="s">
        <v>42</v>
      </c>
      <c r="I354">
        <v>17.7</v>
      </c>
      <c r="J354">
        <v>15.87</v>
      </c>
      <c r="K354">
        <v>18.21</v>
      </c>
      <c r="L354">
        <v>13.52</v>
      </c>
      <c r="M354" s="7">
        <v>0.84409999999999996</v>
      </c>
      <c r="N354">
        <v>75000</v>
      </c>
      <c r="O354" s="2">
        <v>45757</v>
      </c>
    </row>
    <row r="355" spans="4:15" x14ac:dyDescent="0.45">
      <c r="D355" t="s">
        <v>590</v>
      </c>
      <c r="E355" t="s">
        <v>372</v>
      </c>
      <c r="F355" t="s">
        <v>14</v>
      </c>
      <c r="G355" t="s">
        <v>47</v>
      </c>
      <c r="H355" t="s">
        <v>42</v>
      </c>
      <c r="I355">
        <v>15.43</v>
      </c>
      <c r="J355">
        <v>13.07</v>
      </c>
      <c r="K355">
        <v>18.39</v>
      </c>
      <c r="L355">
        <v>12.28</v>
      </c>
      <c r="M355" s="7">
        <v>0.83609999999999995</v>
      </c>
      <c r="N355">
        <v>110000</v>
      </c>
      <c r="O355" s="2">
        <v>45720</v>
      </c>
    </row>
    <row r="356" spans="4:15" x14ac:dyDescent="0.45">
      <c r="D356" t="s">
        <v>591</v>
      </c>
      <c r="E356" t="s">
        <v>250</v>
      </c>
      <c r="F356" t="s">
        <v>19</v>
      </c>
      <c r="G356" t="s">
        <v>28</v>
      </c>
      <c r="H356" t="s">
        <v>29</v>
      </c>
      <c r="I356">
        <v>12.8</v>
      </c>
      <c r="J356">
        <v>10.88</v>
      </c>
      <c r="K356">
        <v>11.86</v>
      </c>
      <c r="L356">
        <v>9.59</v>
      </c>
      <c r="M356" s="7">
        <v>0.82279999999999998</v>
      </c>
      <c r="N356">
        <v>85000</v>
      </c>
      <c r="O356" s="2">
        <v>45652</v>
      </c>
    </row>
    <row r="357" spans="4:15" x14ac:dyDescent="0.45">
      <c r="D357" t="s">
        <v>592</v>
      </c>
      <c r="E357" t="s">
        <v>107</v>
      </c>
      <c r="F357" t="s">
        <v>19</v>
      </c>
      <c r="G357" t="s">
        <v>32</v>
      </c>
      <c r="H357" t="s">
        <v>29</v>
      </c>
      <c r="I357">
        <v>12.59</v>
      </c>
      <c r="J357">
        <v>9.7799999999999994</v>
      </c>
      <c r="K357">
        <v>13.38</v>
      </c>
      <c r="L357">
        <v>12.04</v>
      </c>
      <c r="M357" s="7">
        <v>0.90110000000000001</v>
      </c>
      <c r="N357">
        <v>70000</v>
      </c>
      <c r="O357" s="2">
        <v>46186</v>
      </c>
    </row>
    <row r="358" spans="4:15" x14ac:dyDescent="0.45">
      <c r="D358" t="s">
        <v>593</v>
      </c>
      <c r="E358" t="s">
        <v>594</v>
      </c>
      <c r="F358" t="s">
        <v>14</v>
      </c>
      <c r="G358" t="s">
        <v>32</v>
      </c>
      <c r="H358" t="s">
        <v>42</v>
      </c>
      <c r="I358">
        <v>10.81</v>
      </c>
      <c r="J358">
        <v>9.8000000000000007</v>
      </c>
      <c r="K358">
        <v>10.96</v>
      </c>
      <c r="L358">
        <v>13.78</v>
      </c>
      <c r="M358" s="7">
        <v>0.84319999999999995</v>
      </c>
      <c r="N358">
        <v>50000</v>
      </c>
      <c r="O358" s="2">
        <v>46194</v>
      </c>
    </row>
    <row r="359" spans="4:15" x14ac:dyDescent="0.45">
      <c r="D359" t="s">
        <v>595</v>
      </c>
      <c r="E359" t="s">
        <v>113</v>
      </c>
      <c r="F359" t="s">
        <v>19</v>
      </c>
      <c r="G359" t="s">
        <v>32</v>
      </c>
      <c r="H359" t="s">
        <v>16</v>
      </c>
      <c r="I359">
        <v>13.61</v>
      </c>
      <c r="J359">
        <v>13.5</v>
      </c>
      <c r="K359">
        <v>17.96</v>
      </c>
      <c r="L359">
        <v>13.48</v>
      </c>
      <c r="M359" s="7">
        <v>0.94010000000000005</v>
      </c>
      <c r="N359">
        <v>110000</v>
      </c>
      <c r="O359" s="2">
        <v>45616</v>
      </c>
    </row>
    <row r="360" spans="4:15" x14ac:dyDescent="0.45">
      <c r="D360" t="s">
        <v>596</v>
      </c>
      <c r="E360" t="s">
        <v>334</v>
      </c>
      <c r="F360" t="s">
        <v>14</v>
      </c>
      <c r="G360" t="s">
        <v>28</v>
      </c>
      <c r="H360" t="s">
        <v>16</v>
      </c>
      <c r="I360">
        <v>15.38</v>
      </c>
      <c r="J360">
        <v>15.64</v>
      </c>
      <c r="K360">
        <v>18.55</v>
      </c>
      <c r="L360">
        <v>14.48</v>
      </c>
      <c r="M360" s="7">
        <v>0.87829999999999997</v>
      </c>
      <c r="N360">
        <v>50000</v>
      </c>
      <c r="O360" s="2">
        <v>45783</v>
      </c>
    </row>
    <row r="361" spans="4:15" x14ac:dyDescent="0.45">
      <c r="D361" t="s">
        <v>597</v>
      </c>
      <c r="E361" t="s">
        <v>140</v>
      </c>
      <c r="F361" t="s">
        <v>19</v>
      </c>
      <c r="G361" t="s">
        <v>47</v>
      </c>
      <c r="H361" t="s">
        <v>42</v>
      </c>
      <c r="I361">
        <v>12.21</v>
      </c>
      <c r="J361">
        <v>19.07</v>
      </c>
      <c r="K361">
        <v>9.7799999999999994</v>
      </c>
      <c r="L361">
        <v>16.760000000000002</v>
      </c>
      <c r="M361" s="7">
        <v>0.9587</v>
      </c>
      <c r="N361">
        <v>80000</v>
      </c>
      <c r="O361" s="2">
        <v>45930</v>
      </c>
    </row>
    <row r="362" spans="4:15" x14ac:dyDescent="0.45">
      <c r="D362" t="s">
        <v>598</v>
      </c>
      <c r="E362" t="s">
        <v>227</v>
      </c>
      <c r="F362" t="s">
        <v>19</v>
      </c>
      <c r="G362" t="s">
        <v>32</v>
      </c>
      <c r="H362" t="s">
        <v>42</v>
      </c>
      <c r="I362">
        <v>12.15</v>
      </c>
      <c r="J362">
        <v>6.09</v>
      </c>
      <c r="K362">
        <v>10.49</v>
      </c>
      <c r="L362">
        <v>6.87</v>
      </c>
      <c r="M362" s="7">
        <v>0.76790000000000003</v>
      </c>
      <c r="N362">
        <v>50000</v>
      </c>
      <c r="O362" s="2">
        <v>45804</v>
      </c>
    </row>
    <row r="363" spans="4:15" x14ac:dyDescent="0.45">
      <c r="D363" t="s">
        <v>599</v>
      </c>
      <c r="E363" t="s">
        <v>75</v>
      </c>
      <c r="F363" t="s">
        <v>19</v>
      </c>
      <c r="G363" t="s">
        <v>28</v>
      </c>
      <c r="H363" t="s">
        <v>16</v>
      </c>
      <c r="I363">
        <v>7.57</v>
      </c>
      <c r="J363">
        <v>14.4</v>
      </c>
      <c r="K363">
        <v>19.010000000000002</v>
      </c>
      <c r="L363">
        <v>12.07</v>
      </c>
      <c r="M363" s="7">
        <v>0.80830000000000002</v>
      </c>
      <c r="N363">
        <v>110000</v>
      </c>
      <c r="O363" s="2">
        <v>46040</v>
      </c>
    </row>
    <row r="364" spans="4:15" x14ac:dyDescent="0.45">
      <c r="D364" t="s">
        <v>600</v>
      </c>
      <c r="E364" t="s">
        <v>601</v>
      </c>
      <c r="F364" t="s">
        <v>14</v>
      </c>
      <c r="G364" t="s">
        <v>15</v>
      </c>
      <c r="H364" t="s">
        <v>21</v>
      </c>
      <c r="I364">
        <v>17.329999999999998</v>
      </c>
      <c r="J364">
        <v>13.79</v>
      </c>
      <c r="K364">
        <v>17.149999999999999</v>
      </c>
      <c r="L364">
        <v>18.23</v>
      </c>
      <c r="M364" s="7">
        <v>0.87450000000000006</v>
      </c>
      <c r="N364">
        <v>130000</v>
      </c>
      <c r="O364" s="2">
        <v>45718</v>
      </c>
    </row>
    <row r="365" spans="4:15" x14ac:dyDescent="0.45">
      <c r="D365" t="s">
        <v>602</v>
      </c>
      <c r="E365" t="s">
        <v>458</v>
      </c>
      <c r="F365" t="s">
        <v>19</v>
      </c>
      <c r="G365" t="s">
        <v>20</v>
      </c>
      <c r="H365" t="s">
        <v>42</v>
      </c>
      <c r="I365">
        <v>7.22</v>
      </c>
      <c r="J365">
        <v>10.64</v>
      </c>
      <c r="K365">
        <v>5.9</v>
      </c>
      <c r="L365">
        <v>8.24</v>
      </c>
      <c r="M365" s="7">
        <v>0.79049999999999998</v>
      </c>
      <c r="N365">
        <v>75000</v>
      </c>
      <c r="O365" s="2">
        <v>45577</v>
      </c>
    </row>
    <row r="366" spans="4:15" x14ac:dyDescent="0.45">
      <c r="D366" t="s">
        <v>603</v>
      </c>
      <c r="E366" t="s">
        <v>351</v>
      </c>
      <c r="F366" t="s">
        <v>14</v>
      </c>
      <c r="G366" t="s">
        <v>32</v>
      </c>
      <c r="H366" t="s">
        <v>16</v>
      </c>
      <c r="I366">
        <v>9.59</v>
      </c>
      <c r="J366">
        <v>11.55</v>
      </c>
      <c r="K366">
        <v>11.31</v>
      </c>
      <c r="L366">
        <v>6.96</v>
      </c>
      <c r="M366" s="7">
        <v>0.75980000000000003</v>
      </c>
      <c r="N366">
        <v>75000</v>
      </c>
      <c r="O366" s="2">
        <v>45771</v>
      </c>
    </row>
    <row r="367" spans="4:15" x14ac:dyDescent="0.45">
      <c r="D367" t="s">
        <v>604</v>
      </c>
      <c r="E367" t="s">
        <v>605</v>
      </c>
      <c r="F367" t="s">
        <v>19</v>
      </c>
      <c r="G367" t="s">
        <v>28</v>
      </c>
      <c r="H367" t="s">
        <v>21</v>
      </c>
      <c r="I367">
        <v>19.68</v>
      </c>
      <c r="J367">
        <v>17.190000000000001</v>
      </c>
      <c r="K367">
        <v>13.34</v>
      </c>
      <c r="L367">
        <v>17.05</v>
      </c>
      <c r="M367" s="7">
        <v>0.80969999999999998</v>
      </c>
      <c r="N367">
        <v>90000</v>
      </c>
      <c r="O367" s="2">
        <v>45954</v>
      </c>
    </row>
    <row r="368" spans="4:15" x14ac:dyDescent="0.45">
      <c r="D368" t="s">
        <v>606</v>
      </c>
      <c r="E368" t="s">
        <v>594</v>
      </c>
      <c r="F368" t="s">
        <v>14</v>
      </c>
      <c r="G368" t="s">
        <v>20</v>
      </c>
      <c r="H368" t="s">
        <v>21</v>
      </c>
      <c r="I368">
        <v>12.69</v>
      </c>
      <c r="J368">
        <v>12.58</v>
      </c>
      <c r="K368">
        <v>17.170000000000002</v>
      </c>
      <c r="L368">
        <v>13.28</v>
      </c>
      <c r="M368" s="7">
        <v>0.8569</v>
      </c>
      <c r="N368">
        <v>85000</v>
      </c>
      <c r="O368" s="2">
        <v>45662</v>
      </c>
    </row>
    <row r="369" spans="4:15" x14ac:dyDescent="0.45">
      <c r="D369" t="s">
        <v>607</v>
      </c>
      <c r="E369" t="s">
        <v>59</v>
      </c>
      <c r="F369" t="s">
        <v>14</v>
      </c>
      <c r="G369" t="s">
        <v>15</v>
      </c>
      <c r="H369" t="s">
        <v>29</v>
      </c>
      <c r="I369">
        <v>13.16</v>
      </c>
      <c r="J369">
        <v>13.37</v>
      </c>
      <c r="K369">
        <v>12.75</v>
      </c>
      <c r="L369">
        <v>17.940000000000001</v>
      </c>
      <c r="M369" s="7">
        <v>0.93240000000000001</v>
      </c>
      <c r="N369">
        <v>80000</v>
      </c>
      <c r="O369" s="2">
        <v>46107</v>
      </c>
    </row>
    <row r="370" spans="4:15" x14ac:dyDescent="0.45">
      <c r="D370" t="s">
        <v>608</v>
      </c>
      <c r="E370" t="s">
        <v>182</v>
      </c>
      <c r="F370" t="s">
        <v>14</v>
      </c>
      <c r="G370" t="s">
        <v>32</v>
      </c>
      <c r="H370" t="s">
        <v>29</v>
      </c>
      <c r="I370">
        <v>18.420000000000002</v>
      </c>
      <c r="J370">
        <v>20</v>
      </c>
      <c r="K370">
        <v>19.07</v>
      </c>
      <c r="L370">
        <v>17.27</v>
      </c>
      <c r="M370" s="7">
        <v>0.72989999999999999</v>
      </c>
      <c r="N370">
        <v>80000</v>
      </c>
      <c r="O370" s="2">
        <v>45544</v>
      </c>
    </row>
    <row r="371" spans="4:15" x14ac:dyDescent="0.45">
      <c r="D371" t="s">
        <v>609</v>
      </c>
      <c r="E371" t="s">
        <v>266</v>
      </c>
      <c r="F371" t="s">
        <v>19</v>
      </c>
      <c r="G371" t="s">
        <v>28</v>
      </c>
      <c r="H371" t="s">
        <v>29</v>
      </c>
      <c r="I371">
        <v>15.72</v>
      </c>
      <c r="J371">
        <v>19.11</v>
      </c>
      <c r="K371">
        <v>13.12</v>
      </c>
      <c r="L371">
        <v>17.02</v>
      </c>
      <c r="M371" s="7">
        <v>0.98099999999999998</v>
      </c>
      <c r="N371">
        <v>70000</v>
      </c>
      <c r="O371" s="2">
        <v>45583</v>
      </c>
    </row>
    <row r="372" spans="4:15" x14ac:dyDescent="0.45">
      <c r="D372" t="s">
        <v>610</v>
      </c>
      <c r="E372" t="s">
        <v>188</v>
      </c>
      <c r="F372" t="s">
        <v>14</v>
      </c>
      <c r="G372" t="s">
        <v>28</v>
      </c>
      <c r="H372" t="s">
        <v>42</v>
      </c>
      <c r="I372">
        <v>14.37</v>
      </c>
      <c r="J372">
        <v>16.8</v>
      </c>
      <c r="K372">
        <v>14.34</v>
      </c>
      <c r="L372">
        <v>19.149999999999999</v>
      </c>
      <c r="M372" s="7">
        <v>0.66879999999999995</v>
      </c>
      <c r="N372">
        <v>70000</v>
      </c>
      <c r="O372" s="2">
        <v>45892</v>
      </c>
    </row>
    <row r="373" spans="4:15" x14ac:dyDescent="0.45">
      <c r="D373" t="s">
        <v>611</v>
      </c>
      <c r="E373" t="s">
        <v>612</v>
      </c>
      <c r="F373" t="s">
        <v>19</v>
      </c>
      <c r="G373" t="s">
        <v>47</v>
      </c>
      <c r="H373" t="s">
        <v>16</v>
      </c>
      <c r="I373">
        <v>17.63</v>
      </c>
      <c r="J373">
        <v>19.52</v>
      </c>
      <c r="K373">
        <v>20</v>
      </c>
      <c r="L373">
        <v>19.12</v>
      </c>
      <c r="M373" s="7">
        <v>0.88249999999999995</v>
      </c>
      <c r="N373">
        <v>90000</v>
      </c>
      <c r="O373" s="2">
        <v>45894</v>
      </c>
    </row>
    <row r="374" spans="4:15" x14ac:dyDescent="0.45">
      <c r="D374" t="s">
        <v>613</v>
      </c>
      <c r="E374" t="s">
        <v>614</v>
      </c>
      <c r="F374" t="s">
        <v>14</v>
      </c>
      <c r="G374" t="s">
        <v>28</v>
      </c>
      <c r="H374" t="s">
        <v>29</v>
      </c>
      <c r="I374">
        <v>11</v>
      </c>
      <c r="J374">
        <v>14.05</v>
      </c>
      <c r="K374">
        <v>13.33</v>
      </c>
      <c r="L374">
        <v>12.38</v>
      </c>
      <c r="M374" s="7">
        <v>0.69179999999999997</v>
      </c>
      <c r="N374">
        <v>110000</v>
      </c>
      <c r="O374" s="2">
        <v>45742</v>
      </c>
    </row>
    <row r="375" spans="4:15" x14ac:dyDescent="0.45">
      <c r="D375" t="s">
        <v>615</v>
      </c>
      <c r="E375" t="s">
        <v>438</v>
      </c>
      <c r="F375" t="s">
        <v>14</v>
      </c>
      <c r="G375" t="s">
        <v>47</v>
      </c>
      <c r="H375" t="s">
        <v>16</v>
      </c>
      <c r="I375">
        <v>14.08</v>
      </c>
      <c r="J375">
        <v>17.010000000000002</v>
      </c>
      <c r="K375">
        <v>10.24</v>
      </c>
      <c r="L375">
        <v>12.02</v>
      </c>
      <c r="M375" s="7">
        <v>0.89070000000000005</v>
      </c>
      <c r="N375">
        <v>110000</v>
      </c>
      <c r="O375" s="2">
        <v>45716</v>
      </c>
    </row>
    <row r="376" spans="4:15" x14ac:dyDescent="0.45">
      <c r="D376" t="s">
        <v>616</v>
      </c>
      <c r="E376" t="s">
        <v>617</v>
      </c>
      <c r="F376" t="s">
        <v>19</v>
      </c>
      <c r="G376" t="s">
        <v>28</v>
      </c>
      <c r="H376" t="s">
        <v>16</v>
      </c>
      <c r="I376">
        <v>14.86</v>
      </c>
      <c r="J376">
        <v>15.32</v>
      </c>
      <c r="K376">
        <v>12.38</v>
      </c>
      <c r="L376">
        <v>12.71</v>
      </c>
      <c r="M376" s="7">
        <v>0.64280000000000004</v>
      </c>
      <c r="N376">
        <v>85000</v>
      </c>
      <c r="O376" s="2">
        <v>45584</v>
      </c>
    </row>
    <row r="377" spans="4:15" x14ac:dyDescent="0.45">
      <c r="D377" t="s">
        <v>618</v>
      </c>
      <c r="E377" t="s">
        <v>619</v>
      </c>
      <c r="F377" t="s">
        <v>14</v>
      </c>
      <c r="G377" t="s">
        <v>35</v>
      </c>
      <c r="H377" t="s">
        <v>29</v>
      </c>
      <c r="I377">
        <v>15.72</v>
      </c>
      <c r="J377">
        <v>18.350000000000001</v>
      </c>
      <c r="K377">
        <v>10.81</v>
      </c>
      <c r="L377">
        <v>15.22</v>
      </c>
      <c r="M377" s="7">
        <v>0.95150000000000001</v>
      </c>
      <c r="N377">
        <v>110000</v>
      </c>
      <c r="O377" s="2">
        <v>46000</v>
      </c>
    </row>
    <row r="378" spans="4:15" x14ac:dyDescent="0.45">
      <c r="D378" t="s">
        <v>620</v>
      </c>
      <c r="E378" t="s">
        <v>621</v>
      </c>
      <c r="F378" t="s">
        <v>19</v>
      </c>
      <c r="G378" t="s">
        <v>28</v>
      </c>
      <c r="H378" t="s">
        <v>42</v>
      </c>
      <c r="I378">
        <v>11.45</v>
      </c>
      <c r="J378">
        <v>10.8</v>
      </c>
      <c r="K378">
        <v>9.4700000000000006</v>
      </c>
      <c r="L378">
        <v>11.43</v>
      </c>
      <c r="M378" s="7">
        <v>0.90229999999999999</v>
      </c>
      <c r="N378">
        <v>90000</v>
      </c>
      <c r="O378" s="2">
        <v>45801</v>
      </c>
    </row>
    <row r="379" spans="4:15" x14ac:dyDescent="0.45">
      <c r="D379" t="s">
        <v>622</v>
      </c>
      <c r="E379" t="s">
        <v>583</v>
      </c>
      <c r="F379" t="s">
        <v>19</v>
      </c>
      <c r="G379" t="s">
        <v>20</v>
      </c>
      <c r="H379" t="s">
        <v>21</v>
      </c>
      <c r="I379">
        <v>9.16</v>
      </c>
      <c r="J379">
        <v>10.92</v>
      </c>
      <c r="K379">
        <v>11.06</v>
      </c>
      <c r="L379">
        <v>9.9700000000000006</v>
      </c>
      <c r="M379" s="7">
        <v>0.84560000000000002</v>
      </c>
      <c r="N379">
        <v>75000</v>
      </c>
      <c r="O379" s="2">
        <v>45619</v>
      </c>
    </row>
    <row r="380" spans="4:15" x14ac:dyDescent="0.45">
      <c r="D380" t="s">
        <v>623</v>
      </c>
      <c r="E380" t="s">
        <v>624</v>
      </c>
      <c r="F380" t="s">
        <v>14</v>
      </c>
      <c r="G380" t="s">
        <v>32</v>
      </c>
      <c r="H380" t="s">
        <v>16</v>
      </c>
      <c r="I380">
        <v>20</v>
      </c>
      <c r="J380">
        <v>20</v>
      </c>
      <c r="K380">
        <v>20</v>
      </c>
      <c r="L380">
        <v>19.98</v>
      </c>
      <c r="M380" s="7">
        <v>0.96209999999999996</v>
      </c>
      <c r="N380">
        <v>75000</v>
      </c>
      <c r="O380" s="2">
        <v>45815</v>
      </c>
    </row>
    <row r="381" spans="4:15" x14ac:dyDescent="0.45">
      <c r="D381" t="s">
        <v>625</v>
      </c>
      <c r="E381" t="s">
        <v>626</v>
      </c>
      <c r="F381" t="s">
        <v>14</v>
      </c>
      <c r="G381" t="s">
        <v>35</v>
      </c>
      <c r="H381" t="s">
        <v>16</v>
      </c>
      <c r="I381">
        <v>14</v>
      </c>
      <c r="J381">
        <v>15.69</v>
      </c>
      <c r="K381">
        <v>13.38</v>
      </c>
      <c r="L381">
        <v>14.47</v>
      </c>
      <c r="M381" s="7">
        <v>0.67779999999999996</v>
      </c>
      <c r="N381">
        <v>85000</v>
      </c>
      <c r="O381" s="2">
        <v>46191</v>
      </c>
    </row>
    <row r="382" spans="4:15" x14ac:dyDescent="0.45">
      <c r="D382" t="s">
        <v>627</v>
      </c>
      <c r="E382" t="s">
        <v>129</v>
      </c>
      <c r="F382" t="s">
        <v>14</v>
      </c>
      <c r="G382" t="s">
        <v>20</v>
      </c>
      <c r="H382" t="s">
        <v>29</v>
      </c>
      <c r="I382">
        <v>10.47</v>
      </c>
      <c r="J382">
        <v>10.16</v>
      </c>
      <c r="K382">
        <v>15.1</v>
      </c>
      <c r="L382">
        <v>11.71</v>
      </c>
      <c r="M382" s="7">
        <v>0.9073</v>
      </c>
      <c r="N382">
        <v>75000</v>
      </c>
      <c r="O382" s="2">
        <v>45718</v>
      </c>
    </row>
    <row r="383" spans="4:15" x14ac:dyDescent="0.45">
      <c r="D383" t="s">
        <v>628</v>
      </c>
      <c r="E383" t="s">
        <v>503</v>
      </c>
      <c r="F383" t="s">
        <v>19</v>
      </c>
      <c r="G383" t="s">
        <v>35</v>
      </c>
      <c r="H383" t="s">
        <v>42</v>
      </c>
      <c r="I383">
        <v>18.48</v>
      </c>
      <c r="J383">
        <v>14.68</v>
      </c>
      <c r="K383">
        <v>14.69</v>
      </c>
      <c r="L383">
        <v>14.65</v>
      </c>
      <c r="M383" s="7">
        <v>0.65949999999999998</v>
      </c>
      <c r="N383">
        <v>110000</v>
      </c>
      <c r="O383" s="2">
        <v>46162</v>
      </c>
    </row>
    <row r="384" spans="4:15" x14ac:dyDescent="0.45">
      <c r="D384" t="s">
        <v>629</v>
      </c>
      <c r="E384" t="s">
        <v>630</v>
      </c>
      <c r="F384" t="s">
        <v>19</v>
      </c>
      <c r="G384" t="s">
        <v>20</v>
      </c>
      <c r="H384" t="s">
        <v>21</v>
      </c>
      <c r="I384">
        <v>11.61</v>
      </c>
      <c r="J384">
        <v>15.77</v>
      </c>
      <c r="K384">
        <v>12.87</v>
      </c>
      <c r="L384">
        <v>11.87</v>
      </c>
      <c r="M384" s="7">
        <v>0.80689999999999995</v>
      </c>
      <c r="N384">
        <v>70000</v>
      </c>
      <c r="O384" s="2">
        <v>45717</v>
      </c>
    </row>
    <row r="385" spans="4:15" x14ac:dyDescent="0.45">
      <c r="D385" t="s">
        <v>631</v>
      </c>
      <c r="E385" t="s">
        <v>69</v>
      </c>
      <c r="F385" t="s">
        <v>14</v>
      </c>
      <c r="G385" t="s">
        <v>28</v>
      </c>
      <c r="H385" t="s">
        <v>42</v>
      </c>
      <c r="I385">
        <v>11.48</v>
      </c>
      <c r="J385">
        <v>15.81</v>
      </c>
      <c r="K385">
        <v>10.62</v>
      </c>
      <c r="L385">
        <v>12.43</v>
      </c>
      <c r="M385" s="7">
        <v>0.87890000000000001</v>
      </c>
      <c r="N385">
        <v>50000</v>
      </c>
      <c r="O385" s="2">
        <v>45666</v>
      </c>
    </row>
    <row r="386" spans="4:15" x14ac:dyDescent="0.45">
      <c r="D386" t="s">
        <v>632</v>
      </c>
      <c r="E386" t="s">
        <v>151</v>
      </c>
      <c r="F386" t="s">
        <v>14</v>
      </c>
      <c r="G386" t="s">
        <v>28</v>
      </c>
      <c r="H386" t="s">
        <v>42</v>
      </c>
      <c r="I386">
        <v>15.1</v>
      </c>
      <c r="J386">
        <v>18.8</v>
      </c>
      <c r="K386">
        <v>17.45</v>
      </c>
      <c r="L386">
        <v>14.88</v>
      </c>
      <c r="M386" s="7">
        <v>0.73029999999999995</v>
      </c>
      <c r="N386">
        <v>85000</v>
      </c>
      <c r="O386" s="2">
        <v>45718</v>
      </c>
    </row>
    <row r="387" spans="4:15" x14ac:dyDescent="0.45">
      <c r="D387" t="s">
        <v>633</v>
      </c>
      <c r="E387" t="s">
        <v>634</v>
      </c>
      <c r="F387" t="s">
        <v>14</v>
      </c>
      <c r="G387" t="s">
        <v>35</v>
      </c>
      <c r="H387" t="s">
        <v>16</v>
      </c>
      <c r="I387">
        <v>9.8800000000000008</v>
      </c>
      <c r="J387">
        <v>14.25</v>
      </c>
      <c r="K387">
        <v>14.7</v>
      </c>
      <c r="L387">
        <v>8.82</v>
      </c>
      <c r="M387" s="7">
        <v>0.9486</v>
      </c>
      <c r="N387">
        <v>50000</v>
      </c>
      <c r="O387" s="2">
        <v>45762</v>
      </c>
    </row>
    <row r="388" spans="4:15" x14ac:dyDescent="0.45">
      <c r="D388" t="s">
        <v>635</v>
      </c>
      <c r="E388" t="s">
        <v>242</v>
      </c>
      <c r="F388" t="s">
        <v>14</v>
      </c>
      <c r="G388" t="s">
        <v>35</v>
      </c>
      <c r="H388" t="s">
        <v>16</v>
      </c>
      <c r="I388">
        <v>15.06</v>
      </c>
      <c r="J388">
        <v>15.18</v>
      </c>
      <c r="K388">
        <v>10.81</v>
      </c>
      <c r="L388">
        <v>15.1</v>
      </c>
      <c r="M388" s="7">
        <v>0.60780000000000001</v>
      </c>
      <c r="N388">
        <v>70000</v>
      </c>
      <c r="O388" s="2">
        <v>45620</v>
      </c>
    </row>
    <row r="389" spans="4:15" x14ac:dyDescent="0.45">
      <c r="D389" t="s">
        <v>636</v>
      </c>
      <c r="E389" t="s">
        <v>546</v>
      </c>
      <c r="F389" t="s">
        <v>19</v>
      </c>
      <c r="G389" t="s">
        <v>15</v>
      </c>
      <c r="H389" t="s">
        <v>16</v>
      </c>
      <c r="I389">
        <v>20</v>
      </c>
      <c r="J389">
        <v>18.57</v>
      </c>
      <c r="K389">
        <v>18.29</v>
      </c>
      <c r="L389">
        <v>14.76</v>
      </c>
      <c r="M389" s="7">
        <v>0.86929999999999996</v>
      </c>
      <c r="N389">
        <v>80000</v>
      </c>
      <c r="O389" s="2">
        <v>45947</v>
      </c>
    </row>
    <row r="390" spans="4:15" x14ac:dyDescent="0.45">
      <c r="D390" t="s">
        <v>637</v>
      </c>
      <c r="E390" t="s">
        <v>256</v>
      </c>
      <c r="F390" t="s">
        <v>19</v>
      </c>
      <c r="G390" t="s">
        <v>47</v>
      </c>
      <c r="H390" t="s">
        <v>42</v>
      </c>
      <c r="I390">
        <v>15.55</v>
      </c>
      <c r="J390">
        <v>18.18</v>
      </c>
      <c r="K390">
        <v>17.79</v>
      </c>
      <c r="L390">
        <v>13.1</v>
      </c>
      <c r="M390" s="7">
        <v>0.9224</v>
      </c>
      <c r="N390">
        <v>50000</v>
      </c>
      <c r="O390" s="2">
        <v>45769</v>
      </c>
    </row>
    <row r="391" spans="4:15" x14ac:dyDescent="0.45">
      <c r="D391" t="s">
        <v>638</v>
      </c>
      <c r="E391" t="s">
        <v>364</v>
      </c>
      <c r="F391" t="s">
        <v>14</v>
      </c>
      <c r="G391" t="s">
        <v>47</v>
      </c>
      <c r="H391" t="s">
        <v>29</v>
      </c>
      <c r="I391">
        <v>7.21</v>
      </c>
      <c r="J391">
        <v>14.42</v>
      </c>
      <c r="K391">
        <v>9.4600000000000009</v>
      </c>
      <c r="L391">
        <v>11.73</v>
      </c>
      <c r="M391" s="7">
        <v>0.78449999999999998</v>
      </c>
      <c r="N391">
        <v>70000</v>
      </c>
      <c r="O391" s="2">
        <v>46038</v>
      </c>
    </row>
    <row r="392" spans="4:15" x14ac:dyDescent="0.45">
      <c r="D392" t="s">
        <v>639</v>
      </c>
      <c r="E392" t="s">
        <v>640</v>
      </c>
      <c r="F392" t="s">
        <v>19</v>
      </c>
      <c r="G392" t="s">
        <v>32</v>
      </c>
      <c r="H392" t="s">
        <v>16</v>
      </c>
      <c r="I392">
        <v>12.8</v>
      </c>
      <c r="J392">
        <v>10.32</v>
      </c>
      <c r="K392">
        <v>13.53</v>
      </c>
      <c r="L392">
        <v>10.1</v>
      </c>
      <c r="M392" s="7">
        <v>0.92059999999999997</v>
      </c>
      <c r="N392">
        <v>85000</v>
      </c>
      <c r="O392" s="2">
        <v>45879</v>
      </c>
    </row>
    <row r="393" spans="4:15" x14ac:dyDescent="0.45">
      <c r="D393" t="s">
        <v>641</v>
      </c>
      <c r="E393" t="s">
        <v>196</v>
      </c>
      <c r="F393" t="s">
        <v>14</v>
      </c>
      <c r="G393" t="s">
        <v>47</v>
      </c>
      <c r="H393" t="s">
        <v>42</v>
      </c>
      <c r="I393">
        <v>12.43</v>
      </c>
      <c r="J393">
        <v>10.48</v>
      </c>
      <c r="K393">
        <v>15.24</v>
      </c>
      <c r="L393">
        <v>15.84</v>
      </c>
      <c r="M393" s="7">
        <v>0.82630000000000003</v>
      </c>
      <c r="N393">
        <v>80000</v>
      </c>
      <c r="O393" s="2">
        <v>45845</v>
      </c>
    </row>
    <row r="394" spans="4:15" x14ac:dyDescent="0.45">
      <c r="D394" t="s">
        <v>642</v>
      </c>
      <c r="E394" t="s">
        <v>643</v>
      </c>
      <c r="F394" t="s">
        <v>14</v>
      </c>
      <c r="G394" t="s">
        <v>32</v>
      </c>
      <c r="H394" t="s">
        <v>21</v>
      </c>
      <c r="I394">
        <v>12.88</v>
      </c>
      <c r="J394">
        <v>14.27</v>
      </c>
      <c r="K394">
        <v>13.16</v>
      </c>
      <c r="L394">
        <v>12.73</v>
      </c>
      <c r="M394" s="7">
        <v>0.94930000000000003</v>
      </c>
      <c r="N394">
        <v>120000</v>
      </c>
      <c r="O394" s="2">
        <v>45865</v>
      </c>
    </row>
    <row r="395" spans="4:15" x14ac:dyDescent="0.45">
      <c r="D395" t="s">
        <v>644</v>
      </c>
      <c r="E395" t="s">
        <v>645</v>
      </c>
      <c r="F395" t="s">
        <v>19</v>
      </c>
      <c r="G395" t="s">
        <v>47</v>
      </c>
      <c r="H395" t="s">
        <v>29</v>
      </c>
      <c r="I395">
        <v>12.98</v>
      </c>
      <c r="J395">
        <v>12.45</v>
      </c>
      <c r="K395">
        <v>13.85</v>
      </c>
      <c r="L395">
        <v>12.73</v>
      </c>
      <c r="M395" s="7">
        <v>0.55000000000000004</v>
      </c>
      <c r="N395">
        <v>60000</v>
      </c>
      <c r="O395" s="2">
        <v>45645</v>
      </c>
    </row>
    <row r="396" spans="4:15" x14ac:dyDescent="0.45">
      <c r="D396" t="s">
        <v>646</v>
      </c>
      <c r="E396" t="s">
        <v>647</v>
      </c>
      <c r="F396" t="s">
        <v>19</v>
      </c>
      <c r="G396" t="s">
        <v>35</v>
      </c>
      <c r="H396" t="s">
        <v>21</v>
      </c>
      <c r="I396">
        <v>16</v>
      </c>
      <c r="J396">
        <v>16.41</v>
      </c>
      <c r="K396">
        <v>20</v>
      </c>
      <c r="L396">
        <v>14.9</v>
      </c>
      <c r="M396" s="7">
        <v>0.89339999999999997</v>
      </c>
      <c r="N396">
        <v>100000</v>
      </c>
      <c r="O396" s="2">
        <v>46035</v>
      </c>
    </row>
    <row r="397" spans="4:15" x14ac:dyDescent="0.45">
      <c r="D397" t="s">
        <v>648</v>
      </c>
      <c r="E397" t="s">
        <v>649</v>
      </c>
      <c r="F397" t="s">
        <v>19</v>
      </c>
      <c r="G397" t="s">
        <v>47</v>
      </c>
      <c r="H397" t="s">
        <v>42</v>
      </c>
      <c r="I397">
        <v>8.5299999999999994</v>
      </c>
      <c r="J397">
        <v>11.41</v>
      </c>
      <c r="K397">
        <v>13.13</v>
      </c>
      <c r="L397">
        <v>8.51</v>
      </c>
      <c r="M397" s="7">
        <v>0.95520000000000005</v>
      </c>
      <c r="N397">
        <v>90000</v>
      </c>
      <c r="O397" s="2">
        <v>45608</v>
      </c>
    </row>
    <row r="398" spans="4:15" x14ac:dyDescent="0.45">
      <c r="D398" t="s">
        <v>650</v>
      </c>
      <c r="E398" t="s">
        <v>651</v>
      </c>
      <c r="F398" t="s">
        <v>14</v>
      </c>
      <c r="G398" t="s">
        <v>28</v>
      </c>
      <c r="H398" t="s">
        <v>42</v>
      </c>
      <c r="I398">
        <v>17.260000000000002</v>
      </c>
      <c r="J398">
        <v>17.98</v>
      </c>
      <c r="K398">
        <v>15.98</v>
      </c>
      <c r="L398">
        <v>13.14</v>
      </c>
      <c r="M398" s="7">
        <v>0.81210000000000004</v>
      </c>
      <c r="N398">
        <v>100000</v>
      </c>
      <c r="O398" s="2">
        <v>46041</v>
      </c>
    </row>
    <row r="399" spans="4:15" x14ac:dyDescent="0.45">
      <c r="D399" t="s">
        <v>652</v>
      </c>
      <c r="E399" t="s">
        <v>653</v>
      </c>
      <c r="F399" t="s">
        <v>14</v>
      </c>
      <c r="G399" t="s">
        <v>15</v>
      </c>
      <c r="H399" t="s">
        <v>21</v>
      </c>
      <c r="I399">
        <v>11.24</v>
      </c>
      <c r="J399">
        <v>15.76</v>
      </c>
      <c r="K399">
        <v>11.47</v>
      </c>
      <c r="L399">
        <v>11.96</v>
      </c>
      <c r="M399" s="7">
        <v>0.86140000000000005</v>
      </c>
      <c r="N399">
        <v>100000</v>
      </c>
      <c r="O399" s="2">
        <v>46235</v>
      </c>
    </row>
    <row r="400" spans="4:15" x14ac:dyDescent="0.45">
      <c r="D400" t="s">
        <v>654</v>
      </c>
      <c r="E400" t="s">
        <v>508</v>
      </c>
      <c r="F400" t="s">
        <v>14</v>
      </c>
      <c r="G400" t="s">
        <v>32</v>
      </c>
      <c r="H400" t="s">
        <v>16</v>
      </c>
      <c r="I400">
        <v>12.47</v>
      </c>
      <c r="J400">
        <v>10.71</v>
      </c>
      <c r="K400">
        <v>12.73</v>
      </c>
      <c r="L400">
        <v>12.39</v>
      </c>
      <c r="M400" s="7">
        <v>0.76500000000000001</v>
      </c>
      <c r="N400">
        <v>50000</v>
      </c>
      <c r="O400" s="2">
        <v>46070</v>
      </c>
    </row>
    <row r="401" spans="4:15" x14ac:dyDescent="0.45">
      <c r="D401" t="s">
        <v>655</v>
      </c>
      <c r="E401" t="s">
        <v>656</v>
      </c>
      <c r="F401" t="s">
        <v>14</v>
      </c>
      <c r="G401" t="s">
        <v>20</v>
      </c>
      <c r="H401" t="s">
        <v>21</v>
      </c>
      <c r="I401">
        <v>17</v>
      </c>
      <c r="J401">
        <v>11.3</v>
      </c>
      <c r="K401">
        <v>12.69</v>
      </c>
      <c r="L401">
        <v>9.6300000000000008</v>
      </c>
      <c r="M401" s="7">
        <v>0.94640000000000002</v>
      </c>
      <c r="N401">
        <v>110000</v>
      </c>
      <c r="O401" s="2">
        <v>45854</v>
      </c>
    </row>
    <row r="402" spans="4:15" x14ac:dyDescent="0.45">
      <c r="D402" t="s">
        <v>657</v>
      </c>
      <c r="E402" t="s">
        <v>73</v>
      </c>
      <c r="F402" t="s">
        <v>19</v>
      </c>
      <c r="G402" t="s">
        <v>35</v>
      </c>
      <c r="H402" t="s">
        <v>21</v>
      </c>
      <c r="I402">
        <v>15.65</v>
      </c>
      <c r="J402">
        <v>19.149999999999999</v>
      </c>
      <c r="K402">
        <v>14.4</v>
      </c>
      <c r="L402">
        <v>11.49</v>
      </c>
      <c r="M402" s="7">
        <v>0.96989999999999998</v>
      </c>
      <c r="N402">
        <v>75000</v>
      </c>
      <c r="O402" s="2">
        <v>45756</v>
      </c>
    </row>
    <row r="403" spans="4:15" x14ac:dyDescent="0.45">
      <c r="D403" t="s">
        <v>658</v>
      </c>
      <c r="E403" t="s">
        <v>356</v>
      </c>
      <c r="F403" t="s">
        <v>19</v>
      </c>
      <c r="G403" t="s">
        <v>20</v>
      </c>
      <c r="H403" t="s">
        <v>21</v>
      </c>
      <c r="I403">
        <v>17.21</v>
      </c>
      <c r="J403">
        <v>14.03</v>
      </c>
      <c r="K403">
        <v>16.63</v>
      </c>
      <c r="L403">
        <v>14.41</v>
      </c>
      <c r="M403" s="7">
        <v>0.84499999999999997</v>
      </c>
      <c r="N403">
        <v>100000</v>
      </c>
      <c r="O403" s="2">
        <v>46146</v>
      </c>
    </row>
    <row r="404" spans="4:15" x14ac:dyDescent="0.45">
      <c r="D404" t="s">
        <v>659</v>
      </c>
      <c r="E404" t="s">
        <v>252</v>
      </c>
      <c r="F404" t="s">
        <v>14</v>
      </c>
      <c r="G404" t="s">
        <v>35</v>
      </c>
      <c r="H404" t="s">
        <v>42</v>
      </c>
      <c r="I404">
        <v>12.9</v>
      </c>
      <c r="J404">
        <v>15.15</v>
      </c>
      <c r="K404">
        <v>16.61</v>
      </c>
      <c r="L404">
        <v>19.309999999999999</v>
      </c>
      <c r="M404" s="7">
        <v>0.91410000000000002</v>
      </c>
      <c r="N404">
        <v>75000</v>
      </c>
      <c r="O404" s="2">
        <v>45716</v>
      </c>
    </row>
    <row r="405" spans="4:15" x14ac:dyDescent="0.45">
      <c r="D405" t="s">
        <v>660</v>
      </c>
      <c r="E405" t="s">
        <v>661</v>
      </c>
      <c r="F405" t="s">
        <v>19</v>
      </c>
      <c r="G405" t="s">
        <v>28</v>
      </c>
      <c r="H405" t="s">
        <v>21</v>
      </c>
      <c r="I405">
        <v>9.51</v>
      </c>
      <c r="J405">
        <v>7.81</v>
      </c>
      <c r="K405">
        <v>8.35</v>
      </c>
      <c r="L405">
        <v>10.99</v>
      </c>
      <c r="M405" s="7">
        <v>0.66739999999999999</v>
      </c>
      <c r="N405">
        <v>80000</v>
      </c>
      <c r="O405" s="2">
        <v>45873</v>
      </c>
    </row>
    <row r="406" spans="4:15" x14ac:dyDescent="0.45">
      <c r="D406" t="s">
        <v>662</v>
      </c>
      <c r="E406" t="s">
        <v>663</v>
      </c>
      <c r="F406" t="s">
        <v>14</v>
      </c>
      <c r="G406" t="s">
        <v>20</v>
      </c>
      <c r="H406" t="s">
        <v>21</v>
      </c>
      <c r="I406">
        <v>13.77</v>
      </c>
      <c r="J406">
        <v>16.27</v>
      </c>
      <c r="K406">
        <v>16.64</v>
      </c>
      <c r="L406">
        <v>18.62</v>
      </c>
      <c r="M406" s="7">
        <v>0.80230000000000001</v>
      </c>
      <c r="N406">
        <v>100000</v>
      </c>
      <c r="O406" s="2">
        <v>46075</v>
      </c>
    </row>
    <row r="407" spans="4:15" x14ac:dyDescent="0.45">
      <c r="D407" t="s">
        <v>664</v>
      </c>
      <c r="E407" t="s">
        <v>665</v>
      </c>
      <c r="F407" t="s">
        <v>19</v>
      </c>
      <c r="G407" t="s">
        <v>47</v>
      </c>
      <c r="H407" t="s">
        <v>21</v>
      </c>
      <c r="I407">
        <v>13.66</v>
      </c>
      <c r="J407">
        <v>18.61</v>
      </c>
      <c r="K407">
        <v>20</v>
      </c>
      <c r="L407">
        <v>17.59</v>
      </c>
      <c r="M407" s="7">
        <v>0.92069999999999996</v>
      </c>
      <c r="N407">
        <v>130000</v>
      </c>
      <c r="O407" s="2">
        <v>46181</v>
      </c>
    </row>
    <row r="408" spans="4:15" x14ac:dyDescent="0.45">
      <c r="D408" t="s">
        <v>666</v>
      </c>
      <c r="E408" t="s">
        <v>331</v>
      </c>
      <c r="F408" t="s">
        <v>14</v>
      </c>
      <c r="G408" t="s">
        <v>35</v>
      </c>
      <c r="H408" t="s">
        <v>21</v>
      </c>
      <c r="I408">
        <v>11.3</v>
      </c>
      <c r="J408">
        <v>13.85</v>
      </c>
      <c r="K408">
        <v>8.94</v>
      </c>
      <c r="L408">
        <v>10.39</v>
      </c>
      <c r="M408" s="7">
        <v>0.87849999999999995</v>
      </c>
      <c r="N408">
        <v>120000</v>
      </c>
      <c r="O408" s="2">
        <v>46180</v>
      </c>
    </row>
    <row r="409" spans="4:15" x14ac:dyDescent="0.45">
      <c r="D409" t="s">
        <v>667</v>
      </c>
      <c r="E409" t="s">
        <v>285</v>
      </c>
      <c r="F409" t="s">
        <v>14</v>
      </c>
      <c r="G409" t="s">
        <v>20</v>
      </c>
      <c r="H409" t="s">
        <v>21</v>
      </c>
      <c r="I409">
        <v>14.47</v>
      </c>
      <c r="J409">
        <v>12.04</v>
      </c>
      <c r="K409">
        <v>12.67</v>
      </c>
      <c r="L409">
        <v>12.34</v>
      </c>
      <c r="M409" s="7">
        <v>0.66169999999999995</v>
      </c>
      <c r="N409">
        <v>100000</v>
      </c>
      <c r="O409" s="2">
        <v>45597</v>
      </c>
    </row>
    <row r="410" spans="4:15" x14ac:dyDescent="0.45">
      <c r="D410" t="s">
        <v>668</v>
      </c>
      <c r="E410" t="s">
        <v>669</v>
      </c>
      <c r="F410" t="s">
        <v>19</v>
      </c>
      <c r="G410" t="s">
        <v>32</v>
      </c>
      <c r="H410" t="s">
        <v>29</v>
      </c>
      <c r="I410">
        <v>15.77</v>
      </c>
      <c r="J410">
        <v>16.079999999999998</v>
      </c>
      <c r="K410">
        <v>16.95</v>
      </c>
      <c r="L410">
        <v>12.14</v>
      </c>
      <c r="M410" s="7">
        <v>0.86729999999999996</v>
      </c>
      <c r="N410">
        <v>85000</v>
      </c>
      <c r="O410" s="2">
        <v>46164</v>
      </c>
    </row>
    <row r="411" spans="4:15" x14ac:dyDescent="0.45">
      <c r="D411" t="s">
        <v>670</v>
      </c>
      <c r="E411" t="s">
        <v>411</v>
      </c>
      <c r="F411" t="s">
        <v>14</v>
      </c>
      <c r="G411" t="s">
        <v>15</v>
      </c>
      <c r="H411" t="s">
        <v>42</v>
      </c>
      <c r="I411">
        <v>11.16</v>
      </c>
      <c r="J411">
        <v>16.690000000000001</v>
      </c>
      <c r="K411">
        <v>15.78</v>
      </c>
      <c r="L411">
        <v>17.48</v>
      </c>
      <c r="M411" s="7">
        <v>0.80100000000000005</v>
      </c>
      <c r="N411">
        <v>85000</v>
      </c>
      <c r="O411" s="2">
        <v>45615</v>
      </c>
    </row>
    <row r="412" spans="4:15" x14ac:dyDescent="0.45">
      <c r="D412" t="s">
        <v>671</v>
      </c>
      <c r="E412" t="s">
        <v>558</v>
      </c>
      <c r="F412" t="s">
        <v>14</v>
      </c>
      <c r="G412" t="s">
        <v>28</v>
      </c>
      <c r="H412" t="s">
        <v>29</v>
      </c>
      <c r="I412">
        <v>18.04</v>
      </c>
      <c r="J412">
        <v>15.25</v>
      </c>
      <c r="K412">
        <v>17.36</v>
      </c>
      <c r="L412">
        <v>14.04</v>
      </c>
      <c r="M412" s="7">
        <v>0.77969999999999995</v>
      </c>
      <c r="N412">
        <v>130000</v>
      </c>
      <c r="O412" s="2">
        <v>45945</v>
      </c>
    </row>
    <row r="413" spans="4:15" x14ac:dyDescent="0.45">
      <c r="D413" t="s">
        <v>672</v>
      </c>
      <c r="E413" t="s">
        <v>673</v>
      </c>
      <c r="F413" t="s">
        <v>14</v>
      </c>
      <c r="G413" t="s">
        <v>47</v>
      </c>
      <c r="H413" t="s">
        <v>21</v>
      </c>
      <c r="I413">
        <v>11.69</v>
      </c>
      <c r="J413">
        <v>15.59</v>
      </c>
      <c r="K413">
        <v>14.88</v>
      </c>
      <c r="L413">
        <v>19.7</v>
      </c>
      <c r="M413" s="7">
        <v>0.6956</v>
      </c>
      <c r="N413">
        <v>70000</v>
      </c>
      <c r="O413" s="2">
        <v>46186</v>
      </c>
    </row>
    <row r="414" spans="4:15" x14ac:dyDescent="0.45">
      <c r="D414" t="s">
        <v>674</v>
      </c>
      <c r="E414" t="s">
        <v>549</v>
      </c>
      <c r="F414" t="s">
        <v>14</v>
      </c>
      <c r="G414" t="s">
        <v>20</v>
      </c>
      <c r="H414" t="s">
        <v>21</v>
      </c>
      <c r="I414">
        <v>20</v>
      </c>
      <c r="J414">
        <v>18.690000000000001</v>
      </c>
      <c r="K414">
        <v>17.28</v>
      </c>
      <c r="L414">
        <v>16.72</v>
      </c>
      <c r="M414" s="7">
        <v>0.95930000000000004</v>
      </c>
      <c r="N414">
        <v>130000</v>
      </c>
      <c r="O414" s="2">
        <v>45994</v>
      </c>
    </row>
    <row r="415" spans="4:15" x14ac:dyDescent="0.45">
      <c r="D415" t="s">
        <v>675</v>
      </c>
      <c r="E415" t="s">
        <v>111</v>
      </c>
      <c r="F415" t="s">
        <v>14</v>
      </c>
      <c r="G415" t="s">
        <v>32</v>
      </c>
      <c r="H415" t="s">
        <v>21</v>
      </c>
      <c r="I415">
        <v>19.18</v>
      </c>
      <c r="J415">
        <v>20</v>
      </c>
      <c r="K415">
        <v>13.21</v>
      </c>
      <c r="L415">
        <v>20</v>
      </c>
      <c r="M415" s="7">
        <v>0.72550000000000003</v>
      </c>
      <c r="N415">
        <v>100000</v>
      </c>
      <c r="O415" s="2">
        <v>46199</v>
      </c>
    </row>
    <row r="416" spans="4:15" x14ac:dyDescent="0.45">
      <c r="D416" t="s">
        <v>676</v>
      </c>
      <c r="E416" t="s">
        <v>677</v>
      </c>
      <c r="F416" t="s">
        <v>14</v>
      </c>
      <c r="G416" t="s">
        <v>47</v>
      </c>
      <c r="H416" t="s">
        <v>42</v>
      </c>
      <c r="I416">
        <v>6.74</v>
      </c>
      <c r="J416">
        <v>8.3000000000000007</v>
      </c>
      <c r="K416">
        <v>2.11</v>
      </c>
      <c r="L416">
        <v>5.03</v>
      </c>
      <c r="M416" s="7">
        <v>0.77539999999999998</v>
      </c>
      <c r="N416">
        <v>90000</v>
      </c>
      <c r="O416" s="2">
        <v>45777</v>
      </c>
    </row>
    <row r="417" spans="4:15" x14ac:dyDescent="0.45">
      <c r="D417" t="s">
        <v>678</v>
      </c>
      <c r="E417" t="s">
        <v>142</v>
      </c>
      <c r="F417" t="s">
        <v>19</v>
      </c>
      <c r="G417" t="s">
        <v>32</v>
      </c>
      <c r="H417" t="s">
        <v>29</v>
      </c>
      <c r="I417">
        <v>10.73</v>
      </c>
      <c r="J417">
        <v>10.68</v>
      </c>
      <c r="K417">
        <v>8.77</v>
      </c>
      <c r="L417">
        <v>15.45</v>
      </c>
      <c r="M417" s="7">
        <v>0.80400000000000005</v>
      </c>
      <c r="N417">
        <v>90000</v>
      </c>
      <c r="O417" s="2">
        <v>45756</v>
      </c>
    </row>
    <row r="418" spans="4:15" x14ac:dyDescent="0.45">
      <c r="D418" t="s">
        <v>679</v>
      </c>
      <c r="E418" t="s">
        <v>340</v>
      </c>
      <c r="F418" t="s">
        <v>19</v>
      </c>
      <c r="G418" t="s">
        <v>35</v>
      </c>
      <c r="H418" t="s">
        <v>16</v>
      </c>
      <c r="I418">
        <v>13.37</v>
      </c>
      <c r="J418">
        <v>15.19</v>
      </c>
      <c r="K418">
        <v>14.07</v>
      </c>
      <c r="L418">
        <v>16.670000000000002</v>
      </c>
      <c r="M418" s="7">
        <v>0.88229999999999997</v>
      </c>
      <c r="N418">
        <v>110000</v>
      </c>
      <c r="O418" s="2">
        <v>45764</v>
      </c>
    </row>
    <row r="419" spans="4:15" x14ac:dyDescent="0.45">
      <c r="D419" t="s">
        <v>680</v>
      </c>
      <c r="E419" t="s">
        <v>245</v>
      </c>
      <c r="F419" t="s">
        <v>14</v>
      </c>
      <c r="G419" t="s">
        <v>32</v>
      </c>
      <c r="H419" t="s">
        <v>42</v>
      </c>
      <c r="I419">
        <v>7.56</v>
      </c>
      <c r="J419">
        <v>10.96</v>
      </c>
      <c r="K419">
        <v>5.8</v>
      </c>
      <c r="L419">
        <v>6.24</v>
      </c>
      <c r="M419" s="7">
        <v>0.61419999999999997</v>
      </c>
      <c r="N419">
        <v>100000</v>
      </c>
      <c r="O419" s="2">
        <v>45784</v>
      </c>
    </row>
    <row r="420" spans="4:15" x14ac:dyDescent="0.45">
      <c r="D420" t="s">
        <v>681</v>
      </c>
      <c r="E420" t="s">
        <v>366</v>
      </c>
      <c r="F420" t="s">
        <v>14</v>
      </c>
      <c r="G420" t="s">
        <v>28</v>
      </c>
      <c r="H420" t="s">
        <v>42</v>
      </c>
      <c r="I420">
        <v>13.83</v>
      </c>
      <c r="J420">
        <v>14.86</v>
      </c>
      <c r="K420">
        <v>16.73</v>
      </c>
      <c r="L420">
        <v>12.6</v>
      </c>
      <c r="M420" s="7">
        <v>0.75819999999999999</v>
      </c>
      <c r="N420">
        <v>60000</v>
      </c>
      <c r="O420" s="2">
        <v>46013</v>
      </c>
    </row>
    <row r="421" spans="4:15" x14ac:dyDescent="0.45">
      <c r="D421" t="s">
        <v>682</v>
      </c>
      <c r="E421" t="s">
        <v>264</v>
      </c>
      <c r="F421" t="s">
        <v>19</v>
      </c>
      <c r="G421" t="s">
        <v>20</v>
      </c>
      <c r="H421" t="s">
        <v>42</v>
      </c>
      <c r="I421">
        <v>16.45</v>
      </c>
      <c r="J421">
        <v>19.89</v>
      </c>
      <c r="K421">
        <v>17.260000000000002</v>
      </c>
      <c r="L421">
        <v>14.62</v>
      </c>
      <c r="M421" s="7">
        <v>0.89410000000000001</v>
      </c>
      <c r="N421">
        <v>110000</v>
      </c>
      <c r="O421" s="2">
        <v>45852</v>
      </c>
    </row>
    <row r="422" spans="4:15" x14ac:dyDescent="0.45">
      <c r="D422" t="s">
        <v>683</v>
      </c>
      <c r="E422" t="s">
        <v>684</v>
      </c>
      <c r="F422" t="s">
        <v>19</v>
      </c>
      <c r="G422" t="s">
        <v>47</v>
      </c>
      <c r="H422" t="s">
        <v>42</v>
      </c>
      <c r="I422">
        <v>5.97</v>
      </c>
      <c r="J422">
        <v>11.27</v>
      </c>
      <c r="K422">
        <v>10.119999999999999</v>
      </c>
      <c r="L422">
        <v>7.65</v>
      </c>
      <c r="M422" s="7">
        <v>0.6915</v>
      </c>
      <c r="N422">
        <v>110000</v>
      </c>
      <c r="O422" s="2">
        <v>46052</v>
      </c>
    </row>
    <row r="423" spans="4:15" x14ac:dyDescent="0.45">
      <c r="D423" t="s">
        <v>685</v>
      </c>
      <c r="E423" t="s">
        <v>471</v>
      </c>
      <c r="F423" t="s">
        <v>19</v>
      </c>
      <c r="G423" t="s">
        <v>20</v>
      </c>
      <c r="H423" t="s">
        <v>21</v>
      </c>
      <c r="I423">
        <v>16.91</v>
      </c>
      <c r="J423">
        <v>15.28</v>
      </c>
      <c r="K423">
        <v>12.79</v>
      </c>
      <c r="L423">
        <v>15.81</v>
      </c>
      <c r="M423" s="7">
        <v>0.8911</v>
      </c>
      <c r="N423">
        <v>130000</v>
      </c>
      <c r="O423" s="2">
        <v>45827</v>
      </c>
    </row>
    <row r="424" spans="4:15" x14ac:dyDescent="0.45">
      <c r="D424" t="s">
        <v>686</v>
      </c>
      <c r="E424" t="s">
        <v>649</v>
      </c>
      <c r="F424" t="s">
        <v>19</v>
      </c>
      <c r="G424" t="s">
        <v>32</v>
      </c>
      <c r="H424" t="s">
        <v>16</v>
      </c>
      <c r="I424">
        <v>10.76</v>
      </c>
      <c r="J424">
        <v>11.6</v>
      </c>
      <c r="K424">
        <v>12.5</v>
      </c>
      <c r="L424">
        <v>10.4</v>
      </c>
      <c r="M424" s="7">
        <v>0.83109999999999995</v>
      </c>
      <c r="N424">
        <v>130000</v>
      </c>
      <c r="O424" s="2">
        <v>45751</v>
      </c>
    </row>
    <row r="425" spans="4:15" x14ac:dyDescent="0.45">
      <c r="D425" t="s">
        <v>687</v>
      </c>
      <c r="E425" t="s">
        <v>449</v>
      </c>
      <c r="F425" t="s">
        <v>19</v>
      </c>
      <c r="G425" t="s">
        <v>20</v>
      </c>
      <c r="H425" t="s">
        <v>29</v>
      </c>
      <c r="I425">
        <v>10.55</v>
      </c>
      <c r="J425">
        <v>7.58</v>
      </c>
      <c r="K425">
        <v>10.050000000000001</v>
      </c>
      <c r="L425">
        <v>11.63</v>
      </c>
      <c r="M425" s="7">
        <v>0.75629999999999997</v>
      </c>
      <c r="N425">
        <v>130000</v>
      </c>
      <c r="O425" s="2">
        <v>45669</v>
      </c>
    </row>
    <row r="426" spans="4:15" x14ac:dyDescent="0.45">
      <c r="D426" t="s">
        <v>688</v>
      </c>
      <c r="E426" t="s">
        <v>549</v>
      </c>
      <c r="F426" t="s">
        <v>14</v>
      </c>
      <c r="G426" t="s">
        <v>32</v>
      </c>
      <c r="H426" t="s">
        <v>42</v>
      </c>
      <c r="I426">
        <v>16.399999999999999</v>
      </c>
      <c r="J426">
        <v>17.86</v>
      </c>
      <c r="K426">
        <v>15.67</v>
      </c>
      <c r="L426">
        <v>18.760000000000002</v>
      </c>
      <c r="M426" s="7">
        <v>0.61680000000000001</v>
      </c>
      <c r="N426">
        <v>50000</v>
      </c>
      <c r="O426" s="2">
        <v>45921</v>
      </c>
    </row>
    <row r="427" spans="4:15" x14ac:dyDescent="0.45">
      <c r="D427" t="s">
        <v>689</v>
      </c>
      <c r="E427" t="s">
        <v>258</v>
      </c>
      <c r="F427" t="s">
        <v>14</v>
      </c>
      <c r="G427" t="s">
        <v>47</v>
      </c>
      <c r="H427" t="s">
        <v>21</v>
      </c>
      <c r="I427">
        <v>12.77</v>
      </c>
      <c r="J427">
        <v>10.91</v>
      </c>
      <c r="K427">
        <v>14.8</v>
      </c>
      <c r="L427">
        <v>7.79</v>
      </c>
      <c r="M427" s="7">
        <v>0.90069999999999995</v>
      </c>
      <c r="N427">
        <v>90000</v>
      </c>
      <c r="O427" s="2">
        <v>46164</v>
      </c>
    </row>
    <row r="428" spans="4:15" x14ac:dyDescent="0.45">
      <c r="D428" t="s">
        <v>690</v>
      </c>
      <c r="E428" t="s">
        <v>691</v>
      </c>
      <c r="F428" t="s">
        <v>19</v>
      </c>
      <c r="G428" t="s">
        <v>20</v>
      </c>
      <c r="H428" t="s">
        <v>21</v>
      </c>
      <c r="I428">
        <v>12.83</v>
      </c>
      <c r="J428">
        <v>12.58</v>
      </c>
      <c r="K428">
        <v>15.77</v>
      </c>
      <c r="L428">
        <v>17.53</v>
      </c>
      <c r="M428" s="7">
        <v>0.89200000000000002</v>
      </c>
      <c r="N428">
        <v>130000</v>
      </c>
      <c r="O428" s="2">
        <v>46137</v>
      </c>
    </row>
    <row r="429" spans="4:15" x14ac:dyDescent="0.45">
      <c r="D429" t="s">
        <v>692</v>
      </c>
      <c r="E429" t="s">
        <v>693</v>
      </c>
      <c r="F429" t="s">
        <v>19</v>
      </c>
      <c r="G429" t="s">
        <v>20</v>
      </c>
      <c r="H429" t="s">
        <v>21</v>
      </c>
      <c r="I429">
        <v>3.3</v>
      </c>
      <c r="J429">
        <v>11.82</v>
      </c>
      <c r="K429">
        <v>7.94</v>
      </c>
      <c r="L429">
        <v>7.39</v>
      </c>
      <c r="M429" s="7">
        <v>0.89590000000000003</v>
      </c>
      <c r="N429">
        <v>130000</v>
      </c>
      <c r="O429" s="2">
        <v>45713</v>
      </c>
    </row>
    <row r="430" spans="4:15" x14ac:dyDescent="0.45">
      <c r="D430" t="s">
        <v>694</v>
      </c>
      <c r="E430" t="s">
        <v>252</v>
      </c>
      <c r="F430" t="s">
        <v>14</v>
      </c>
      <c r="G430" t="s">
        <v>35</v>
      </c>
      <c r="H430" t="s">
        <v>21</v>
      </c>
      <c r="I430">
        <v>19.61</v>
      </c>
      <c r="J430">
        <v>20</v>
      </c>
      <c r="K430">
        <v>20</v>
      </c>
      <c r="L430">
        <v>19.79</v>
      </c>
      <c r="M430" s="7">
        <v>0.74160000000000004</v>
      </c>
      <c r="N430">
        <v>90000</v>
      </c>
      <c r="O430" s="2">
        <v>45870</v>
      </c>
    </row>
    <row r="431" spans="4:15" x14ac:dyDescent="0.45">
      <c r="D431" t="s">
        <v>695</v>
      </c>
      <c r="E431" t="s">
        <v>374</v>
      </c>
      <c r="F431" t="s">
        <v>19</v>
      </c>
      <c r="G431" t="s">
        <v>20</v>
      </c>
      <c r="H431" t="s">
        <v>21</v>
      </c>
      <c r="I431">
        <v>16.329999999999998</v>
      </c>
      <c r="J431">
        <v>15.52</v>
      </c>
      <c r="K431">
        <v>15.41</v>
      </c>
      <c r="L431">
        <v>16.45</v>
      </c>
      <c r="M431" s="7">
        <v>0.626</v>
      </c>
      <c r="N431">
        <v>130000</v>
      </c>
      <c r="O431" s="2">
        <v>46029</v>
      </c>
    </row>
    <row r="432" spans="4:15" x14ac:dyDescent="0.45">
      <c r="D432" t="s">
        <v>696</v>
      </c>
      <c r="E432" t="s">
        <v>461</v>
      </c>
      <c r="F432" t="s">
        <v>14</v>
      </c>
      <c r="G432" t="s">
        <v>15</v>
      </c>
      <c r="H432" t="s">
        <v>42</v>
      </c>
      <c r="I432">
        <v>12.55</v>
      </c>
      <c r="J432">
        <v>12.15</v>
      </c>
      <c r="K432">
        <v>14.03</v>
      </c>
      <c r="L432">
        <v>15.9</v>
      </c>
      <c r="M432" s="7">
        <v>0.67689999999999995</v>
      </c>
      <c r="N432">
        <v>120000</v>
      </c>
      <c r="O432" s="2">
        <v>45964</v>
      </c>
    </row>
    <row r="433" spans="4:15" x14ac:dyDescent="0.45">
      <c r="D433" t="s">
        <v>697</v>
      </c>
      <c r="E433" t="s">
        <v>406</v>
      </c>
      <c r="F433" t="s">
        <v>19</v>
      </c>
      <c r="G433" t="s">
        <v>32</v>
      </c>
      <c r="H433" t="s">
        <v>16</v>
      </c>
      <c r="I433">
        <v>12.59</v>
      </c>
      <c r="J433">
        <v>16.16</v>
      </c>
      <c r="K433">
        <v>13.51</v>
      </c>
      <c r="L433">
        <v>14.78</v>
      </c>
      <c r="M433" s="7">
        <v>0.76980000000000004</v>
      </c>
      <c r="N433">
        <v>50000</v>
      </c>
      <c r="O433" s="2">
        <v>45583</v>
      </c>
    </row>
    <row r="434" spans="4:15" x14ac:dyDescent="0.45">
      <c r="D434" t="s">
        <v>698</v>
      </c>
      <c r="E434" t="s">
        <v>406</v>
      </c>
      <c r="F434" t="s">
        <v>19</v>
      </c>
      <c r="G434" t="s">
        <v>32</v>
      </c>
      <c r="H434" t="s">
        <v>42</v>
      </c>
      <c r="I434">
        <v>9.75</v>
      </c>
      <c r="J434">
        <v>12.13</v>
      </c>
      <c r="K434">
        <v>14.31</v>
      </c>
      <c r="L434">
        <v>4.78</v>
      </c>
      <c r="M434" s="7">
        <v>0.55000000000000004</v>
      </c>
      <c r="N434">
        <v>120000</v>
      </c>
      <c r="O434" s="2">
        <v>45949</v>
      </c>
    </row>
    <row r="435" spans="4:15" x14ac:dyDescent="0.45">
      <c r="D435" t="s">
        <v>699</v>
      </c>
      <c r="E435" t="s">
        <v>677</v>
      </c>
      <c r="F435" t="s">
        <v>14</v>
      </c>
      <c r="G435" t="s">
        <v>28</v>
      </c>
      <c r="H435" t="s">
        <v>42</v>
      </c>
      <c r="I435">
        <v>13.59</v>
      </c>
      <c r="J435">
        <v>15.39</v>
      </c>
      <c r="K435">
        <v>15.74</v>
      </c>
      <c r="L435">
        <v>16.84</v>
      </c>
      <c r="M435" s="7">
        <v>0.877</v>
      </c>
      <c r="N435">
        <v>100000</v>
      </c>
      <c r="O435" s="2">
        <v>45563</v>
      </c>
    </row>
    <row r="436" spans="4:15" x14ac:dyDescent="0.45">
      <c r="D436" t="s">
        <v>700</v>
      </c>
      <c r="E436" t="s">
        <v>151</v>
      </c>
      <c r="F436" t="s">
        <v>14</v>
      </c>
      <c r="G436" t="s">
        <v>15</v>
      </c>
      <c r="H436" t="s">
        <v>16</v>
      </c>
      <c r="I436">
        <v>10.33</v>
      </c>
      <c r="J436">
        <v>12.98</v>
      </c>
      <c r="K436">
        <v>16.22</v>
      </c>
      <c r="L436">
        <v>12.93</v>
      </c>
      <c r="M436" s="7">
        <v>0.77610000000000001</v>
      </c>
      <c r="N436">
        <v>90000</v>
      </c>
      <c r="O436" s="2">
        <v>45617</v>
      </c>
    </row>
    <row r="437" spans="4:15" x14ac:dyDescent="0.45">
      <c r="D437" t="s">
        <v>701</v>
      </c>
      <c r="E437" t="s">
        <v>86</v>
      </c>
      <c r="F437" t="s">
        <v>14</v>
      </c>
      <c r="G437" t="s">
        <v>15</v>
      </c>
      <c r="H437" t="s">
        <v>21</v>
      </c>
      <c r="I437">
        <v>11.28</v>
      </c>
      <c r="J437">
        <v>15.24</v>
      </c>
      <c r="K437">
        <v>12.71</v>
      </c>
      <c r="L437">
        <v>10.55</v>
      </c>
      <c r="M437" s="7">
        <v>0.7661</v>
      </c>
      <c r="N437">
        <v>60000</v>
      </c>
      <c r="O437" s="2">
        <v>45993</v>
      </c>
    </row>
    <row r="438" spans="4:15" x14ac:dyDescent="0.45">
      <c r="D438" t="s">
        <v>702</v>
      </c>
      <c r="E438" t="s">
        <v>402</v>
      </c>
      <c r="F438" t="s">
        <v>19</v>
      </c>
      <c r="G438" t="s">
        <v>32</v>
      </c>
      <c r="H438" t="s">
        <v>42</v>
      </c>
      <c r="I438">
        <v>13.98</v>
      </c>
      <c r="J438">
        <v>8.26</v>
      </c>
      <c r="K438">
        <v>14.1</v>
      </c>
      <c r="L438">
        <v>12.35</v>
      </c>
      <c r="M438" s="7">
        <v>0.55000000000000004</v>
      </c>
      <c r="N438">
        <v>130000</v>
      </c>
      <c r="O438" s="2">
        <v>45607</v>
      </c>
    </row>
    <row r="439" spans="4:15" x14ac:dyDescent="0.45">
      <c r="D439" t="s">
        <v>703</v>
      </c>
      <c r="E439" t="s">
        <v>704</v>
      </c>
      <c r="F439" t="s">
        <v>19</v>
      </c>
      <c r="G439" t="s">
        <v>15</v>
      </c>
      <c r="H439" t="s">
        <v>21</v>
      </c>
      <c r="I439">
        <v>11.08</v>
      </c>
      <c r="J439">
        <v>12.15</v>
      </c>
      <c r="K439">
        <v>13.69</v>
      </c>
      <c r="L439">
        <v>10.98</v>
      </c>
      <c r="M439" s="7">
        <v>0.71079999999999999</v>
      </c>
      <c r="N439">
        <v>75000</v>
      </c>
      <c r="O439" s="2">
        <v>45773</v>
      </c>
    </row>
    <row r="440" spans="4:15" x14ac:dyDescent="0.45">
      <c r="D440" t="s">
        <v>705</v>
      </c>
      <c r="E440" t="s">
        <v>706</v>
      </c>
      <c r="F440" t="s">
        <v>14</v>
      </c>
      <c r="G440" t="s">
        <v>32</v>
      </c>
      <c r="H440" t="s">
        <v>16</v>
      </c>
      <c r="I440">
        <v>14.46</v>
      </c>
      <c r="J440">
        <v>14.9</v>
      </c>
      <c r="K440">
        <v>18.170000000000002</v>
      </c>
      <c r="L440">
        <v>12.39</v>
      </c>
      <c r="M440" s="7">
        <v>0.89910000000000001</v>
      </c>
      <c r="N440">
        <v>80000</v>
      </c>
      <c r="O440" s="2">
        <v>45947</v>
      </c>
    </row>
    <row r="441" spans="4:15" x14ac:dyDescent="0.45">
      <c r="D441" t="s">
        <v>707</v>
      </c>
      <c r="E441" t="s">
        <v>372</v>
      </c>
      <c r="F441" t="s">
        <v>14</v>
      </c>
      <c r="G441" t="s">
        <v>47</v>
      </c>
      <c r="H441" t="s">
        <v>21</v>
      </c>
      <c r="I441">
        <v>18.52</v>
      </c>
      <c r="J441">
        <v>14.32</v>
      </c>
      <c r="K441">
        <v>12.57</v>
      </c>
      <c r="L441">
        <v>15.59</v>
      </c>
      <c r="M441" s="7">
        <v>0.98099999999999998</v>
      </c>
      <c r="N441">
        <v>75000</v>
      </c>
      <c r="O441" s="2">
        <v>45994</v>
      </c>
    </row>
    <row r="442" spans="4:15" x14ac:dyDescent="0.45">
      <c r="D442" t="s">
        <v>708</v>
      </c>
      <c r="E442" t="s">
        <v>46</v>
      </c>
      <c r="F442" t="s">
        <v>19</v>
      </c>
      <c r="G442" t="s">
        <v>47</v>
      </c>
      <c r="H442" t="s">
        <v>29</v>
      </c>
      <c r="I442">
        <v>16.100000000000001</v>
      </c>
      <c r="J442">
        <v>14.62</v>
      </c>
      <c r="K442">
        <v>17.89</v>
      </c>
      <c r="L442">
        <v>13.98</v>
      </c>
      <c r="M442" s="7">
        <v>0.55000000000000004</v>
      </c>
      <c r="N442">
        <v>130000</v>
      </c>
      <c r="O442" s="2">
        <v>45848</v>
      </c>
    </row>
    <row r="443" spans="4:15" x14ac:dyDescent="0.45">
      <c r="D443" t="s">
        <v>709</v>
      </c>
      <c r="E443" t="s">
        <v>626</v>
      </c>
      <c r="F443" t="s">
        <v>14</v>
      </c>
      <c r="G443" t="s">
        <v>28</v>
      </c>
      <c r="H443" t="s">
        <v>42</v>
      </c>
      <c r="I443">
        <v>14.22</v>
      </c>
      <c r="J443">
        <v>14.18</v>
      </c>
      <c r="K443">
        <v>17.739999999999998</v>
      </c>
      <c r="L443">
        <v>12.48</v>
      </c>
      <c r="M443" s="7">
        <v>0.84509999999999996</v>
      </c>
      <c r="N443">
        <v>85000</v>
      </c>
      <c r="O443" s="2">
        <v>45601</v>
      </c>
    </row>
    <row r="444" spans="4:15" x14ac:dyDescent="0.45">
      <c r="D444" t="s">
        <v>710</v>
      </c>
      <c r="E444" t="s">
        <v>129</v>
      </c>
      <c r="F444" t="s">
        <v>14</v>
      </c>
      <c r="G444" t="s">
        <v>15</v>
      </c>
      <c r="H444" t="s">
        <v>42</v>
      </c>
      <c r="I444">
        <v>14.12</v>
      </c>
      <c r="J444">
        <v>19.57</v>
      </c>
      <c r="K444">
        <v>14.57</v>
      </c>
      <c r="L444">
        <v>13.82</v>
      </c>
      <c r="M444" s="7">
        <v>0.69399999999999995</v>
      </c>
      <c r="N444">
        <v>60000</v>
      </c>
      <c r="O444" s="2">
        <v>46095</v>
      </c>
    </row>
    <row r="445" spans="4:15" x14ac:dyDescent="0.45">
      <c r="D445" t="s">
        <v>711</v>
      </c>
      <c r="E445" t="s">
        <v>712</v>
      </c>
      <c r="F445" t="s">
        <v>14</v>
      </c>
      <c r="G445" t="s">
        <v>47</v>
      </c>
      <c r="H445" t="s">
        <v>42</v>
      </c>
      <c r="I445">
        <v>11.02</v>
      </c>
      <c r="J445">
        <v>12.01</v>
      </c>
      <c r="K445">
        <v>12.6</v>
      </c>
      <c r="L445">
        <v>14.95</v>
      </c>
      <c r="M445" s="7">
        <v>0.89570000000000005</v>
      </c>
      <c r="N445">
        <v>50000</v>
      </c>
      <c r="O445" s="2">
        <v>46200</v>
      </c>
    </row>
    <row r="446" spans="4:15" x14ac:dyDescent="0.45">
      <c r="D446" t="s">
        <v>713</v>
      </c>
      <c r="E446" t="s">
        <v>714</v>
      </c>
      <c r="F446" t="s">
        <v>19</v>
      </c>
      <c r="G446" t="s">
        <v>28</v>
      </c>
      <c r="H446" t="s">
        <v>21</v>
      </c>
      <c r="I446">
        <v>14.93</v>
      </c>
      <c r="J446">
        <v>20</v>
      </c>
      <c r="K446">
        <v>18.79</v>
      </c>
      <c r="L446">
        <v>19.55</v>
      </c>
      <c r="M446" s="7">
        <v>0.87239999999999995</v>
      </c>
      <c r="N446">
        <v>130000</v>
      </c>
      <c r="O446" s="2">
        <v>46158</v>
      </c>
    </row>
    <row r="447" spans="4:15" x14ac:dyDescent="0.45">
      <c r="D447" t="s">
        <v>715</v>
      </c>
      <c r="E447" t="s">
        <v>92</v>
      </c>
      <c r="F447" t="s">
        <v>19</v>
      </c>
      <c r="G447" t="s">
        <v>47</v>
      </c>
      <c r="H447" t="s">
        <v>16</v>
      </c>
      <c r="I447">
        <v>11.24</v>
      </c>
      <c r="J447">
        <v>13.9</v>
      </c>
      <c r="K447">
        <v>8.5500000000000007</v>
      </c>
      <c r="L447">
        <v>9.18</v>
      </c>
      <c r="M447" s="7">
        <v>0.71199999999999997</v>
      </c>
      <c r="N447">
        <v>70000</v>
      </c>
      <c r="O447" s="2">
        <v>46059</v>
      </c>
    </row>
    <row r="448" spans="4:15" x14ac:dyDescent="0.45">
      <c r="D448" t="s">
        <v>716</v>
      </c>
      <c r="E448" t="s">
        <v>404</v>
      </c>
      <c r="F448" t="s">
        <v>14</v>
      </c>
      <c r="G448" t="s">
        <v>47</v>
      </c>
      <c r="H448" t="s">
        <v>42</v>
      </c>
      <c r="I448">
        <v>18.02</v>
      </c>
      <c r="J448">
        <v>16.22</v>
      </c>
      <c r="K448">
        <v>20</v>
      </c>
      <c r="L448">
        <v>15.96</v>
      </c>
      <c r="M448" s="7">
        <v>0.72119999999999995</v>
      </c>
      <c r="N448">
        <v>110000</v>
      </c>
      <c r="O448" s="2">
        <v>45817</v>
      </c>
    </row>
    <row r="449" spans="4:15" x14ac:dyDescent="0.45">
      <c r="D449" t="s">
        <v>717</v>
      </c>
      <c r="E449" t="s">
        <v>718</v>
      </c>
      <c r="F449" t="s">
        <v>19</v>
      </c>
      <c r="G449" t="s">
        <v>47</v>
      </c>
      <c r="H449" t="s">
        <v>21</v>
      </c>
      <c r="I449">
        <v>16.940000000000001</v>
      </c>
      <c r="J449">
        <v>20</v>
      </c>
      <c r="K449">
        <v>15.32</v>
      </c>
      <c r="L449">
        <v>18.25</v>
      </c>
      <c r="M449" s="7">
        <v>0.82889999999999997</v>
      </c>
      <c r="N449">
        <v>50000</v>
      </c>
      <c r="O449" s="2">
        <v>46149</v>
      </c>
    </row>
    <row r="450" spans="4:15" x14ac:dyDescent="0.45">
      <c r="D450" t="s">
        <v>719</v>
      </c>
      <c r="E450" t="s">
        <v>374</v>
      </c>
      <c r="F450" t="s">
        <v>19</v>
      </c>
      <c r="G450" t="s">
        <v>15</v>
      </c>
      <c r="H450" t="s">
        <v>16</v>
      </c>
      <c r="I450">
        <v>10.81</v>
      </c>
      <c r="J450">
        <v>11.53</v>
      </c>
      <c r="K450">
        <v>9.24</v>
      </c>
      <c r="L450">
        <v>13.98</v>
      </c>
      <c r="M450" s="7">
        <v>0.6764</v>
      </c>
      <c r="N450">
        <v>120000</v>
      </c>
      <c r="O450" s="2">
        <v>45877</v>
      </c>
    </row>
    <row r="451" spans="4:15" x14ac:dyDescent="0.45">
      <c r="D451" t="s">
        <v>720</v>
      </c>
      <c r="E451" t="s">
        <v>575</v>
      </c>
      <c r="F451" t="s">
        <v>14</v>
      </c>
      <c r="G451" t="s">
        <v>35</v>
      </c>
      <c r="H451" t="s">
        <v>29</v>
      </c>
      <c r="I451">
        <v>20</v>
      </c>
      <c r="J451">
        <v>20</v>
      </c>
      <c r="K451">
        <v>20</v>
      </c>
      <c r="L451">
        <v>20</v>
      </c>
      <c r="M451" s="7">
        <v>0.55000000000000004</v>
      </c>
      <c r="N451">
        <v>100000</v>
      </c>
      <c r="O451" s="2">
        <v>45631</v>
      </c>
    </row>
    <row r="452" spans="4:15" x14ac:dyDescent="0.45">
      <c r="D452" t="s">
        <v>721</v>
      </c>
      <c r="E452" t="s">
        <v>44</v>
      </c>
      <c r="F452" t="s">
        <v>19</v>
      </c>
      <c r="G452" t="s">
        <v>32</v>
      </c>
      <c r="H452" t="s">
        <v>29</v>
      </c>
      <c r="I452">
        <v>12.87</v>
      </c>
      <c r="J452">
        <v>18.34</v>
      </c>
      <c r="K452">
        <v>17.86</v>
      </c>
      <c r="L452">
        <v>17.7</v>
      </c>
      <c r="M452" s="7">
        <v>0.91100000000000003</v>
      </c>
      <c r="N452">
        <v>70000</v>
      </c>
      <c r="O452" s="2">
        <v>46131</v>
      </c>
    </row>
    <row r="453" spans="4:15" x14ac:dyDescent="0.45">
      <c r="D453" t="s">
        <v>722</v>
      </c>
      <c r="E453" t="s">
        <v>723</v>
      </c>
      <c r="F453" t="s">
        <v>19</v>
      </c>
      <c r="G453" t="s">
        <v>32</v>
      </c>
      <c r="H453" t="s">
        <v>42</v>
      </c>
      <c r="I453">
        <v>14.92</v>
      </c>
      <c r="J453">
        <v>17.29</v>
      </c>
      <c r="K453">
        <v>20</v>
      </c>
      <c r="L453">
        <v>17.45</v>
      </c>
      <c r="M453" s="7">
        <v>0.9627</v>
      </c>
      <c r="N453">
        <v>120000</v>
      </c>
      <c r="O453" s="2">
        <v>45760</v>
      </c>
    </row>
    <row r="454" spans="4:15" x14ac:dyDescent="0.45">
      <c r="D454" t="s">
        <v>724</v>
      </c>
      <c r="E454" t="s">
        <v>725</v>
      </c>
      <c r="F454" t="s">
        <v>14</v>
      </c>
      <c r="G454" t="s">
        <v>32</v>
      </c>
      <c r="H454" t="s">
        <v>21</v>
      </c>
      <c r="I454">
        <v>11.08</v>
      </c>
      <c r="J454">
        <v>13.83</v>
      </c>
      <c r="K454">
        <v>12.79</v>
      </c>
      <c r="L454">
        <v>10.44</v>
      </c>
      <c r="M454" s="7">
        <v>0.68140000000000001</v>
      </c>
      <c r="N454">
        <v>75000</v>
      </c>
      <c r="O454" s="2">
        <v>46193</v>
      </c>
    </row>
    <row r="455" spans="4:15" x14ac:dyDescent="0.45">
      <c r="D455" t="s">
        <v>726</v>
      </c>
      <c r="E455" t="s">
        <v>634</v>
      </c>
      <c r="F455" t="s">
        <v>14</v>
      </c>
      <c r="G455" t="s">
        <v>15</v>
      </c>
      <c r="H455" t="s">
        <v>21</v>
      </c>
      <c r="I455">
        <v>16.79</v>
      </c>
      <c r="J455">
        <v>11.92</v>
      </c>
      <c r="K455">
        <v>13.37</v>
      </c>
      <c r="L455">
        <v>10.86</v>
      </c>
      <c r="M455" s="7">
        <v>0.86570000000000003</v>
      </c>
      <c r="N455">
        <v>130000</v>
      </c>
      <c r="O455" s="2">
        <v>45793</v>
      </c>
    </row>
    <row r="456" spans="4:15" x14ac:dyDescent="0.45">
      <c r="D456" t="s">
        <v>727</v>
      </c>
      <c r="E456" t="s">
        <v>728</v>
      </c>
      <c r="F456" t="s">
        <v>19</v>
      </c>
      <c r="G456" t="s">
        <v>20</v>
      </c>
      <c r="H456" t="s">
        <v>21</v>
      </c>
      <c r="I456">
        <v>14.84</v>
      </c>
      <c r="J456">
        <v>13.48</v>
      </c>
      <c r="K456">
        <v>11.66</v>
      </c>
      <c r="L456">
        <v>12.36</v>
      </c>
      <c r="M456" s="7">
        <v>0.93779999999999997</v>
      </c>
      <c r="N456">
        <v>90000</v>
      </c>
      <c r="O456" s="2">
        <v>46144</v>
      </c>
    </row>
    <row r="457" spans="4:15" x14ac:dyDescent="0.45">
      <c r="D457" t="s">
        <v>729</v>
      </c>
      <c r="E457" t="s">
        <v>98</v>
      </c>
      <c r="F457" t="s">
        <v>19</v>
      </c>
      <c r="G457" t="s">
        <v>32</v>
      </c>
      <c r="H457" t="s">
        <v>29</v>
      </c>
      <c r="I457">
        <v>9.75</v>
      </c>
      <c r="J457">
        <v>16.97</v>
      </c>
      <c r="K457">
        <v>15.11</v>
      </c>
      <c r="L457">
        <v>12.9</v>
      </c>
      <c r="M457" s="7">
        <v>0.68189999999999995</v>
      </c>
      <c r="N457">
        <v>80000</v>
      </c>
      <c r="O457" s="2">
        <v>45912</v>
      </c>
    </row>
    <row r="458" spans="4:15" x14ac:dyDescent="0.45">
      <c r="D458" t="s">
        <v>730</v>
      </c>
      <c r="E458" t="s">
        <v>731</v>
      </c>
      <c r="F458" t="s">
        <v>14</v>
      </c>
      <c r="G458" t="s">
        <v>28</v>
      </c>
      <c r="H458" t="s">
        <v>42</v>
      </c>
      <c r="I458">
        <v>14.09</v>
      </c>
      <c r="J458">
        <v>17.79</v>
      </c>
      <c r="K458">
        <v>13.72</v>
      </c>
      <c r="L458">
        <v>14.98</v>
      </c>
      <c r="M458" s="7">
        <v>0.67410000000000003</v>
      </c>
      <c r="N458">
        <v>50000</v>
      </c>
      <c r="O458" s="2">
        <v>45863</v>
      </c>
    </row>
    <row r="459" spans="4:15" x14ac:dyDescent="0.45">
      <c r="D459" t="s">
        <v>732</v>
      </c>
      <c r="E459" t="s">
        <v>212</v>
      </c>
      <c r="F459" t="s">
        <v>19</v>
      </c>
      <c r="G459" t="s">
        <v>35</v>
      </c>
      <c r="H459" t="s">
        <v>16</v>
      </c>
      <c r="I459">
        <v>13.72</v>
      </c>
      <c r="J459">
        <v>13.71</v>
      </c>
      <c r="K459">
        <v>15.71</v>
      </c>
      <c r="L459">
        <v>9.7899999999999991</v>
      </c>
      <c r="M459" s="7">
        <v>0.86150000000000004</v>
      </c>
      <c r="N459">
        <v>70000</v>
      </c>
      <c r="O459" s="2">
        <v>45743</v>
      </c>
    </row>
    <row r="460" spans="4:15" x14ac:dyDescent="0.45">
      <c r="D460" t="s">
        <v>733</v>
      </c>
      <c r="E460" t="s">
        <v>465</v>
      </c>
      <c r="F460" t="s">
        <v>19</v>
      </c>
      <c r="G460" t="s">
        <v>35</v>
      </c>
      <c r="H460" t="s">
        <v>29</v>
      </c>
      <c r="I460">
        <v>9.91</v>
      </c>
      <c r="J460">
        <v>10.8</v>
      </c>
      <c r="K460">
        <v>11.86</v>
      </c>
      <c r="L460">
        <v>7.89</v>
      </c>
      <c r="M460" s="7">
        <v>0.55000000000000004</v>
      </c>
      <c r="N460">
        <v>50000</v>
      </c>
      <c r="O460" s="2">
        <v>46120</v>
      </c>
    </row>
    <row r="461" spans="4:15" x14ac:dyDescent="0.45">
      <c r="D461" t="s">
        <v>734</v>
      </c>
      <c r="E461" t="s">
        <v>279</v>
      </c>
      <c r="F461" t="s">
        <v>14</v>
      </c>
      <c r="G461" t="s">
        <v>28</v>
      </c>
      <c r="H461" t="s">
        <v>16</v>
      </c>
      <c r="I461">
        <v>12.89</v>
      </c>
      <c r="J461">
        <v>18.39</v>
      </c>
      <c r="K461">
        <v>15.88</v>
      </c>
      <c r="L461">
        <v>15.14</v>
      </c>
      <c r="M461" s="7">
        <v>0.99160000000000004</v>
      </c>
      <c r="N461">
        <v>120000</v>
      </c>
      <c r="O461" s="2">
        <v>45578</v>
      </c>
    </row>
    <row r="462" spans="4:15" x14ac:dyDescent="0.45">
      <c r="D462" t="s">
        <v>735</v>
      </c>
      <c r="E462" t="s">
        <v>142</v>
      </c>
      <c r="F462" t="s">
        <v>19</v>
      </c>
      <c r="G462" t="s">
        <v>20</v>
      </c>
      <c r="H462" t="s">
        <v>16</v>
      </c>
      <c r="I462">
        <v>20</v>
      </c>
      <c r="J462">
        <v>19.170000000000002</v>
      </c>
      <c r="K462">
        <v>15.42</v>
      </c>
      <c r="L462">
        <v>15.83</v>
      </c>
      <c r="M462" s="7">
        <v>0.55000000000000004</v>
      </c>
      <c r="N462">
        <v>60000</v>
      </c>
      <c r="O462" s="2">
        <v>45864</v>
      </c>
    </row>
    <row r="463" spans="4:15" x14ac:dyDescent="0.45">
      <c r="D463" t="s">
        <v>736</v>
      </c>
      <c r="E463" t="s">
        <v>594</v>
      </c>
      <c r="F463" t="s">
        <v>14</v>
      </c>
      <c r="G463" t="s">
        <v>35</v>
      </c>
      <c r="H463" t="s">
        <v>21</v>
      </c>
      <c r="I463">
        <v>16.02</v>
      </c>
      <c r="J463">
        <v>14.27</v>
      </c>
      <c r="K463">
        <v>13.56</v>
      </c>
      <c r="L463">
        <v>13.49</v>
      </c>
      <c r="M463" s="7">
        <v>0.83799999999999997</v>
      </c>
      <c r="N463">
        <v>60000</v>
      </c>
      <c r="O463" s="2">
        <v>45794</v>
      </c>
    </row>
    <row r="464" spans="4:15" x14ac:dyDescent="0.45">
      <c r="D464" t="s">
        <v>737</v>
      </c>
      <c r="E464" t="s">
        <v>738</v>
      </c>
      <c r="F464" t="s">
        <v>19</v>
      </c>
      <c r="G464" t="s">
        <v>20</v>
      </c>
      <c r="H464" t="s">
        <v>21</v>
      </c>
      <c r="I464">
        <v>16.63</v>
      </c>
      <c r="J464">
        <v>14.52</v>
      </c>
      <c r="K464">
        <v>17.39</v>
      </c>
      <c r="L464">
        <v>15.66</v>
      </c>
      <c r="M464" s="7">
        <v>0.98150000000000004</v>
      </c>
      <c r="N464">
        <v>60000</v>
      </c>
      <c r="O464" s="2">
        <v>45916</v>
      </c>
    </row>
    <row r="465" spans="4:15" x14ac:dyDescent="0.45">
      <c r="D465" t="s">
        <v>739</v>
      </c>
      <c r="E465" t="s">
        <v>131</v>
      </c>
      <c r="F465" t="s">
        <v>14</v>
      </c>
      <c r="G465" t="s">
        <v>32</v>
      </c>
      <c r="H465" t="s">
        <v>42</v>
      </c>
      <c r="I465">
        <v>11.22</v>
      </c>
      <c r="J465">
        <v>13.98</v>
      </c>
      <c r="K465">
        <v>10.37</v>
      </c>
      <c r="L465">
        <v>11.69</v>
      </c>
      <c r="M465" s="7">
        <v>0.89729999999999999</v>
      </c>
      <c r="N465">
        <v>130000</v>
      </c>
      <c r="O465" s="2">
        <v>45714</v>
      </c>
    </row>
    <row r="466" spans="4:15" x14ac:dyDescent="0.45">
      <c r="D466" t="s">
        <v>740</v>
      </c>
      <c r="E466" t="s">
        <v>13</v>
      </c>
      <c r="F466" t="s">
        <v>14</v>
      </c>
      <c r="G466" t="s">
        <v>47</v>
      </c>
      <c r="H466" t="s">
        <v>16</v>
      </c>
      <c r="I466">
        <v>12.49</v>
      </c>
      <c r="J466">
        <v>14.66</v>
      </c>
      <c r="K466">
        <v>12.23</v>
      </c>
      <c r="L466">
        <v>13.2</v>
      </c>
      <c r="M466" s="7">
        <v>0.82530000000000003</v>
      </c>
      <c r="N466">
        <v>130000</v>
      </c>
      <c r="O466" s="2">
        <v>46001</v>
      </c>
    </row>
    <row r="467" spans="4:15" x14ac:dyDescent="0.45">
      <c r="D467" t="s">
        <v>741</v>
      </c>
      <c r="E467" t="s">
        <v>742</v>
      </c>
      <c r="F467" t="s">
        <v>19</v>
      </c>
      <c r="G467" t="s">
        <v>47</v>
      </c>
      <c r="H467" t="s">
        <v>16</v>
      </c>
      <c r="I467">
        <v>10.23</v>
      </c>
      <c r="J467">
        <v>13.99</v>
      </c>
      <c r="K467">
        <v>15.83</v>
      </c>
      <c r="L467">
        <v>10.61</v>
      </c>
      <c r="M467" s="7">
        <v>0.78610000000000002</v>
      </c>
      <c r="N467">
        <v>100000</v>
      </c>
      <c r="O467" s="2">
        <v>45806</v>
      </c>
    </row>
    <row r="468" spans="4:15" x14ac:dyDescent="0.45">
      <c r="D468" t="s">
        <v>743</v>
      </c>
      <c r="E468" t="s">
        <v>526</v>
      </c>
      <c r="F468" t="s">
        <v>14</v>
      </c>
      <c r="G468" t="s">
        <v>35</v>
      </c>
      <c r="H468" t="s">
        <v>16</v>
      </c>
      <c r="I468">
        <v>8.3000000000000007</v>
      </c>
      <c r="J468">
        <v>6.57</v>
      </c>
      <c r="K468">
        <v>12.39</v>
      </c>
      <c r="L468">
        <v>10.35</v>
      </c>
      <c r="M468" s="7">
        <v>0.74929999999999997</v>
      </c>
      <c r="N468">
        <v>50000</v>
      </c>
      <c r="O468" s="2">
        <v>45667</v>
      </c>
    </row>
    <row r="469" spans="4:15" x14ac:dyDescent="0.45">
      <c r="D469" t="s">
        <v>744</v>
      </c>
      <c r="E469" t="s">
        <v>745</v>
      </c>
      <c r="F469" t="s">
        <v>19</v>
      </c>
      <c r="G469" t="s">
        <v>28</v>
      </c>
      <c r="H469" t="s">
        <v>42</v>
      </c>
      <c r="I469">
        <v>15.51</v>
      </c>
      <c r="J469">
        <v>13.98</v>
      </c>
      <c r="K469">
        <v>11.05</v>
      </c>
      <c r="L469">
        <v>14.51</v>
      </c>
      <c r="M469" s="7">
        <v>0.94889999999999997</v>
      </c>
      <c r="N469">
        <v>85000</v>
      </c>
      <c r="O469" s="2">
        <v>45673</v>
      </c>
    </row>
    <row r="470" spans="4:15" x14ac:dyDescent="0.45">
      <c r="D470" t="s">
        <v>746</v>
      </c>
      <c r="E470" t="s">
        <v>149</v>
      </c>
      <c r="F470" t="s">
        <v>14</v>
      </c>
      <c r="G470" t="s">
        <v>32</v>
      </c>
      <c r="H470" t="s">
        <v>16</v>
      </c>
      <c r="I470">
        <v>9.68</v>
      </c>
      <c r="J470">
        <v>11.62</v>
      </c>
      <c r="K470">
        <v>12.29</v>
      </c>
      <c r="L470">
        <v>10.08</v>
      </c>
      <c r="M470" s="7">
        <v>0.93579999999999997</v>
      </c>
      <c r="N470">
        <v>130000</v>
      </c>
      <c r="O470" s="2">
        <v>46023</v>
      </c>
    </row>
    <row r="471" spans="4:15" x14ac:dyDescent="0.45">
      <c r="D471" t="s">
        <v>747</v>
      </c>
      <c r="E471" t="s">
        <v>738</v>
      </c>
      <c r="F471" t="s">
        <v>19</v>
      </c>
      <c r="G471" t="s">
        <v>15</v>
      </c>
      <c r="H471" t="s">
        <v>29</v>
      </c>
      <c r="I471">
        <v>15.78</v>
      </c>
      <c r="J471">
        <v>12.08</v>
      </c>
      <c r="K471">
        <v>13.4</v>
      </c>
      <c r="L471">
        <v>11.97</v>
      </c>
      <c r="M471" s="7">
        <v>0.97750000000000004</v>
      </c>
      <c r="N471">
        <v>60000</v>
      </c>
      <c r="O471" s="2">
        <v>45719</v>
      </c>
    </row>
    <row r="472" spans="4:15" x14ac:dyDescent="0.45">
      <c r="D472" t="s">
        <v>748</v>
      </c>
      <c r="E472" t="s">
        <v>304</v>
      </c>
      <c r="F472" t="s">
        <v>19</v>
      </c>
      <c r="G472" t="s">
        <v>32</v>
      </c>
      <c r="H472" t="s">
        <v>21</v>
      </c>
      <c r="I472">
        <v>5.63</v>
      </c>
      <c r="J472">
        <v>9.15</v>
      </c>
      <c r="K472">
        <v>5.27</v>
      </c>
      <c r="L472">
        <v>2.41</v>
      </c>
      <c r="M472" s="7">
        <v>0.72319999999999995</v>
      </c>
      <c r="N472">
        <v>110000</v>
      </c>
      <c r="O472" s="2">
        <v>45751</v>
      </c>
    </row>
    <row r="473" spans="4:15" x14ac:dyDescent="0.45">
      <c r="D473" t="s">
        <v>749</v>
      </c>
      <c r="E473" t="s">
        <v>119</v>
      </c>
      <c r="F473" t="s">
        <v>19</v>
      </c>
      <c r="G473" t="s">
        <v>20</v>
      </c>
      <c r="H473" t="s">
        <v>21</v>
      </c>
      <c r="I473">
        <v>12.83</v>
      </c>
      <c r="J473">
        <v>7.28</v>
      </c>
      <c r="K473">
        <v>7.13</v>
      </c>
      <c r="L473">
        <v>9.67</v>
      </c>
      <c r="M473" s="7">
        <v>0.86040000000000005</v>
      </c>
      <c r="N473">
        <v>50000</v>
      </c>
      <c r="O473" s="2">
        <v>45974</v>
      </c>
    </row>
    <row r="474" spans="4:15" x14ac:dyDescent="0.45">
      <c r="D474" t="s">
        <v>750</v>
      </c>
      <c r="E474" t="s">
        <v>751</v>
      </c>
      <c r="F474" t="s">
        <v>14</v>
      </c>
      <c r="G474" t="s">
        <v>28</v>
      </c>
      <c r="H474" t="s">
        <v>21</v>
      </c>
      <c r="I474">
        <v>14.27</v>
      </c>
      <c r="J474">
        <v>13.48</v>
      </c>
      <c r="K474">
        <v>17.690000000000001</v>
      </c>
      <c r="L474">
        <v>14.9</v>
      </c>
      <c r="M474" s="7">
        <v>0.93049999999999999</v>
      </c>
      <c r="N474">
        <v>110000</v>
      </c>
      <c r="O474" s="2">
        <v>45766</v>
      </c>
    </row>
    <row r="475" spans="4:15" x14ac:dyDescent="0.45">
      <c r="D475" t="s">
        <v>752</v>
      </c>
      <c r="E475" t="s">
        <v>753</v>
      </c>
      <c r="F475" t="s">
        <v>14</v>
      </c>
      <c r="G475" t="s">
        <v>35</v>
      </c>
      <c r="H475" t="s">
        <v>29</v>
      </c>
      <c r="I475">
        <v>9.61</v>
      </c>
      <c r="J475">
        <v>10.220000000000001</v>
      </c>
      <c r="K475">
        <v>11.82</v>
      </c>
      <c r="L475">
        <v>12.38</v>
      </c>
      <c r="M475" s="7">
        <v>0.85699999999999998</v>
      </c>
      <c r="N475">
        <v>85000</v>
      </c>
      <c r="O475" s="2">
        <v>45807</v>
      </c>
    </row>
    <row r="476" spans="4:15" x14ac:dyDescent="0.45">
      <c r="D476" t="s">
        <v>754</v>
      </c>
      <c r="E476" t="s">
        <v>755</v>
      </c>
      <c r="F476" t="s">
        <v>19</v>
      </c>
      <c r="G476" t="s">
        <v>32</v>
      </c>
      <c r="H476" t="s">
        <v>42</v>
      </c>
      <c r="I476">
        <v>11.95</v>
      </c>
      <c r="J476">
        <v>15.54</v>
      </c>
      <c r="K476">
        <v>18.920000000000002</v>
      </c>
      <c r="L476">
        <v>11.46</v>
      </c>
      <c r="M476" s="7">
        <v>0.70750000000000002</v>
      </c>
      <c r="N476">
        <v>120000</v>
      </c>
      <c r="O476" s="2">
        <v>45707</v>
      </c>
    </row>
    <row r="477" spans="4:15" x14ac:dyDescent="0.45">
      <c r="D477" t="s">
        <v>756</v>
      </c>
      <c r="E477" t="s">
        <v>612</v>
      </c>
      <c r="F477" t="s">
        <v>19</v>
      </c>
      <c r="G477" t="s">
        <v>15</v>
      </c>
      <c r="H477" t="s">
        <v>16</v>
      </c>
      <c r="I477">
        <v>10.16</v>
      </c>
      <c r="J477">
        <v>11.37</v>
      </c>
      <c r="K477">
        <v>9.25</v>
      </c>
      <c r="L477">
        <v>9.5399999999999991</v>
      </c>
      <c r="M477" s="7">
        <v>0.9546</v>
      </c>
      <c r="N477">
        <v>80000</v>
      </c>
      <c r="O477" s="2">
        <v>45777</v>
      </c>
    </row>
    <row r="478" spans="4:15" x14ac:dyDescent="0.45">
      <c r="D478" t="s">
        <v>757</v>
      </c>
      <c r="E478" t="s">
        <v>167</v>
      </c>
      <c r="F478" t="s">
        <v>19</v>
      </c>
      <c r="G478" t="s">
        <v>47</v>
      </c>
      <c r="H478" t="s">
        <v>21</v>
      </c>
      <c r="I478">
        <v>17.670000000000002</v>
      </c>
      <c r="J478">
        <v>18.89</v>
      </c>
      <c r="K478">
        <v>20</v>
      </c>
      <c r="L478">
        <v>18.690000000000001</v>
      </c>
      <c r="M478" s="7">
        <v>0.74709999999999999</v>
      </c>
      <c r="N478">
        <v>110000</v>
      </c>
      <c r="O478" s="2">
        <v>46020</v>
      </c>
    </row>
    <row r="479" spans="4:15" x14ac:dyDescent="0.45">
      <c r="D479" t="s">
        <v>758</v>
      </c>
      <c r="E479" t="s">
        <v>601</v>
      </c>
      <c r="F479" t="s">
        <v>14</v>
      </c>
      <c r="G479" t="s">
        <v>35</v>
      </c>
      <c r="H479" t="s">
        <v>16</v>
      </c>
      <c r="I479">
        <v>12.08</v>
      </c>
      <c r="J479">
        <v>16.079999999999998</v>
      </c>
      <c r="K479">
        <v>10.51</v>
      </c>
      <c r="L479">
        <v>14.99</v>
      </c>
      <c r="M479" s="7">
        <v>0.75880000000000003</v>
      </c>
      <c r="N479">
        <v>120000</v>
      </c>
      <c r="O479" s="2">
        <v>45909</v>
      </c>
    </row>
    <row r="480" spans="4:15" x14ac:dyDescent="0.45">
      <c r="D480" t="s">
        <v>759</v>
      </c>
      <c r="E480" t="s">
        <v>44</v>
      </c>
      <c r="F480" t="s">
        <v>19</v>
      </c>
      <c r="G480" t="s">
        <v>28</v>
      </c>
      <c r="H480" t="s">
        <v>42</v>
      </c>
      <c r="I480">
        <v>12.08</v>
      </c>
      <c r="J480">
        <v>10.83</v>
      </c>
      <c r="K480">
        <v>12.25</v>
      </c>
      <c r="L480">
        <v>12.53</v>
      </c>
      <c r="M480" s="7">
        <v>0.8881</v>
      </c>
      <c r="N480">
        <v>75000</v>
      </c>
      <c r="O480" s="2">
        <v>46234</v>
      </c>
    </row>
    <row r="481" spans="4:15" x14ac:dyDescent="0.45">
      <c r="D481" t="s">
        <v>760</v>
      </c>
      <c r="E481" t="s">
        <v>214</v>
      </c>
      <c r="F481" t="s">
        <v>14</v>
      </c>
      <c r="G481" t="s">
        <v>28</v>
      </c>
      <c r="H481" t="s">
        <v>42</v>
      </c>
      <c r="I481">
        <v>17.23</v>
      </c>
      <c r="J481">
        <v>20</v>
      </c>
      <c r="K481">
        <v>20</v>
      </c>
      <c r="L481">
        <v>19.95</v>
      </c>
      <c r="M481" s="7">
        <v>0.87219999999999998</v>
      </c>
      <c r="N481">
        <v>100000</v>
      </c>
      <c r="O481" s="2">
        <v>46076</v>
      </c>
    </row>
    <row r="482" spans="4:15" x14ac:dyDescent="0.45">
      <c r="D482" t="s">
        <v>761</v>
      </c>
      <c r="E482" t="s">
        <v>172</v>
      </c>
      <c r="F482" t="s">
        <v>14</v>
      </c>
      <c r="G482" t="s">
        <v>15</v>
      </c>
      <c r="H482" t="s">
        <v>21</v>
      </c>
      <c r="I482">
        <v>17.64</v>
      </c>
      <c r="J482">
        <v>17.46</v>
      </c>
      <c r="K482">
        <v>20</v>
      </c>
      <c r="L482">
        <v>18.05</v>
      </c>
      <c r="M482" s="7">
        <v>0.89580000000000004</v>
      </c>
      <c r="N482">
        <v>85000</v>
      </c>
      <c r="O482" s="2">
        <v>45547</v>
      </c>
    </row>
    <row r="483" spans="4:15" x14ac:dyDescent="0.45">
      <c r="D483" t="s">
        <v>762</v>
      </c>
      <c r="E483" t="s">
        <v>605</v>
      </c>
      <c r="F483" t="s">
        <v>19</v>
      </c>
      <c r="G483" t="s">
        <v>32</v>
      </c>
      <c r="H483" t="s">
        <v>29</v>
      </c>
      <c r="I483">
        <v>11.62</v>
      </c>
      <c r="J483">
        <v>14.65</v>
      </c>
      <c r="K483">
        <v>10.74</v>
      </c>
      <c r="L483">
        <v>15.95</v>
      </c>
      <c r="M483" s="7">
        <v>0.83789999999999998</v>
      </c>
      <c r="N483">
        <v>80000</v>
      </c>
      <c r="O483" s="2">
        <v>45801</v>
      </c>
    </row>
    <row r="484" spans="4:15" x14ac:dyDescent="0.45">
      <c r="D484" t="s">
        <v>763</v>
      </c>
      <c r="E484" t="s">
        <v>764</v>
      </c>
      <c r="F484" t="s">
        <v>14</v>
      </c>
      <c r="G484" t="s">
        <v>35</v>
      </c>
      <c r="H484" t="s">
        <v>16</v>
      </c>
      <c r="I484">
        <v>10.33</v>
      </c>
      <c r="J484">
        <v>9.33</v>
      </c>
      <c r="K484">
        <v>12.09</v>
      </c>
      <c r="L484">
        <v>8.48</v>
      </c>
      <c r="M484" s="7">
        <v>0.61839999999999995</v>
      </c>
      <c r="N484">
        <v>110000</v>
      </c>
      <c r="O484" s="2">
        <v>45738</v>
      </c>
    </row>
    <row r="485" spans="4:15" x14ac:dyDescent="0.45">
      <c r="D485" t="s">
        <v>765</v>
      </c>
      <c r="E485" t="s">
        <v>237</v>
      </c>
      <c r="F485" t="s">
        <v>19</v>
      </c>
      <c r="G485" t="s">
        <v>15</v>
      </c>
      <c r="H485" t="s">
        <v>21</v>
      </c>
      <c r="I485">
        <v>15.99</v>
      </c>
      <c r="J485">
        <v>13</v>
      </c>
      <c r="K485">
        <v>9.75</v>
      </c>
      <c r="L485">
        <v>10.48</v>
      </c>
      <c r="M485" s="7">
        <v>0.68830000000000002</v>
      </c>
      <c r="N485">
        <v>70000</v>
      </c>
      <c r="O485" s="2">
        <v>45947</v>
      </c>
    </row>
    <row r="486" spans="4:15" x14ac:dyDescent="0.45">
      <c r="D486" t="s">
        <v>766</v>
      </c>
      <c r="E486" t="s">
        <v>100</v>
      </c>
      <c r="F486" t="s">
        <v>14</v>
      </c>
      <c r="G486" t="s">
        <v>20</v>
      </c>
      <c r="H486" t="s">
        <v>42</v>
      </c>
      <c r="I486">
        <v>14.75</v>
      </c>
      <c r="J486">
        <v>15.85</v>
      </c>
      <c r="K486">
        <v>14.73</v>
      </c>
      <c r="L486">
        <v>20</v>
      </c>
      <c r="M486" s="7">
        <v>0.73089999999999999</v>
      </c>
      <c r="N486">
        <v>60000</v>
      </c>
      <c r="O486" s="2">
        <v>45721</v>
      </c>
    </row>
    <row r="487" spans="4:15" x14ac:dyDescent="0.45">
      <c r="D487" t="s">
        <v>767</v>
      </c>
      <c r="E487" t="s">
        <v>366</v>
      </c>
      <c r="F487" t="s">
        <v>14</v>
      </c>
      <c r="G487" t="s">
        <v>47</v>
      </c>
      <c r="H487" t="s">
        <v>29</v>
      </c>
      <c r="I487">
        <v>16</v>
      </c>
      <c r="J487">
        <v>16.149999999999999</v>
      </c>
      <c r="K487">
        <v>15.25</v>
      </c>
      <c r="L487">
        <v>12.5</v>
      </c>
      <c r="M487" s="7">
        <v>0.97099999999999997</v>
      </c>
      <c r="N487">
        <v>85000</v>
      </c>
      <c r="O487" s="2">
        <v>46212</v>
      </c>
    </row>
    <row r="488" spans="4:15" x14ac:dyDescent="0.45">
      <c r="D488" t="s">
        <v>768</v>
      </c>
      <c r="E488" t="s">
        <v>334</v>
      </c>
      <c r="F488" t="s">
        <v>14</v>
      </c>
      <c r="G488" t="s">
        <v>32</v>
      </c>
      <c r="H488" t="s">
        <v>29</v>
      </c>
      <c r="I488">
        <v>11.22</v>
      </c>
      <c r="J488">
        <v>9.31</v>
      </c>
      <c r="K488">
        <v>11.64</v>
      </c>
      <c r="L488">
        <v>8.1300000000000008</v>
      </c>
      <c r="M488" s="7">
        <v>0.55000000000000004</v>
      </c>
      <c r="N488">
        <v>120000</v>
      </c>
      <c r="O488" s="2">
        <v>45745</v>
      </c>
    </row>
    <row r="489" spans="4:15" x14ac:dyDescent="0.45">
      <c r="D489" t="s">
        <v>769</v>
      </c>
      <c r="E489" t="s">
        <v>65</v>
      </c>
      <c r="F489" t="s">
        <v>19</v>
      </c>
      <c r="G489" t="s">
        <v>20</v>
      </c>
      <c r="H489" t="s">
        <v>29</v>
      </c>
      <c r="I489">
        <v>18.149999999999999</v>
      </c>
      <c r="J489">
        <v>18.079999999999998</v>
      </c>
      <c r="K489">
        <v>17.260000000000002</v>
      </c>
      <c r="L489">
        <v>16.23</v>
      </c>
      <c r="M489" s="7">
        <v>0.87280000000000002</v>
      </c>
      <c r="N489">
        <v>60000</v>
      </c>
      <c r="O489" s="2">
        <v>45901</v>
      </c>
    </row>
    <row r="490" spans="4:15" x14ac:dyDescent="0.45">
      <c r="D490" t="s">
        <v>770</v>
      </c>
      <c r="E490" t="s">
        <v>771</v>
      </c>
      <c r="F490" t="s">
        <v>19</v>
      </c>
      <c r="G490" t="s">
        <v>47</v>
      </c>
      <c r="H490" t="s">
        <v>29</v>
      </c>
      <c r="I490">
        <v>13.06</v>
      </c>
      <c r="J490">
        <v>11.19</v>
      </c>
      <c r="K490">
        <v>10.89</v>
      </c>
      <c r="L490">
        <v>6.99</v>
      </c>
      <c r="M490" s="7">
        <v>0.55000000000000004</v>
      </c>
      <c r="N490">
        <v>75000</v>
      </c>
      <c r="O490" s="2">
        <v>45622</v>
      </c>
    </row>
    <row r="491" spans="4:15" x14ac:dyDescent="0.45">
      <c r="D491" t="s">
        <v>772</v>
      </c>
      <c r="E491" t="s">
        <v>37</v>
      </c>
      <c r="F491" t="s">
        <v>19</v>
      </c>
      <c r="G491" t="s">
        <v>47</v>
      </c>
      <c r="H491" t="s">
        <v>29</v>
      </c>
      <c r="I491">
        <v>16.2</v>
      </c>
      <c r="J491">
        <v>20</v>
      </c>
      <c r="K491">
        <v>18.71</v>
      </c>
      <c r="L491">
        <v>20</v>
      </c>
      <c r="M491" s="7">
        <v>0.75860000000000005</v>
      </c>
      <c r="N491">
        <v>100000</v>
      </c>
      <c r="O491" s="2">
        <v>46172</v>
      </c>
    </row>
    <row r="492" spans="4:15" x14ac:dyDescent="0.45">
      <c r="D492" t="s">
        <v>773</v>
      </c>
      <c r="E492" t="s">
        <v>647</v>
      </c>
      <c r="F492" t="s">
        <v>19</v>
      </c>
      <c r="G492" t="s">
        <v>20</v>
      </c>
      <c r="H492" t="s">
        <v>29</v>
      </c>
      <c r="I492">
        <v>16.899999999999999</v>
      </c>
      <c r="J492">
        <v>15.86</v>
      </c>
      <c r="K492">
        <v>17.82</v>
      </c>
      <c r="L492">
        <v>15.44</v>
      </c>
      <c r="M492" s="7">
        <v>0.59540000000000004</v>
      </c>
      <c r="N492">
        <v>85000</v>
      </c>
      <c r="O492" s="2">
        <v>46174</v>
      </c>
    </row>
    <row r="493" spans="4:15" x14ac:dyDescent="0.45">
      <c r="D493" t="s">
        <v>774</v>
      </c>
      <c r="E493" t="s">
        <v>775</v>
      </c>
      <c r="F493" t="s">
        <v>19</v>
      </c>
      <c r="G493" t="s">
        <v>32</v>
      </c>
      <c r="H493" t="s">
        <v>29</v>
      </c>
      <c r="I493">
        <v>18.2</v>
      </c>
      <c r="J493">
        <v>20</v>
      </c>
      <c r="K493">
        <v>18.86</v>
      </c>
      <c r="L493">
        <v>16.39</v>
      </c>
      <c r="M493" s="7">
        <v>0.89380000000000004</v>
      </c>
      <c r="N493">
        <v>90000</v>
      </c>
      <c r="O493" s="2">
        <v>46091</v>
      </c>
    </row>
    <row r="494" spans="4:15" x14ac:dyDescent="0.45">
      <c r="D494" t="s">
        <v>776</v>
      </c>
      <c r="E494" t="s">
        <v>723</v>
      </c>
      <c r="F494" t="s">
        <v>19</v>
      </c>
      <c r="G494" t="s">
        <v>32</v>
      </c>
      <c r="H494" t="s">
        <v>16</v>
      </c>
      <c r="I494">
        <v>16.14</v>
      </c>
      <c r="J494">
        <v>13.72</v>
      </c>
      <c r="K494">
        <v>12.5</v>
      </c>
      <c r="L494">
        <v>13.36</v>
      </c>
      <c r="M494" s="7">
        <v>0.81130000000000002</v>
      </c>
      <c r="N494">
        <v>85000</v>
      </c>
      <c r="O494" s="2">
        <v>45782</v>
      </c>
    </row>
    <row r="495" spans="4:15" x14ac:dyDescent="0.45">
      <c r="D495" t="s">
        <v>777</v>
      </c>
      <c r="E495" t="s">
        <v>218</v>
      </c>
      <c r="F495" t="s">
        <v>19</v>
      </c>
      <c r="G495" t="s">
        <v>28</v>
      </c>
      <c r="H495" t="s">
        <v>21</v>
      </c>
      <c r="I495">
        <v>14.54</v>
      </c>
      <c r="J495">
        <v>18.64</v>
      </c>
      <c r="K495">
        <v>15.7</v>
      </c>
      <c r="L495">
        <v>18.13</v>
      </c>
      <c r="M495" s="7">
        <v>0.92859999999999998</v>
      </c>
      <c r="N495">
        <v>110000</v>
      </c>
      <c r="O495" s="2">
        <v>45577</v>
      </c>
    </row>
    <row r="496" spans="4:15" x14ac:dyDescent="0.45">
      <c r="D496" t="s">
        <v>778</v>
      </c>
      <c r="E496" t="s">
        <v>100</v>
      </c>
      <c r="F496" t="s">
        <v>14</v>
      </c>
      <c r="G496" t="s">
        <v>32</v>
      </c>
      <c r="H496" t="s">
        <v>16</v>
      </c>
      <c r="I496">
        <v>11.11</v>
      </c>
      <c r="J496">
        <v>14.87</v>
      </c>
      <c r="K496">
        <v>8.16</v>
      </c>
      <c r="L496">
        <v>7.52</v>
      </c>
      <c r="M496" s="7">
        <v>0.81899999999999995</v>
      </c>
      <c r="N496">
        <v>120000</v>
      </c>
      <c r="O496" s="2">
        <v>46033</v>
      </c>
    </row>
    <row r="497" spans="4:15" x14ac:dyDescent="0.45">
      <c r="D497" t="s">
        <v>779</v>
      </c>
      <c r="E497" t="s">
        <v>245</v>
      </c>
      <c r="F497" t="s">
        <v>14</v>
      </c>
      <c r="G497" t="s">
        <v>47</v>
      </c>
      <c r="H497" t="s">
        <v>16</v>
      </c>
      <c r="I497">
        <v>9.1999999999999993</v>
      </c>
      <c r="J497">
        <v>7.89</v>
      </c>
      <c r="K497">
        <v>9.08</v>
      </c>
      <c r="L497">
        <v>8.1</v>
      </c>
      <c r="M497" s="7">
        <v>0.80289999999999995</v>
      </c>
      <c r="N497">
        <v>80000</v>
      </c>
      <c r="O497" s="2">
        <v>45836</v>
      </c>
    </row>
    <row r="498" spans="4:15" x14ac:dyDescent="0.45">
      <c r="D498" t="s">
        <v>780</v>
      </c>
      <c r="E498" t="s">
        <v>677</v>
      </c>
      <c r="F498" t="s">
        <v>14</v>
      </c>
      <c r="G498" t="s">
        <v>47</v>
      </c>
      <c r="H498" t="s">
        <v>16</v>
      </c>
      <c r="I498">
        <v>17.510000000000002</v>
      </c>
      <c r="J498">
        <v>16.53</v>
      </c>
      <c r="K498">
        <v>17.98</v>
      </c>
      <c r="L498">
        <v>14.19</v>
      </c>
      <c r="M498" s="7">
        <v>0.80859999999999999</v>
      </c>
      <c r="N498">
        <v>80000</v>
      </c>
      <c r="O498" s="2">
        <v>46229</v>
      </c>
    </row>
    <row r="499" spans="4:15" x14ac:dyDescent="0.45">
      <c r="D499" t="s">
        <v>781</v>
      </c>
      <c r="E499" t="s">
        <v>94</v>
      </c>
      <c r="F499" t="s">
        <v>14</v>
      </c>
      <c r="G499" t="s">
        <v>47</v>
      </c>
      <c r="H499" t="s">
        <v>21</v>
      </c>
      <c r="I499">
        <v>16.95</v>
      </c>
      <c r="J499">
        <v>18.78</v>
      </c>
      <c r="K499">
        <v>16.149999999999999</v>
      </c>
      <c r="L499">
        <v>14.51</v>
      </c>
      <c r="M499" s="7">
        <v>0.95950000000000002</v>
      </c>
      <c r="N499">
        <v>75000</v>
      </c>
      <c r="O499" s="2">
        <v>46024</v>
      </c>
    </row>
    <row r="500" spans="4:15" x14ac:dyDescent="0.45">
      <c r="D500" t="s">
        <v>782</v>
      </c>
      <c r="E500" t="s">
        <v>264</v>
      </c>
      <c r="F500" t="s">
        <v>19</v>
      </c>
      <c r="G500" t="s">
        <v>47</v>
      </c>
      <c r="H500" t="s">
        <v>29</v>
      </c>
      <c r="I500">
        <v>14.42</v>
      </c>
      <c r="J500">
        <v>13.44</v>
      </c>
      <c r="K500">
        <v>17.97</v>
      </c>
      <c r="L500">
        <v>12.87</v>
      </c>
      <c r="M500" s="7">
        <v>0.90559999999999996</v>
      </c>
      <c r="N500">
        <v>80000</v>
      </c>
      <c r="O500" s="2">
        <v>45913</v>
      </c>
    </row>
    <row r="501" spans="4:15" x14ac:dyDescent="0.45">
      <c r="D501" t="s">
        <v>783</v>
      </c>
      <c r="E501" t="s">
        <v>366</v>
      </c>
      <c r="F501" t="s">
        <v>14</v>
      </c>
      <c r="G501" t="s">
        <v>20</v>
      </c>
      <c r="H501" t="s">
        <v>29</v>
      </c>
      <c r="I501">
        <v>12.89</v>
      </c>
      <c r="J501">
        <v>7.63</v>
      </c>
      <c r="K501">
        <v>9.89</v>
      </c>
      <c r="L501">
        <v>7.02</v>
      </c>
      <c r="M501" s="7">
        <v>0.86729999999999996</v>
      </c>
      <c r="N501">
        <v>120000</v>
      </c>
      <c r="O501" s="2">
        <v>46226</v>
      </c>
    </row>
    <row r="502" spans="4:15" x14ac:dyDescent="0.45">
      <c r="D502" t="s">
        <v>784</v>
      </c>
      <c r="E502" t="s">
        <v>289</v>
      </c>
      <c r="F502" t="s">
        <v>14</v>
      </c>
      <c r="G502" t="s">
        <v>32</v>
      </c>
      <c r="H502" t="s">
        <v>29</v>
      </c>
      <c r="I502">
        <v>12.24</v>
      </c>
      <c r="J502">
        <v>12.17</v>
      </c>
      <c r="K502">
        <v>9.81</v>
      </c>
      <c r="L502">
        <v>10.06</v>
      </c>
      <c r="M502" s="7">
        <v>0.85519999999999996</v>
      </c>
      <c r="N502">
        <v>85000</v>
      </c>
      <c r="O502" s="2">
        <v>46096</v>
      </c>
    </row>
    <row r="503" spans="4:15" x14ac:dyDescent="0.45">
      <c r="D503" t="s">
        <v>785</v>
      </c>
      <c r="E503" t="s">
        <v>231</v>
      </c>
      <c r="F503" t="s">
        <v>19</v>
      </c>
      <c r="G503" t="s">
        <v>47</v>
      </c>
      <c r="H503" t="s">
        <v>16</v>
      </c>
      <c r="I503">
        <v>11.19</v>
      </c>
      <c r="J503">
        <v>7.27</v>
      </c>
      <c r="K503">
        <v>11.11</v>
      </c>
      <c r="L503">
        <v>9.08</v>
      </c>
      <c r="M503" s="7">
        <v>0.75849999999999995</v>
      </c>
      <c r="N503">
        <v>100000</v>
      </c>
      <c r="O503" s="2">
        <v>45856</v>
      </c>
    </row>
    <row r="504" spans="4:15" x14ac:dyDescent="0.45">
      <c r="D504" t="s">
        <v>786</v>
      </c>
      <c r="E504" t="s">
        <v>787</v>
      </c>
      <c r="F504" t="s">
        <v>19</v>
      </c>
      <c r="G504" t="s">
        <v>47</v>
      </c>
      <c r="H504" t="s">
        <v>29</v>
      </c>
      <c r="I504">
        <v>5.42</v>
      </c>
      <c r="J504">
        <v>8.56</v>
      </c>
      <c r="K504">
        <v>2.87</v>
      </c>
      <c r="L504">
        <v>9.66</v>
      </c>
      <c r="M504" s="7">
        <v>0.71250000000000002</v>
      </c>
      <c r="N504">
        <v>80000</v>
      </c>
      <c r="O504" s="2">
        <v>45549</v>
      </c>
    </row>
    <row r="505" spans="4:15" x14ac:dyDescent="0.45">
      <c r="D505" t="s">
        <v>788</v>
      </c>
      <c r="E505" t="s">
        <v>57</v>
      </c>
      <c r="F505" t="s">
        <v>19</v>
      </c>
      <c r="G505" t="s">
        <v>15</v>
      </c>
      <c r="H505" t="s">
        <v>16</v>
      </c>
      <c r="I505">
        <v>12.28</v>
      </c>
      <c r="J505">
        <v>14.12</v>
      </c>
      <c r="K505">
        <v>14.46</v>
      </c>
      <c r="L505">
        <v>14.15</v>
      </c>
      <c r="M505" s="7">
        <v>0.55000000000000004</v>
      </c>
      <c r="N505">
        <v>100000</v>
      </c>
      <c r="O505" s="2">
        <v>45600</v>
      </c>
    </row>
    <row r="506" spans="4:15" x14ac:dyDescent="0.45">
      <c r="D506" t="s">
        <v>789</v>
      </c>
      <c r="E506" t="s">
        <v>242</v>
      </c>
      <c r="F506" t="s">
        <v>14</v>
      </c>
      <c r="G506" t="s">
        <v>35</v>
      </c>
      <c r="H506" t="s">
        <v>21</v>
      </c>
      <c r="I506">
        <v>14.44</v>
      </c>
      <c r="J506">
        <v>18.62</v>
      </c>
      <c r="K506">
        <v>16.739999999999998</v>
      </c>
      <c r="L506">
        <v>17</v>
      </c>
      <c r="M506" s="7">
        <v>0.73099999999999998</v>
      </c>
      <c r="N506">
        <v>100000</v>
      </c>
      <c r="O506" s="2">
        <v>45846</v>
      </c>
    </row>
    <row r="507" spans="4:15" x14ac:dyDescent="0.45">
      <c r="D507" t="s">
        <v>790</v>
      </c>
      <c r="E507" t="s">
        <v>764</v>
      </c>
      <c r="F507" t="s">
        <v>14</v>
      </c>
      <c r="G507" t="s">
        <v>15</v>
      </c>
      <c r="H507" t="s">
        <v>16</v>
      </c>
      <c r="I507">
        <v>15.06</v>
      </c>
      <c r="J507">
        <v>12.48</v>
      </c>
      <c r="K507">
        <v>16.93</v>
      </c>
      <c r="L507">
        <v>10.18</v>
      </c>
      <c r="M507" s="7">
        <v>0.55000000000000004</v>
      </c>
      <c r="N507">
        <v>85000</v>
      </c>
      <c r="O507" s="2">
        <v>45929</v>
      </c>
    </row>
    <row r="508" spans="4:15" x14ac:dyDescent="0.45">
      <c r="D508" t="s">
        <v>791</v>
      </c>
      <c r="E508" t="s">
        <v>398</v>
      </c>
      <c r="F508" t="s">
        <v>19</v>
      </c>
      <c r="G508" t="s">
        <v>47</v>
      </c>
      <c r="H508" t="s">
        <v>29</v>
      </c>
      <c r="I508">
        <v>7.55</v>
      </c>
      <c r="J508">
        <v>6.06</v>
      </c>
      <c r="K508">
        <v>9.49</v>
      </c>
      <c r="L508">
        <v>8.15</v>
      </c>
      <c r="M508" s="7">
        <v>0.79430000000000001</v>
      </c>
      <c r="N508">
        <v>130000</v>
      </c>
      <c r="O508" s="2">
        <v>45557</v>
      </c>
    </row>
    <row r="509" spans="4:15" x14ac:dyDescent="0.45">
      <c r="D509" t="s">
        <v>792</v>
      </c>
      <c r="E509" t="s">
        <v>614</v>
      </c>
      <c r="F509" t="s">
        <v>14</v>
      </c>
      <c r="G509" t="s">
        <v>32</v>
      </c>
      <c r="H509" t="s">
        <v>21</v>
      </c>
      <c r="I509">
        <v>9.91</v>
      </c>
      <c r="J509">
        <v>13.58</v>
      </c>
      <c r="K509">
        <v>10.67</v>
      </c>
      <c r="L509">
        <v>12.14</v>
      </c>
      <c r="M509" s="7">
        <v>0.87590000000000001</v>
      </c>
      <c r="N509">
        <v>120000</v>
      </c>
      <c r="O509" s="2">
        <v>45624</v>
      </c>
    </row>
    <row r="510" spans="4:15" x14ac:dyDescent="0.45">
      <c r="D510" t="s">
        <v>793</v>
      </c>
      <c r="E510" t="s">
        <v>188</v>
      </c>
      <c r="F510" t="s">
        <v>14</v>
      </c>
      <c r="G510" t="s">
        <v>15</v>
      </c>
      <c r="H510" t="s">
        <v>21</v>
      </c>
      <c r="I510">
        <v>12.63</v>
      </c>
      <c r="J510">
        <v>15.66</v>
      </c>
      <c r="K510">
        <v>15.98</v>
      </c>
      <c r="L510">
        <v>12.58</v>
      </c>
      <c r="M510" s="7">
        <v>0.89390000000000003</v>
      </c>
      <c r="N510">
        <v>60000</v>
      </c>
      <c r="O510" s="2">
        <v>46029</v>
      </c>
    </row>
    <row r="511" spans="4:15" x14ac:dyDescent="0.45">
      <c r="D511" t="s">
        <v>794</v>
      </c>
      <c r="E511" t="s">
        <v>526</v>
      </c>
      <c r="F511" t="s">
        <v>14</v>
      </c>
      <c r="G511" t="s">
        <v>32</v>
      </c>
      <c r="H511" t="s">
        <v>42</v>
      </c>
      <c r="I511">
        <v>16.079999999999998</v>
      </c>
      <c r="J511">
        <v>20</v>
      </c>
      <c r="K511">
        <v>18.989999999999998</v>
      </c>
      <c r="L511">
        <v>20</v>
      </c>
      <c r="M511" s="7">
        <v>0.90200000000000002</v>
      </c>
      <c r="N511">
        <v>70000</v>
      </c>
      <c r="O511" s="2">
        <v>46062</v>
      </c>
    </row>
    <row r="512" spans="4:15" x14ac:dyDescent="0.45">
      <c r="D512" t="s">
        <v>795</v>
      </c>
      <c r="E512" t="s">
        <v>535</v>
      </c>
      <c r="F512" t="s">
        <v>19</v>
      </c>
      <c r="G512" t="s">
        <v>35</v>
      </c>
      <c r="H512" t="s">
        <v>16</v>
      </c>
      <c r="I512">
        <v>9.3000000000000007</v>
      </c>
      <c r="J512">
        <v>6.5</v>
      </c>
      <c r="K512">
        <v>7.63</v>
      </c>
      <c r="L512">
        <v>7.74</v>
      </c>
      <c r="M512" s="7">
        <v>0.84670000000000001</v>
      </c>
      <c r="N512">
        <v>130000</v>
      </c>
      <c r="O512" s="2">
        <v>45556</v>
      </c>
    </row>
    <row r="513" spans="4:15" x14ac:dyDescent="0.45">
      <c r="D513" t="s">
        <v>796</v>
      </c>
      <c r="E513" t="s">
        <v>797</v>
      </c>
      <c r="F513" t="s">
        <v>19</v>
      </c>
      <c r="G513" t="s">
        <v>20</v>
      </c>
      <c r="H513" t="s">
        <v>29</v>
      </c>
      <c r="I513">
        <v>8.76</v>
      </c>
      <c r="J513">
        <v>13.5</v>
      </c>
      <c r="K513">
        <v>13.04</v>
      </c>
      <c r="L513">
        <v>15.28</v>
      </c>
      <c r="M513" s="7">
        <v>0.95030000000000003</v>
      </c>
      <c r="N513">
        <v>80000</v>
      </c>
      <c r="O513" s="2">
        <v>45891</v>
      </c>
    </row>
    <row r="514" spans="4:15" x14ac:dyDescent="0.45">
      <c r="D514" t="s">
        <v>798</v>
      </c>
      <c r="E514" t="s">
        <v>799</v>
      </c>
      <c r="F514" t="s">
        <v>19</v>
      </c>
      <c r="G514" t="s">
        <v>15</v>
      </c>
      <c r="H514" t="s">
        <v>16</v>
      </c>
      <c r="I514">
        <v>19.440000000000001</v>
      </c>
      <c r="J514">
        <v>16.29</v>
      </c>
      <c r="K514">
        <v>18.03</v>
      </c>
      <c r="L514">
        <v>20</v>
      </c>
      <c r="M514" s="7">
        <v>0.64149999999999996</v>
      </c>
      <c r="N514">
        <v>75000</v>
      </c>
      <c r="O514" s="2">
        <v>45592</v>
      </c>
    </row>
    <row r="515" spans="4:15" x14ac:dyDescent="0.45">
      <c r="D515" t="s">
        <v>800</v>
      </c>
      <c r="E515" t="s">
        <v>90</v>
      </c>
      <c r="F515" t="s">
        <v>19</v>
      </c>
      <c r="G515" t="s">
        <v>35</v>
      </c>
      <c r="H515" t="s">
        <v>42</v>
      </c>
      <c r="I515">
        <v>15.59</v>
      </c>
      <c r="J515">
        <v>17.399999999999999</v>
      </c>
      <c r="K515">
        <v>18.34</v>
      </c>
      <c r="L515">
        <v>16.32</v>
      </c>
      <c r="M515" s="7">
        <v>0.79949999999999999</v>
      </c>
      <c r="N515">
        <v>110000</v>
      </c>
      <c r="O515" s="2">
        <v>46042</v>
      </c>
    </row>
    <row r="516" spans="4:15" x14ac:dyDescent="0.45">
      <c r="D516" t="s">
        <v>801</v>
      </c>
      <c r="E516" t="s">
        <v>336</v>
      </c>
      <c r="F516" t="s">
        <v>19</v>
      </c>
      <c r="G516" t="s">
        <v>32</v>
      </c>
      <c r="H516" t="s">
        <v>29</v>
      </c>
      <c r="I516">
        <v>19.27</v>
      </c>
      <c r="J516">
        <v>13.41</v>
      </c>
      <c r="K516">
        <v>16.03</v>
      </c>
      <c r="L516">
        <v>12.82</v>
      </c>
      <c r="M516" s="7">
        <v>0.90680000000000005</v>
      </c>
      <c r="N516">
        <v>90000</v>
      </c>
      <c r="O516" s="2">
        <v>46119</v>
      </c>
    </row>
    <row r="517" spans="4:15" x14ac:dyDescent="0.45">
      <c r="D517" t="s">
        <v>802</v>
      </c>
      <c r="E517" t="s">
        <v>731</v>
      </c>
      <c r="F517" t="s">
        <v>14</v>
      </c>
      <c r="G517" t="s">
        <v>47</v>
      </c>
      <c r="H517" t="s">
        <v>42</v>
      </c>
      <c r="I517">
        <v>15.69</v>
      </c>
      <c r="J517">
        <v>12.74</v>
      </c>
      <c r="K517">
        <v>14.47</v>
      </c>
      <c r="L517">
        <v>8.91</v>
      </c>
      <c r="M517" s="7">
        <v>0.81320000000000003</v>
      </c>
      <c r="N517">
        <v>60000</v>
      </c>
      <c r="O517" s="2">
        <v>46144</v>
      </c>
    </row>
    <row r="518" spans="4:15" x14ac:dyDescent="0.45">
      <c r="D518" t="s">
        <v>803</v>
      </c>
      <c r="E518" t="s">
        <v>198</v>
      </c>
      <c r="F518" t="s">
        <v>19</v>
      </c>
      <c r="G518" t="s">
        <v>35</v>
      </c>
      <c r="H518" t="s">
        <v>42</v>
      </c>
      <c r="I518">
        <v>13.49</v>
      </c>
      <c r="J518">
        <v>13.53</v>
      </c>
      <c r="K518">
        <v>16.61</v>
      </c>
      <c r="L518">
        <v>16.7</v>
      </c>
      <c r="M518" s="7">
        <v>0.86909999999999998</v>
      </c>
      <c r="N518">
        <v>60000</v>
      </c>
      <c r="O518" s="2">
        <v>45954</v>
      </c>
    </row>
    <row r="519" spans="4:15" x14ac:dyDescent="0.45">
      <c r="D519" t="s">
        <v>804</v>
      </c>
      <c r="E519" t="s">
        <v>486</v>
      </c>
      <c r="F519" t="s">
        <v>14</v>
      </c>
      <c r="G519" t="s">
        <v>35</v>
      </c>
      <c r="H519" t="s">
        <v>21</v>
      </c>
      <c r="I519">
        <v>17.48</v>
      </c>
      <c r="J519">
        <v>15.91</v>
      </c>
      <c r="K519">
        <v>18.28</v>
      </c>
      <c r="L519">
        <v>15.82</v>
      </c>
      <c r="M519" s="7">
        <v>0.94379999999999997</v>
      </c>
      <c r="N519">
        <v>110000</v>
      </c>
      <c r="O519" s="2">
        <v>45976</v>
      </c>
    </row>
    <row r="520" spans="4:15" x14ac:dyDescent="0.45">
      <c r="D520" t="s">
        <v>805</v>
      </c>
      <c r="E520" t="s">
        <v>461</v>
      </c>
      <c r="F520" t="s">
        <v>14</v>
      </c>
      <c r="G520" t="s">
        <v>32</v>
      </c>
      <c r="H520" t="s">
        <v>29</v>
      </c>
      <c r="I520">
        <v>8.16</v>
      </c>
      <c r="J520">
        <v>12.34</v>
      </c>
      <c r="K520">
        <v>13.16</v>
      </c>
      <c r="L520">
        <v>9.49</v>
      </c>
      <c r="M520" s="7">
        <v>0.71540000000000004</v>
      </c>
      <c r="N520">
        <v>110000</v>
      </c>
      <c r="O520" s="2">
        <v>46184</v>
      </c>
    </row>
    <row r="521" spans="4:15" x14ac:dyDescent="0.45">
      <c r="D521" t="s">
        <v>806</v>
      </c>
      <c r="E521" t="s">
        <v>264</v>
      </c>
      <c r="F521" t="s">
        <v>19</v>
      </c>
      <c r="G521" t="s">
        <v>28</v>
      </c>
      <c r="H521" t="s">
        <v>21</v>
      </c>
      <c r="I521">
        <v>13.84</v>
      </c>
      <c r="J521">
        <v>17.420000000000002</v>
      </c>
      <c r="K521">
        <v>19.28</v>
      </c>
      <c r="L521">
        <v>18.440000000000001</v>
      </c>
      <c r="M521" s="7">
        <v>0.58179999999999998</v>
      </c>
      <c r="N521">
        <v>75000</v>
      </c>
      <c r="O521" s="2">
        <v>45964</v>
      </c>
    </row>
    <row r="522" spans="4:15" x14ac:dyDescent="0.45">
      <c r="D522" t="s">
        <v>807</v>
      </c>
      <c r="E522" t="s">
        <v>285</v>
      </c>
      <c r="F522" t="s">
        <v>14</v>
      </c>
      <c r="G522" t="s">
        <v>32</v>
      </c>
      <c r="H522" t="s">
        <v>29</v>
      </c>
      <c r="I522">
        <v>10.39</v>
      </c>
      <c r="J522">
        <v>10.039999999999999</v>
      </c>
      <c r="K522">
        <v>11.19</v>
      </c>
      <c r="L522">
        <v>7.66</v>
      </c>
      <c r="M522" s="7">
        <v>0.92800000000000005</v>
      </c>
      <c r="N522">
        <v>120000</v>
      </c>
      <c r="O522" s="2">
        <v>45848</v>
      </c>
    </row>
    <row r="523" spans="4:15" x14ac:dyDescent="0.45">
      <c r="D523" t="s">
        <v>808</v>
      </c>
      <c r="E523" t="s">
        <v>268</v>
      </c>
      <c r="F523" t="s">
        <v>14</v>
      </c>
      <c r="G523" t="s">
        <v>28</v>
      </c>
      <c r="H523" t="s">
        <v>42</v>
      </c>
      <c r="I523">
        <v>9.67</v>
      </c>
      <c r="J523">
        <v>11.89</v>
      </c>
      <c r="K523">
        <v>14.99</v>
      </c>
      <c r="L523">
        <v>13.39</v>
      </c>
      <c r="M523" s="7">
        <v>0.94699999999999995</v>
      </c>
      <c r="N523">
        <v>60000</v>
      </c>
      <c r="O523" s="2">
        <v>46064</v>
      </c>
    </row>
    <row r="524" spans="4:15" x14ac:dyDescent="0.45">
      <c r="D524" t="s">
        <v>809</v>
      </c>
      <c r="E524" t="s">
        <v>575</v>
      </c>
      <c r="F524" t="s">
        <v>14</v>
      </c>
      <c r="G524" t="s">
        <v>20</v>
      </c>
      <c r="H524" t="s">
        <v>42</v>
      </c>
      <c r="I524">
        <v>13.92</v>
      </c>
      <c r="J524">
        <v>16</v>
      </c>
      <c r="K524">
        <v>16.93</v>
      </c>
      <c r="L524">
        <v>15.06</v>
      </c>
      <c r="M524" s="7">
        <v>0.82799999999999996</v>
      </c>
      <c r="N524">
        <v>120000</v>
      </c>
      <c r="O524" s="2">
        <v>45949</v>
      </c>
    </row>
    <row r="525" spans="4:15" x14ac:dyDescent="0.45">
      <c r="D525" t="s">
        <v>810</v>
      </c>
      <c r="E525" t="s">
        <v>194</v>
      </c>
      <c r="F525" t="s">
        <v>19</v>
      </c>
      <c r="G525" t="s">
        <v>20</v>
      </c>
      <c r="H525" t="s">
        <v>21</v>
      </c>
      <c r="I525">
        <v>9.5299999999999994</v>
      </c>
      <c r="J525">
        <v>12.06</v>
      </c>
      <c r="K525">
        <v>11.77</v>
      </c>
      <c r="L525">
        <v>9.2200000000000006</v>
      </c>
      <c r="M525" s="7">
        <v>0.91100000000000003</v>
      </c>
      <c r="N525">
        <v>50000</v>
      </c>
      <c r="O525" s="2">
        <v>46125</v>
      </c>
    </row>
    <row r="526" spans="4:15" x14ac:dyDescent="0.45">
      <c r="D526" t="s">
        <v>811</v>
      </c>
      <c r="E526" t="s">
        <v>556</v>
      </c>
      <c r="F526" t="s">
        <v>14</v>
      </c>
      <c r="G526" t="s">
        <v>28</v>
      </c>
      <c r="H526" t="s">
        <v>29</v>
      </c>
      <c r="I526">
        <v>13.66</v>
      </c>
      <c r="J526">
        <v>16.39</v>
      </c>
      <c r="K526">
        <v>13.71</v>
      </c>
      <c r="L526">
        <v>13.1</v>
      </c>
      <c r="M526" s="7">
        <v>0.75600000000000001</v>
      </c>
      <c r="N526">
        <v>90000</v>
      </c>
      <c r="O526" s="2">
        <v>45903</v>
      </c>
    </row>
    <row r="527" spans="4:15" x14ac:dyDescent="0.45">
      <c r="D527" t="s">
        <v>812</v>
      </c>
      <c r="E527" t="s">
        <v>131</v>
      </c>
      <c r="F527" t="s">
        <v>14</v>
      </c>
      <c r="G527" t="s">
        <v>20</v>
      </c>
      <c r="H527" t="s">
        <v>21</v>
      </c>
      <c r="I527">
        <v>9.39</v>
      </c>
      <c r="J527">
        <v>10.6</v>
      </c>
      <c r="K527">
        <v>15.74</v>
      </c>
      <c r="L527">
        <v>14.05</v>
      </c>
      <c r="M527" s="7">
        <v>0.92679999999999996</v>
      </c>
      <c r="N527">
        <v>120000</v>
      </c>
      <c r="O527" s="2">
        <v>46144</v>
      </c>
    </row>
    <row r="528" spans="4:15" x14ac:dyDescent="0.45">
      <c r="D528" t="s">
        <v>813</v>
      </c>
      <c r="E528" t="s">
        <v>814</v>
      </c>
      <c r="F528" t="s">
        <v>19</v>
      </c>
      <c r="G528" t="s">
        <v>28</v>
      </c>
      <c r="H528" t="s">
        <v>29</v>
      </c>
      <c r="I528">
        <v>11.43</v>
      </c>
      <c r="J528">
        <v>7.37</v>
      </c>
      <c r="K528">
        <v>14.27</v>
      </c>
      <c r="L528">
        <v>10.86</v>
      </c>
      <c r="M528" s="7">
        <v>0.89890000000000003</v>
      </c>
      <c r="N528">
        <v>90000</v>
      </c>
      <c r="O528" s="2">
        <v>45567</v>
      </c>
    </row>
    <row r="529" spans="4:15" x14ac:dyDescent="0.45">
      <c r="D529" t="s">
        <v>815</v>
      </c>
      <c r="E529" t="s">
        <v>816</v>
      </c>
      <c r="F529" t="s">
        <v>14</v>
      </c>
      <c r="G529" t="s">
        <v>20</v>
      </c>
      <c r="H529" t="s">
        <v>29</v>
      </c>
      <c r="I529">
        <v>12.55</v>
      </c>
      <c r="J529">
        <v>12.84</v>
      </c>
      <c r="K529">
        <v>12.69</v>
      </c>
      <c r="L529">
        <v>15.15</v>
      </c>
      <c r="M529" s="7">
        <v>0.84360000000000002</v>
      </c>
      <c r="N529">
        <v>110000</v>
      </c>
      <c r="O529" s="2">
        <v>45561</v>
      </c>
    </row>
    <row r="530" spans="4:15" x14ac:dyDescent="0.45">
      <c r="D530" t="s">
        <v>817</v>
      </c>
      <c r="E530" t="s">
        <v>338</v>
      </c>
      <c r="F530" t="s">
        <v>19</v>
      </c>
      <c r="G530" t="s">
        <v>32</v>
      </c>
      <c r="H530" t="s">
        <v>29</v>
      </c>
      <c r="I530">
        <v>13.49</v>
      </c>
      <c r="J530">
        <v>13.66</v>
      </c>
      <c r="K530">
        <v>9.61</v>
      </c>
      <c r="L530">
        <v>12.8</v>
      </c>
      <c r="M530" s="7">
        <v>0.68110000000000004</v>
      </c>
      <c r="N530">
        <v>75000</v>
      </c>
      <c r="O530" s="2">
        <v>45605</v>
      </c>
    </row>
    <row r="531" spans="4:15" x14ac:dyDescent="0.45">
      <c r="D531" t="s">
        <v>818</v>
      </c>
      <c r="E531" t="s">
        <v>819</v>
      </c>
      <c r="F531" t="s">
        <v>19</v>
      </c>
      <c r="G531" t="s">
        <v>15</v>
      </c>
      <c r="H531" t="s">
        <v>42</v>
      </c>
      <c r="I531">
        <v>14.42</v>
      </c>
      <c r="J531">
        <v>15.16</v>
      </c>
      <c r="K531">
        <v>17.82</v>
      </c>
      <c r="L531">
        <v>14.32</v>
      </c>
      <c r="M531" s="7">
        <v>0.81059999999999999</v>
      </c>
      <c r="N531">
        <v>75000</v>
      </c>
      <c r="O531" s="2">
        <v>45925</v>
      </c>
    </row>
    <row r="532" spans="4:15" x14ac:dyDescent="0.45">
      <c r="D532" t="s">
        <v>820</v>
      </c>
      <c r="E532" t="s">
        <v>723</v>
      </c>
      <c r="F532" t="s">
        <v>19</v>
      </c>
      <c r="G532" t="s">
        <v>15</v>
      </c>
      <c r="H532" t="s">
        <v>42</v>
      </c>
      <c r="I532">
        <v>8.59</v>
      </c>
      <c r="J532">
        <v>10.24</v>
      </c>
      <c r="K532">
        <v>12.24</v>
      </c>
      <c r="L532">
        <v>5.04</v>
      </c>
      <c r="M532" s="7">
        <v>0.61350000000000005</v>
      </c>
      <c r="N532">
        <v>70000</v>
      </c>
      <c r="O532" s="2">
        <v>46032</v>
      </c>
    </row>
    <row r="533" spans="4:15" x14ac:dyDescent="0.45">
      <c r="D533" t="s">
        <v>821</v>
      </c>
      <c r="E533" t="s">
        <v>558</v>
      </c>
      <c r="F533" t="s">
        <v>14</v>
      </c>
      <c r="G533" t="s">
        <v>28</v>
      </c>
      <c r="H533" t="s">
        <v>16</v>
      </c>
      <c r="I533">
        <v>14.95</v>
      </c>
      <c r="J533">
        <v>13.98</v>
      </c>
      <c r="K533">
        <v>16.39</v>
      </c>
      <c r="L533">
        <v>12.96</v>
      </c>
      <c r="M533" s="7">
        <v>0.89029999999999998</v>
      </c>
      <c r="N533">
        <v>60000</v>
      </c>
      <c r="O533" s="2">
        <v>45687</v>
      </c>
    </row>
    <row r="534" spans="4:15" x14ac:dyDescent="0.45">
      <c r="D534" t="s">
        <v>822</v>
      </c>
      <c r="E534" t="s">
        <v>323</v>
      </c>
      <c r="F534" t="s">
        <v>14</v>
      </c>
      <c r="G534" t="s">
        <v>47</v>
      </c>
      <c r="H534" t="s">
        <v>21</v>
      </c>
      <c r="I534">
        <v>7.23</v>
      </c>
      <c r="J534">
        <v>14.46</v>
      </c>
      <c r="K534">
        <v>9.68</v>
      </c>
      <c r="L534">
        <v>11.77</v>
      </c>
      <c r="M534" s="7">
        <v>0.9899</v>
      </c>
      <c r="N534">
        <v>75000</v>
      </c>
      <c r="O534" s="2">
        <v>45645</v>
      </c>
    </row>
    <row r="535" spans="4:15" x14ac:dyDescent="0.45">
      <c r="D535" t="s">
        <v>823</v>
      </c>
      <c r="E535" t="s">
        <v>169</v>
      </c>
      <c r="F535" t="s">
        <v>14</v>
      </c>
      <c r="G535" t="s">
        <v>32</v>
      </c>
      <c r="H535" t="s">
        <v>21</v>
      </c>
      <c r="I535">
        <v>12.81</v>
      </c>
      <c r="J535">
        <v>10.050000000000001</v>
      </c>
      <c r="K535">
        <v>12.84</v>
      </c>
      <c r="L535">
        <v>8.4</v>
      </c>
      <c r="M535" s="7">
        <v>0.64270000000000005</v>
      </c>
      <c r="N535">
        <v>70000</v>
      </c>
      <c r="O535" s="2">
        <v>46138</v>
      </c>
    </row>
    <row r="536" spans="4:15" x14ac:dyDescent="0.45">
      <c r="D536" t="s">
        <v>824</v>
      </c>
      <c r="E536" t="s">
        <v>256</v>
      </c>
      <c r="F536" t="s">
        <v>19</v>
      </c>
      <c r="G536" t="s">
        <v>35</v>
      </c>
      <c r="H536" t="s">
        <v>16</v>
      </c>
      <c r="I536">
        <v>13.05</v>
      </c>
      <c r="J536">
        <v>10.56</v>
      </c>
      <c r="K536">
        <v>11.9</v>
      </c>
      <c r="L536">
        <v>10.93</v>
      </c>
      <c r="M536" s="7">
        <v>0.55000000000000004</v>
      </c>
      <c r="N536">
        <v>110000</v>
      </c>
      <c r="O536" s="2">
        <v>46061</v>
      </c>
    </row>
    <row r="537" spans="4:15" x14ac:dyDescent="0.45">
      <c r="D537" t="s">
        <v>825</v>
      </c>
      <c r="E537" t="s">
        <v>486</v>
      </c>
      <c r="F537" t="s">
        <v>14</v>
      </c>
      <c r="G537" t="s">
        <v>47</v>
      </c>
      <c r="H537" t="s">
        <v>21</v>
      </c>
      <c r="I537">
        <v>20</v>
      </c>
      <c r="J537">
        <v>18.86</v>
      </c>
      <c r="K537">
        <v>15.95</v>
      </c>
      <c r="L537">
        <v>17.86</v>
      </c>
      <c r="M537" s="7">
        <v>0.97529999999999994</v>
      </c>
      <c r="N537">
        <v>70000</v>
      </c>
      <c r="O537" s="2">
        <v>45989</v>
      </c>
    </row>
    <row r="538" spans="4:15" x14ac:dyDescent="0.45">
      <c r="D538" t="s">
        <v>826</v>
      </c>
      <c r="E538" t="s">
        <v>827</v>
      </c>
      <c r="F538" t="s">
        <v>14</v>
      </c>
      <c r="G538" t="s">
        <v>28</v>
      </c>
      <c r="H538" t="s">
        <v>42</v>
      </c>
      <c r="I538">
        <v>13.06</v>
      </c>
      <c r="J538">
        <v>10.74</v>
      </c>
      <c r="K538">
        <v>14.91</v>
      </c>
      <c r="L538">
        <v>17.559999999999999</v>
      </c>
      <c r="M538" s="7">
        <v>0.55000000000000004</v>
      </c>
      <c r="N538">
        <v>60000</v>
      </c>
      <c r="O538" s="2">
        <v>45877</v>
      </c>
    </row>
    <row r="539" spans="4:15" x14ac:dyDescent="0.45">
      <c r="D539" t="s">
        <v>828</v>
      </c>
      <c r="E539" t="s">
        <v>348</v>
      </c>
      <c r="F539" t="s">
        <v>14</v>
      </c>
      <c r="G539" t="s">
        <v>28</v>
      </c>
      <c r="H539" t="s">
        <v>16</v>
      </c>
      <c r="I539">
        <v>12.32</v>
      </c>
      <c r="J539">
        <v>16.11</v>
      </c>
      <c r="K539">
        <v>13.69</v>
      </c>
      <c r="L539">
        <v>11.54</v>
      </c>
      <c r="M539" s="7">
        <v>0.86860000000000004</v>
      </c>
      <c r="N539">
        <v>110000</v>
      </c>
      <c r="O539" s="2">
        <v>45830</v>
      </c>
    </row>
    <row r="540" spans="4:15" x14ac:dyDescent="0.45">
      <c r="D540" t="s">
        <v>829</v>
      </c>
      <c r="E540" t="s">
        <v>374</v>
      </c>
      <c r="F540" t="s">
        <v>19</v>
      </c>
      <c r="G540" t="s">
        <v>15</v>
      </c>
      <c r="H540" t="s">
        <v>29</v>
      </c>
      <c r="I540">
        <v>13.63</v>
      </c>
      <c r="J540">
        <v>16.670000000000002</v>
      </c>
      <c r="K540">
        <v>14.27</v>
      </c>
      <c r="L540">
        <v>13.38</v>
      </c>
      <c r="M540" s="7">
        <v>0.97550000000000003</v>
      </c>
      <c r="N540">
        <v>85000</v>
      </c>
      <c r="O540" s="2">
        <v>45550</v>
      </c>
    </row>
    <row r="541" spans="4:15" x14ac:dyDescent="0.45">
      <c r="D541" t="s">
        <v>830</v>
      </c>
      <c r="E541" t="s">
        <v>376</v>
      </c>
      <c r="F541" t="s">
        <v>14</v>
      </c>
      <c r="G541" t="s">
        <v>47</v>
      </c>
      <c r="H541" t="s">
        <v>21</v>
      </c>
      <c r="I541">
        <v>8.07</v>
      </c>
      <c r="J541">
        <v>9.98</v>
      </c>
      <c r="K541">
        <v>9.7899999999999991</v>
      </c>
      <c r="L541">
        <v>7.38</v>
      </c>
      <c r="M541" s="7">
        <v>0.92479999999999996</v>
      </c>
      <c r="N541">
        <v>70000</v>
      </c>
      <c r="O541" s="2">
        <v>45667</v>
      </c>
    </row>
    <row r="542" spans="4:15" x14ac:dyDescent="0.45">
      <c r="D542" t="s">
        <v>831</v>
      </c>
      <c r="E542" t="s">
        <v>212</v>
      </c>
      <c r="F542" t="s">
        <v>19</v>
      </c>
      <c r="G542" t="s">
        <v>47</v>
      </c>
      <c r="H542" t="s">
        <v>29</v>
      </c>
      <c r="I542">
        <v>14.22</v>
      </c>
      <c r="J542">
        <v>15.01</v>
      </c>
      <c r="K542">
        <v>16.41</v>
      </c>
      <c r="L542">
        <v>14.05</v>
      </c>
      <c r="M542" s="7">
        <v>0.88629999999999998</v>
      </c>
      <c r="N542">
        <v>100000</v>
      </c>
      <c r="O542" s="2">
        <v>46163</v>
      </c>
    </row>
    <row r="543" spans="4:15" x14ac:dyDescent="0.45">
      <c r="D543" t="s">
        <v>832</v>
      </c>
      <c r="E543" t="s">
        <v>235</v>
      </c>
      <c r="F543" t="s">
        <v>14</v>
      </c>
      <c r="G543" t="s">
        <v>32</v>
      </c>
      <c r="H543" t="s">
        <v>21</v>
      </c>
      <c r="I543">
        <v>18.98</v>
      </c>
      <c r="J543">
        <v>19.14</v>
      </c>
      <c r="K543">
        <v>20</v>
      </c>
      <c r="L543">
        <v>18.649999999999999</v>
      </c>
      <c r="M543" s="7">
        <v>0.88</v>
      </c>
      <c r="N543">
        <v>70000</v>
      </c>
      <c r="O543" s="2">
        <v>45773</v>
      </c>
    </row>
    <row r="544" spans="4:15" x14ac:dyDescent="0.45">
      <c r="D544" t="s">
        <v>833</v>
      </c>
      <c r="E544" t="s">
        <v>445</v>
      </c>
      <c r="F544" t="s">
        <v>14</v>
      </c>
      <c r="G544" t="s">
        <v>47</v>
      </c>
      <c r="H544" t="s">
        <v>29</v>
      </c>
      <c r="I544">
        <v>16.260000000000002</v>
      </c>
      <c r="J544">
        <v>11.93</v>
      </c>
      <c r="K544">
        <v>13.46</v>
      </c>
      <c r="L544">
        <v>16.079999999999998</v>
      </c>
      <c r="M544" s="7">
        <v>0.91969999999999996</v>
      </c>
      <c r="N544">
        <v>110000</v>
      </c>
      <c r="O544" s="2">
        <v>46029</v>
      </c>
    </row>
    <row r="545" spans="4:15" x14ac:dyDescent="0.45">
      <c r="D545" t="s">
        <v>834</v>
      </c>
      <c r="E545" t="s">
        <v>127</v>
      </c>
      <c r="F545" t="s">
        <v>14</v>
      </c>
      <c r="G545" t="s">
        <v>47</v>
      </c>
      <c r="H545" t="s">
        <v>16</v>
      </c>
      <c r="I545">
        <v>12.33</v>
      </c>
      <c r="J545">
        <v>13.78</v>
      </c>
      <c r="K545">
        <v>15.55</v>
      </c>
      <c r="L545">
        <v>11.83</v>
      </c>
      <c r="M545" s="7">
        <v>0.96040000000000003</v>
      </c>
      <c r="N545">
        <v>50000</v>
      </c>
      <c r="O545" s="2">
        <v>46028</v>
      </c>
    </row>
    <row r="546" spans="4:15" x14ac:dyDescent="0.45">
      <c r="D546" t="s">
        <v>835</v>
      </c>
      <c r="E546" t="s">
        <v>185</v>
      </c>
      <c r="F546" t="s">
        <v>19</v>
      </c>
      <c r="G546" t="s">
        <v>47</v>
      </c>
      <c r="H546" t="s">
        <v>29</v>
      </c>
      <c r="I546">
        <v>17.2</v>
      </c>
      <c r="J546">
        <v>13.29</v>
      </c>
      <c r="K546">
        <v>15.41</v>
      </c>
      <c r="L546">
        <v>15.2</v>
      </c>
      <c r="M546" s="7">
        <v>0.65920000000000001</v>
      </c>
      <c r="N546">
        <v>90000</v>
      </c>
      <c r="O546" s="2">
        <v>45752</v>
      </c>
    </row>
    <row r="547" spans="4:15" x14ac:dyDescent="0.45">
      <c r="D547" t="s">
        <v>836</v>
      </c>
      <c r="E547" t="s">
        <v>196</v>
      </c>
      <c r="F547" t="s">
        <v>14</v>
      </c>
      <c r="G547" t="s">
        <v>32</v>
      </c>
      <c r="H547" t="s">
        <v>42</v>
      </c>
      <c r="I547">
        <v>17.190000000000001</v>
      </c>
      <c r="J547">
        <v>17.48</v>
      </c>
      <c r="K547">
        <v>13.49</v>
      </c>
      <c r="L547">
        <v>16.89</v>
      </c>
      <c r="M547" s="7">
        <v>0.87029999999999996</v>
      </c>
      <c r="N547">
        <v>90000</v>
      </c>
      <c r="O547" s="2">
        <v>45679</v>
      </c>
    </row>
    <row r="548" spans="4:15" x14ac:dyDescent="0.45">
      <c r="D548" t="s">
        <v>837</v>
      </c>
      <c r="E548" t="s">
        <v>651</v>
      </c>
      <c r="F548" t="s">
        <v>14</v>
      </c>
      <c r="G548" t="s">
        <v>35</v>
      </c>
      <c r="H548" t="s">
        <v>42</v>
      </c>
      <c r="I548">
        <v>7.88</v>
      </c>
      <c r="J548">
        <v>10.08</v>
      </c>
      <c r="K548">
        <v>9.59</v>
      </c>
      <c r="L548">
        <v>6.93</v>
      </c>
      <c r="M548" s="7">
        <v>0.86019999999999996</v>
      </c>
      <c r="N548">
        <v>80000</v>
      </c>
      <c r="O548" s="2">
        <v>46020</v>
      </c>
    </row>
    <row r="549" spans="4:15" x14ac:dyDescent="0.45">
      <c r="D549" t="s">
        <v>838</v>
      </c>
      <c r="E549" t="s">
        <v>105</v>
      </c>
      <c r="F549" t="s">
        <v>19</v>
      </c>
      <c r="G549" t="s">
        <v>28</v>
      </c>
      <c r="H549" t="s">
        <v>21</v>
      </c>
      <c r="I549">
        <v>8.1</v>
      </c>
      <c r="J549">
        <v>12.44</v>
      </c>
      <c r="K549">
        <v>9.31</v>
      </c>
      <c r="L549">
        <v>10.54</v>
      </c>
      <c r="M549" s="7">
        <v>0.89280000000000004</v>
      </c>
      <c r="N549">
        <v>100000</v>
      </c>
      <c r="O549" s="2">
        <v>45601</v>
      </c>
    </row>
    <row r="550" spans="4:15" x14ac:dyDescent="0.45">
      <c r="D550" t="s">
        <v>839</v>
      </c>
      <c r="E550" t="s">
        <v>174</v>
      </c>
      <c r="F550" t="s">
        <v>19</v>
      </c>
      <c r="G550" t="s">
        <v>47</v>
      </c>
      <c r="H550" t="s">
        <v>16</v>
      </c>
      <c r="I550">
        <v>19.43</v>
      </c>
      <c r="J550">
        <v>15.31</v>
      </c>
      <c r="K550">
        <v>19.989999999999998</v>
      </c>
      <c r="L550">
        <v>14.32</v>
      </c>
      <c r="M550" s="7">
        <v>0.96479999999999999</v>
      </c>
      <c r="N550">
        <v>80000</v>
      </c>
      <c r="O550" s="2">
        <v>45882</v>
      </c>
    </row>
    <row r="551" spans="4:15" x14ac:dyDescent="0.45">
      <c r="D551" t="s">
        <v>840</v>
      </c>
      <c r="E551" t="s">
        <v>338</v>
      </c>
      <c r="F551" t="s">
        <v>19</v>
      </c>
      <c r="G551" t="s">
        <v>28</v>
      </c>
      <c r="H551" t="s">
        <v>21</v>
      </c>
      <c r="I551">
        <v>9.6999999999999993</v>
      </c>
      <c r="J551">
        <v>13.93</v>
      </c>
      <c r="K551">
        <v>14.9</v>
      </c>
      <c r="L551">
        <v>13.13</v>
      </c>
      <c r="M551" s="7">
        <v>0.71599999999999997</v>
      </c>
      <c r="N551">
        <v>100000</v>
      </c>
      <c r="O551" s="2">
        <v>46157</v>
      </c>
    </row>
    <row r="552" spans="4:15" x14ac:dyDescent="0.45">
      <c r="D552" t="s">
        <v>841</v>
      </c>
      <c r="E552" t="s">
        <v>452</v>
      </c>
      <c r="F552" t="s">
        <v>19</v>
      </c>
      <c r="G552" t="s">
        <v>47</v>
      </c>
      <c r="H552" t="s">
        <v>42</v>
      </c>
      <c r="I552">
        <v>17.829999999999998</v>
      </c>
      <c r="J552">
        <v>16.920000000000002</v>
      </c>
      <c r="K552">
        <v>18.940000000000001</v>
      </c>
      <c r="L552">
        <v>17.5</v>
      </c>
      <c r="M552" s="7">
        <v>0.94040000000000001</v>
      </c>
      <c r="N552">
        <v>70000</v>
      </c>
      <c r="O552" s="2">
        <v>46033</v>
      </c>
    </row>
    <row r="553" spans="4:15" x14ac:dyDescent="0.45">
      <c r="D553" t="s">
        <v>842</v>
      </c>
      <c r="E553" t="s">
        <v>188</v>
      </c>
      <c r="F553" t="s">
        <v>14</v>
      </c>
      <c r="G553" t="s">
        <v>15</v>
      </c>
      <c r="H553" t="s">
        <v>16</v>
      </c>
      <c r="I553">
        <v>10.97</v>
      </c>
      <c r="J553">
        <v>11.97</v>
      </c>
      <c r="K553">
        <v>13.37</v>
      </c>
      <c r="L553">
        <v>13.35</v>
      </c>
      <c r="M553" s="7">
        <v>0.86550000000000005</v>
      </c>
      <c r="N553">
        <v>90000</v>
      </c>
      <c r="O553" s="2">
        <v>46070</v>
      </c>
    </row>
    <row r="554" spans="4:15" x14ac:dyDescent="0.45">
      <c r="D554" t="s">
        <v>843</v>
      </c>
      <c r="E554" t="s">
        <v>533</v>
      </c>
      <c r="F554" t="s">
        <v>19</v>
      </c>
      <c r="G554" t="s">
        <v>47</v>
      </c>
      <c r="H554" t="s">
        <v>21</v>
      </c>
      <c r="I554">
        <v>12.01</v>
      </c>
      <c r="J554">
        <v>9.5299999999999994</v>
      </c>
      <c r="K554">
        <v>8.64</v>
      </c>
      <c r="L554">
        <v>6.59</v>
      </c>
      <c r="M554" s="7">
        <v>0.75460000000000005</v>
      </c>
      <c r="N554">
        <v>110000</v>
      </c>
      <c r="O554" s="2">
        <v>45594</v>
      </c>
    </row>
    <row r="555" spans="4:15" x14ac:dyDescent="0.45">
      <c r="D555" t="s">
        <v>844</v>
      </c>
      <c r="E555" t="s">
        <v>400</v>
      </c>
      <c r="F555" t="s">
        <v>14</v>
      </c>
      <c r="G555" t="s">
        <v>47</v>
      </c>
      <c r="H555" t="s">
        <v>29</v>
      </c>
      <c r="I555">
        <v>11.9</v>
      </c>
      <c r="J555">
        <v>9.5</v>
      </c>
      <c r="K555">
        <v>7.94</v>
      </c>
      <c r="L555">
        <v>8.4600000000000009</v>
      </c>
      <c r="M555" s="7">
        <v>0.88370000000000004</v>
      </c>
      <c r="N555">
        <v>130000</v>
      </c>
      <c r="O555" s="2">
        <v>45675</v>
      </c>
    </row>
    <row r="556" spans="4:15" x14ac:dyDescent="0.45">
      <c r="D556" t="s">
        <v>845</v>
      </c>
      <c r="E556" t="s">
        <v>370</v>
      </c>
      <c r="F556" t="s">
        <v>19</v>
      </c>
      <c r="G556" t="s">
        <v>47</v>
      </c>
      <c r="H556" t="s">
        <v>42</v>
      </c>
      <c r="I556">
        <v>4.3099999999999996</v>
      </c>
      <c r="J556">
        <v>6.79</v>
      </c>
      <c r="K556">
        <v>2.1800000000000002</v>
      </c>
      <c r="L556">
        <v>8.39</v>
      </c>
      <c r="M556" s="7">
        <v>0.89329999999999998</v>
      </c>
      <c r="N556">
        <v>75000</v>
      </c>
      <c r="O556" s="2">
        <v>45728</v>
      </c>
    </row>
    <row r="557" spans="4:15" x14ac:dyDescent="0.45">
      <c r="D557" t="s">
        <v>846</v>
      </c>
      <c r="E557" t="s">
        <v>847</v>
      </c>
      <c r="F557" t="s">
        <v>19</v>
      </c>
      <c r="G557" t="s">
        <v>15</v>
      </c>
      <c r="H557" t="s">
        <v>42</v>
      </c>
      <c r="I557">
        <v>13.97</v>
      </c>
      <c r="J557">
        <v>10.91</v>
      </c>
      <c r="K557">
        <v>11.12</v>
      </c>
      <c r="L557">
        <v>14.14</v>
      </c>
      <c r="M557" s="7">
        <v>0.80640000000000001</v>
      </c>
      <c r="N557">
        <v>85000</v>
      </c>
      <c r="O557" s="2">
        <v>45740</v>
      </c>
    </row>
    <row r="558" spans="4:15" x14ac:dyDescent="0.45">
      <c r="D558" t="s">
        <v>848</v>
      </c>
      <c r="E558" t="s">
        <v>256</v>
      </c>
      <c r="F558" t="s">
        <v>19</v>
      </c>
      <c r="G558" t="s">
        <v>15</v>
      </c>
      <c r="H558" t="s">
        <v>16</v>
      </c>
      <c r="I558">
        <v>13.54</v>
      </c>
      <c r="J558">
        <v>11.43</v>
      </c>
      <c r="K558">
        <v>13.07</v>
      </c>
      <c r="L558">
        <v>10.62</v>
      </c>
      <c r="M558" s="7">
        <v>0.85580000000000001</v>
      </c>
      <c r="N558">
        <v>85000</v>
      </c>
      <c r="O558" s="2">
        <v>45671</v>
      </c>
    </row>
    <row r="559" spans="4:15" x14ac:dyDescent="0.45">
      <c r="D559" t="s">
        <v>849</v>
      </c>
      <c r="E559" t="s">
        <v>386</v>
      </c>
      <c r="F559" t="s">
        <v>19</v>
      </c>
      <c r="G559" t="s">
        <v>15</v>
      </c>
      <c r="H559" t="s">
        <v>16</v>
      </c>
      <c r="I559">
        <v>11.17</v>
      </c>
      <c r="J559">
        <v>14.11</v>
      </c>
      <c r="K559">
        <v>7.88</v>
      </c>
      <c r="L559">
        <v>12.61</v>
      </c>
      <c r="M559" s="7">
        <v>0.93220000000000003</v>
      </c>
      <c r="N559">
        <v>120000</v>
      </c>
      <c r="O559" s="2">
        <v>46216</v>
      </c>
    </row>
    <row r="560" spans="4:15" x14ac:dyDescent="0.45">
      <c r="D560" t="s">
        <v>850</v>
      </c>
      <c r="E560" t="s">
        <v>693</v>
      </c>
      <c r="F560" t="s">
        <v>19</v>
      </c>
      <c r="G560" t="s">
        <v>28</v>
      </c>
      <c r="H560" t="s">
        <v>42</v>
      </c>
      <c r="I560">
        <v>18.190000000000001</v>
      </c>
      <c r="J560">
        <v>18.87</v>
      </c>
      <c r="K560">
        <v>15.52</v>
      </c>
      <c r="L560">
        <v>11.2</v>
      </c>
      <c r="M560" s="7">
        <v>0.86670000000000003</v>
      </c>
      <c r="N560">
        <v>130000</v>
      </c>
      <c r="O560" s="2">
        <v>45651</v>
      </c>
    </row>
    <row r="561" spans="4:15" x14ac:dyDescent="0.45">
      <c r="D561" t="s">
        <v>851</v>
      </c>
      <c r="E561" t="s">
        <v>852</v>
      </c>
      <c r="F561" t="s">
        <v>19</v>
      </c>
      <c r="G561" t="s">
        <v>20</v>
      </c>
      <c r="H561" t="s">
        <v>29</v>
      </c>
      <c r="I561">
        <v>17.71</v>
      </c>
      <c r="J561">
        <v>15.09</v>
      </c>
      <c r="K561">
        <v>16.510000000000002</v>
      </c>
      <c r="L561">
        <v>15.49</v>
      </c>
      <c r="M561" s="7">
        <v>0.8669</v>
      </c>
      <c r="N561">
        <v>100000</v>
      </c>
      <c r="O561" s="2">
        <v>46031</v>
      </c>
    </row>
    <row r="562" spans="4:15" x14ac:dyDescent="0.45">
      <c r="D562" t="s">
        <v>853</v>
      </c>
      <c r="E562" t="s">
        <v>250</v>
      </c>
      <c r="F562" t="s">
        <v>19</v>
      </c>
      <c r="G562" t="s">
        <v>20</v>
      </c>
      <c r="H562" t="s">
        <v>16</v>
      </c>
      <c r="I562">
        <v>13.5</v>
      </c>
      <c r="J562">
        <v>14.9</v>
      </c>
      <c r="K562">
        <v>12.75</v>
      </c>
      <c r="L562">
        <v>15.04</v>
      </c>
      <c r="M562" s="7">
        <v>0.91290000000000004</v>
      </c>
      <c r="N562">
        <v>120000</v>
      </c>
      <c r="O562" s="2">
        <v>45946</v>
      </c>
    </row>
    <row r="563" spans="4:15" x14ac:dyDescent="0.45">
      <c r="D563" t="s">
        <v>854</v>
      </c>
      <c r="E563" t="s">
        <v>634</v>
      </c>
      <c r="F563" t="s">
        <v>14</v>
      </c>
      <c r="G563" t="s">
        <v>28</v>
      </c>
      <c r="H563" t="s">
        <v>16</v>
      </c>
      <c r="I563">
        <v>7.43</v>
      </c>
      <c r="J563">
        <v>6.75</v>
      </c>
      <c r="K563">
        <v>6.27</v>
      </c>
      <c r="L563">
        <v>7.15</v>
      </c>
      <c r="M563" s="7">
        <v>0.7671</v>
      </c>
      <c r="N563">
        <v>50000</v>
      </c>
      <c r="O563" s="2">
        <v>45963</v>
      </c>
    </row>
    <row r="564" spans="4:15" x14ac:dyDescent="0.45">
      <c r="D564" t="s">
        <v>855</v>
      </c>
      <c r="E564" t="s">
        <v>656</v>
      </c>
      <c r="F564" t="s">
        <v>14</v>
      </c>
      <c r="G564" t="s">
        <v>28</v>
      </c>
      <c r="H564" t="s">
        <v>21</v>
      </c>
      <c r="I564">
        <v>16.18</v>
      </c>
      <c r="J564">
        <v>15.66</v>
      </c>
      <c r="K564">
        <v>14.68</v>
      </c>
      <c r="L564">
        <v>15.39</v>
      </c>
      <c r="M564" s="7">
        <v>0.76170000000000004</v>
      </c>
      <c r="N564">
        <v>110000</v>
      </c>
      <c r="O564" s="2">
        <v>45686</v>
      </c>
    </row>
    <row r="565" spans="4:15" x14ac:dyDescent="0.45">
      <c r="D565" t="s">
        <v>856</v>
      </c>
      <c r="E565" t="s">
        <v>731</v>
      </c>
      <c r="F565" t="s">
        <v>14</v>
      </c>
      <c r="G565" t="s">
        <v>15</v>
      </c>
      <c r="H565" t="s">
        <v>16</v>
      </c>
      <c r="I565">
        <v>15.56</v>
      </c>
      <c r="J565">
        <v>18.57</v>
      </c>
      <c r="K565">
        <v>19.05</v>
      </c>
      <c r="L565">
        <v>8.32</v>
      </c>
      <c r="M565" s="7">
        <v>0.90059999999999996</v>
      </c>
      <c r="N565">
        <v>110000</v>
      </c>
      <c r="O565" s="2">
        <v>45751</v>
      </c>
    </row>
    <row r="566" spans="4:15" x14ac:dyDescent="0.45">
      <c r="D566" t="s">
        <v>857</v>
      </c>
      <c r="E566" t="s">
        <v>309</v>
      </c>
      <c r="F566" t="s">
        <v>19</v>
      </c>
      <c r="G566" t="s">
        <v>32</v>
      </c>
      <c r="H566" t="s">
        <v>16</v>
      </c>
      <c r="I566">
        <v>14.5</v>
      </c>
      <c r="J566">
        <v>16.54</v>
      </c>
      <c r="K566">
        <v>16.02</v>
      </c>
      <c r="L566">
        <v>13.4</v>
      </c>
      <c r="M566" s="7">
        <v>0.76729999999999998</v>
      </c>
      <c r="N566">
        <v>100000</v>
      </c>
      <c r="O566" s="2">
        <v>45960</v>
      </c>
    </row>
    <row r="567" spans="4:15" x14ac:dyDescent="0.45">
      <c r="D567" t="s">
        <v>858</v>
      </c>
      <c r="E567" t="s">
        <v>859</v>
      </c>
      <c r="F567" t="s">
        <v>14</v>
      </c>
      <c r="G567" t="s">
        <v>15</v>
      </c>
      <c r="H567" t="s">
        <v>42</v>
      </c>
      <c r="I567">
        <v>14.84</v>
      </c>
      <c r="J567">
        <v>18.399999999999999</v>
      </c>
      <c r="K567">
        <v>15.22</v>
      </c>
      <c r="L567">
        <v>16.89</v>
      </c>
      <c r="M567" s="7">
        <v>0.89539999999999997</v>
      </c>
      <c r="N567">
        <v>90000</v>
      </c>
      <c r="O567" s="2">
        <v>45745</v>
      </c>
    </row>
    <row r="568" spans="4:15" x14ac:dyDescent="0.45">
      <c r="D568" t="s">
        <v>860</v>
      </c>
      <c r="E568" t="s">
        <v>323</v>
      </c>
      <c r="F568" t="s">
        <v>14</v>
      </c>
      <c r="G568" t="s">
        <v>47</v>
      </c>
      <c r="H568" t="s">
        <v>16</v>
      </c>
      <c r="I568">
        <v>13.96</v>
      </c>
      <c r="J568">
        <v>14.84</v>
      </c>
      <c r="K568">
        <v>10.29</v>
      </c>
      <c r="L568">
        <v>11.16</v>
      </c>
      <c r="M568" s="7">
        <v>0.91439999999999999</v>
      </c>
      <c r="N568">
        <v>120000</v>
      </c>
      <c r="O568" s="2">
        <v>46021</v>
      </c>
    </row>
    <row r="569" spans="4:15" x14ac:dyDescent="0.45">
      <c r="D569" t="s">
        <v>861</v>
      </c>
      <c r="E569" t="s">
        <v>522</v>
      </c>
      <c r="F569" t="s">
        <v>14</v>
      </c>
      <c r="G569" t="s">
        <v>35</v>
      </c>
      <c r="H569" t="s">
        <v>42</v>
      </c>
      <c r="I569">
        <v>16.809999999999999</v>
      </c>
      <c r="J569">
        <v>17.98</v>
      </c>
      <c r="K569">
        <v>19.260000000000002</v>
      </c>
      <c r="L569">
        <v>20</v>
      </c>
      <c r="M569" s="7">
        <v>0.6361</v>
      </c>
      <c r="N569">
        <v>100000</v>
      </c>
      <c r="O569" s="2">
        <v>45563</v>
      </c>
    </row>
    <row r="570" spans="4:15" x14ac:dyDescent="0.45">
      <c r="D570" t="s">
        <v>862</v>
      </c>
      <c r="E570" t="s">
        <v>96</v>
      </c>
      <c r="F570" t="s">
        <v>19</v>
      </c>
      <c r="G570" t="s">
        <v>15</v>
      </c>
      <c r="H570" t="s">
        <v>42</v>
      </c>
      <c r="I570">
        <v>11.75</v>
      </c>
      <c r="J570">
        <v>9.0399999999999991</v>
      </c>
      <c r="K570">
        <v>9.32</v>
      </c>
      <c r="L570">
        <v>10.25</v>
      </c>
      <c r="M570" s="7">
        <v>0.79779999999999995</v>
      </c>
      <c r="N570">
        <v>120000</v>
      </c>
      <c r="O570" s="2">
        <v>45586</v>
      </c>
    </row>
    <row r="571" spans="4:15" x14ac:dyDescent="0.45">
      <c r="D571" t="s">
        <v>863</v>
      </c>
      <c r="E571" t="s">
        <v>819</v>
      </c>
      <c r="F571" t="s">
        <v>19</v>
      </c>
      <c r="G571" t="s">
        <v>20</v>
      </c>
      <c r="H571" t="s">
        <v>42</v>
      </c>
      <c r="I571">
        <v>14.89</v>
      </c>
      <c r="J571">
        <v>14.41</v>
      </c>
      <c r="K571">
        <v>14.11</v>
      </c>
      <c r="L571">
        <v>15.13</v>
      </c>
      <c r="M571" s="7">
        <v>0.91149999999999998</v>
      </c>
      <c r="N571">
        <v>60000</v>
      </c>
      <c r="O571" s="2">
        <v>46045</v>
      </c>
    </row>
    <row r="572" spans="4:15" x14ac:dyDescent="0.45">
      <c r="D572" t="s">
        <v>864</v>
      </c>
      <c r="E572" t="s">
        <v>605</v>
      </c>
      <c r="F572" t="s">
        <v>19</v>
      </c>
      <c r="G572" t="s">
        <v>35</v>
      </c>
      <c r="H572" t="s">
        <v>29</v>
      </c>
      <c r="I572">
        <v>12.65</v>
      </c>
      <c r="J572">
        <v>8.6199999999999992</v>
      </c>
      <c r="K572">
        <v>11.2</v>
      </c>
      <c r="L572">
        <v>5.74</v>
      </c>
      <c r="M572" s="7">
        <v>0.67059999999999997</v>
      </c>
      <c r="N572">
        <v>100000</v>
      </c>
      <c r="O572" s="2">
        <v>45967</v>
      </c>
    </row>
    <row r="573" spans="4:15" x14ac:dyDescent="0.45">
      <c r="D573" t="s">
        <v>865</v>
      </c>
      <c r="E573" t="s">
        <v>866</v>
      </c>
      <c r="F573" t="s">
        <v>14</v>
      </c>
      <c r="G573" t="s">
        <v>15</v>
      </c>
      <c r="H573" t="s">
        <v>21</v>
      </c>
      <c r="I573">
        <v>8.91</v>
      </c>
      <c r="J573">
        <v>6.12</v>
      </c>
      <c r="K573">
        <v>10.17</v>
      </c>
      <c r="L573">
        <v>10.35</v>
      </c>
      <c r="M573" s="7">
        <v>0.97309999999999997</v>
      </c>
      <c r="N573">
        <v>80000</v>
      </c>
      <c r="O573" s="2">
        <v>45566</v>
      </c>
    </row>
    <row r="574" spans="4:15" x14ac:dyDescent="0.45">
      <c r="D574" t="s">
        <v>867</v>
      </c>
      <c r="E574" t="s">
        <v>103</v>
      </c>
      <c r="F574" t="s">
        <v>14</v>
      </c>
      <c r="G574" t="s">
        <v>35</v>
      </c>
      <c r="H574" t="s">
        <v>42</v>
      </c>
      <c r="I574">
        <v>16.13</v>
      </c>
      <c r="J574">
        <v>17.690000000000001</v>
      </c>
      <c r="K574">
        <v>15.54</v>
      </c>
      <c r="L574">
        <v>14.87</v>
      </c>
      <c r="M574" s="7">
        <v>0.84619999999999995</v>
      </c>
      <c r="N574">
        <v>120000</v>
      </c>
      <c r="O574" s="2">
        <v>46165</v>
      </c>
    </row>
    <row r="575" spans="4:15" x14ac:dyDescent="0.45">
      <c r="D575" t="s">
        <v>868</v>
      </c>
      <c r="E575" t="s">
        <v>869</v>
      </c>
      <c r="F575" t="s">
        <v>14</v>
      </c>
      <c r="G575" t="s">
        <v>15</v>
      </c>
      <c r="H575" t="s">
        <v>29</v>
      </c>
      <c r="I575">
        <v>10.64</v>
      </c>
      <c r="J575">
        <v>11.97</v>
      </c>
      <c r="K575">
        <v>12.87</v>
      </c>
      <c r="L575">
        <v>8.6</v>
      </c>
      <c r="M575" s="7">
        <v>0.78520000000000001</v>
      </c>
      <c r="N575">
        <v>120000</v>
      </c>
      <c r="O575" s="2">
        <v>45539</v>
      </c>
    </row>
    <row r="576" spans="4:15" x14ac:dyDescent="0.45">
      <c r="D576" t="s">
        <v>870</v>
      </c>
      <c r="E576" t="s">
        <v>476</v>
      </c>
      <c r="F576" t="s">
        <v>14</v>
      </c>
      <c r="G576" t="s">
        <v>47</v>
      </c>
      <c r="H576" t="s">
        <v>16</v>
      </c>
      <c r="I576">
        <v>16.559999999999999</v>
      </c>
      <c r="J576">
        <v>17.98</v>
      </c>
      <c r="K576">
        <v>16.309999999999999</v>
      </c>
      <c r="L576">
        <v>13.36</v>
      </c>
      <c r="M576" s="7">
        <v>0.72130000000000005</v>
      </c>
      <c r="N576">
        <v>120000</v>
      </c>
      <c r="O576" s="2">
        <v>46204</v>
      </c>
    </row>
    <row r="577" spans="4:15" x14ac:dyDescent="0.45">
      <c r="D577" t="s">
        <v>871</v>
      </c>
      <c r="E577" t="s">
        <v>872</v>
      </c>
      <c r="F577" t="s">
        <v>14</v>
      </c>
      <c r="G577" t="s">
        <v>47</v>
      </c>
      <c r="H577" t="s">
        <v>29</v>
      </c>
      <c r="I577">
        <v>11.14</v>
      </c>
      <c r="J577">
        <v>15.34</v>
      </c>
      <c r="K577">
        <v>10.02</v>
      </c>
      <c r="L577">
        <v>17.38</v>
      </c>
      <c r="M577" s="7">
        <v>0.72009999999999996</v>
      </c>
      <c r="N577">
        <v>70000</v>
      </c>
      <c r="O577" s="2">
        <v>46046</v>
      </c>
    </row>
    <row r="578" spans="4:15" x14ac:dyDescent="0.45">
      <c r="D578" t="s">
        <v>873</v>
      </c>
      <c r="E578" t="s">
        <v>874</v>
      </c>
      <c r="F578" t="s">
        <v>19</v>
      </c>
      <c r="G578" t="s">
        <v>47</v>
      </c>
      <c r="H578" t="s">
        <v>16</v>
      </c>
      <c r="I578">
        <v>12.15</v>
      </c>
      <c r="J578">
        <v>12.28</v>
      </c>
      <c r="K578">
        <v>13.32</v>
      </c>
      <c r="L578">
        <v>12.51</v>
      </c>
      <c r="M578" s="7">
        <v>0.61860000000000004</v>
      </c>
      <c r="N578">
        <v>85000</v>
      </c>
      <c r="O578" s="2">
        <v>46227</v>
      </c>
    </row>
    <row r="579" spans="4:15" x14ac:dyDescent="0.45">
      <c r="D579" t="s">
        <v>875</v>
      </c>
      <c r="E579" t="s">
        <v>484</v>
      </c>
      <c r="F579" t="s">
        <v>19</v>
      </c>
      <c r="G579" t="s">
        <v>35</v>
      </c>
      <c r="H579" t="s">
        <v>16</v>
      </c>
      <c r="I579">
        <v>12.58</v>
      </c>
      <c r="J579">
        <v>19.02</v>
      </c>
      <c r="K579">
        <v>19.43</v>
      </c>
      <c r="L579">
        <v>17.7</v>
      </c>
      <c r="M579" s="7">
        <v>0.88939999999999997</v>
      </c>
      <c r="N579">
        <v>50000</v>
      </c>
      <c r="O579" s="2">
        <v>46200</v>
      </c>
    </row>
    <row r="580" spans="4:15" x14ac:dyDescent="0.45">
      <c r="D580" t="s">
        <v>876</v>
      </c>
      <c r="E580" t="s">
        <v>194</v>
      </c>
      <c r="F580" t="s">
        <v>19</v>
      </c>
      <c r="G580" t="s">
        <v>15</v>
      </c>
      <c r="H580" t="s">
        <v>29</v>
      </c>
      <c r="I580">
        <v>13.37</v>
      </c>
      <c r="J580">
        <v>14.83</v>
      </c>
      <c r="K580">
        <v>14.03</v>
      </c>
      <c r="L580">
        <v>11.61</v>
      </c>
      <c r="M580" s="7">
        <v>0.99139999999999995</v>
      </c>
      <c r="N580">
        <v>130000</v>
      </c>
      <c r="O580" s="2">
        <v>45755</v>
      </c>
    </row>
    <row r="581" spans="4:15" x14ac:dyDescent="0.45">
      <c r="D581" t="s">
        <v>877</v>
      </c>
      <c r="E581" t="s">
        <v>526</v>
      </c>
      <c r="F581" t="s">
        <v>14</v>
      </c>
      <c r="G581" t="s">
        <v>32</v>
      </c>
      <c r="H581" t="s">
        <v>16</v>
      </c>
      <c r="I581">
        <v>7.41</v>
      </c>
      <c r="J581">
        <v>7.22</v>
      </c>
      <c r="K581">
        <v>13.62</v>
      </c>
      <c r="L581">
        <v>4.47</v>
      </c>
      <c r="M581" s="7">
        <v>0.75329999999999997</v>
      </c>
      <c r="N581">
        <v>70000</v>
      </c>
      <c r="O581" s="2">
        <v>46065</v>
      </c>
    </row>
    <row r="582" spans="4:15" x14ac:dyDescent="0.45">
      <c r="D582" t="s">
        <v>878</v>
      </c>
      <c r="E582" t="s">
        <v>425</v>
      </c>
      <c r="F582" t="s">
        <v>14</v>
      </c>
      <c r="G582" t="s">
        <v>15</v>
      </c>
      <c r="H582" t="s">
        <v>16</v>
      </c>
      <c r="I582">
        <v>7.98</v>
      </c>
      <c r="J582">
        <v>10.57</v>
      </c>
      <c r="K582">
        <v>14.2</v>
      </c>
      <c r="L582">
        <v>13.21</v>
      </c>
      <c r="M582" s="7">
        <v>0.68700000000000006</v>
      </c>
      <c r="N582">
        <v>90000</v>
      </c>
      <c r="O582" s="2">
        <v>45683</v>
      </c>
    </row>
    <row r="583" spans="4:15" x14ac:dyDescent="0.45">
      <c r="D583" t="s">
        <v>879</v>
      </c>
      <c r="E583" t="s">
        <v>44</v>
      </c>
      <c r="F583" t="s">
        <v>19</v>
      </c>
      <c r="G583" t="s">
        <v>32</v>
      </c>
      <c r="H583" t="s">
        <v>29</v>
      </c>
      <c r="I583">
        <v>17.43</v>
      </c>
      <c r="J583">
        <v>10.55</v>
      </c>
      <c r="K583">
        <v>18.43</v>
      </c>
      <c r="L583">
        <v>10.16</v>
      </c>
      <c r="M583" s="7">
        <v>0.61609999999999998</v>
      </c>
      <c r="N583">
        <v>85000</v>
      </c>
      <c r="O583" s="2">
        <v>45866</v>
      </c>
    </row>
    <row r="584" spans="4:15" x14ac:dyDescent="0.45">
      <c r="D584" t="s">
        <v>880</v>
      </c>
      <c r="E584" t="s">
        <v>351</v>
      </c>
      <c r="F584" t="s">
        <v>14</v>
      </c>
      <c r="G584" t="s">
        <v>35</v>
      </c>
      <c r="H584" t="s">
        <v>42</v>
      </c>
      <c r="I584">
        <v>11.73</v>
      </c>
      <c r="J584">
        <v>12.61</v>
      </c>
      <c r="K584">
        <v>20</v>
      </c>
      <c r="L584">
        <v>13.29</v>
      </c>
      <c r="M584" s="7">
        <v>0.71809999999999996</v>
      </c>
      <c r="N584">
        <v>120000</v>
      </c>
      <c r="O584" s="2">
        <v>45704</v>
      </c>
    </row>
    <row r="585" spans="4:15" x14ac:dyDescent="0.45">
      <c r="D585" t="s">
        <v>881</v>
      </c>
      <c r="E585" t="s">
        <v>100</v>
      </c>
      <c r="F585" t="s">
        <v>14</v>
      </c>
      <c r="G585" t="s">
        <v>35</v>
      </c>
      <c r="H585" t="s">
        <v>16</v>
      </c>
      <c r="I585">
        <v>10.87</v>
      </c>
      <c r="J585">
        <v>7.88</v>
      </c>
      <c r="K585">
        <v>10.98</v>
      </c>
      <c r="L585">
        <v>8.89</v>
      </c>
      <c r="M585" s="7">
        <v>0.78890000000000005</v>
      </c>
      <c r="N585">
        <v>120000</v>
      </c>
      <c r="O585" s="2">
        <v>45876</v>
      </c>
    </row>
    <row r="586" spans="4:15" x14ac:dyDescent="0.45">
      <c r="D586" t="s">
        <v>882</v>
      </c>
      <c r="E586" t="s">
        <v>522</v>
      </c>
      <c r="F586" t="s">
        <v>14</v>
      </c>
      <c r="G586" t="s">
        <v>47</v>
      </c>
      <c r="H586" t="s">
        <v>29</v>
      </c>
      <c r="I586">
        <v>9.93</v>
      </c>
      <c r="J586">
        <v>12.04</v>
      </c>
      <c r="K586">
        <v>12.03</v>
      </c>
      <c r="L586">
        <v>11.88</v>
      </c>
      <c r="M586" s="7">
        <v>0.79039999999999999</v>
      </c>
      <c r="N586">
        <v>110000</v>
      </c>
      <c r="O586" s="2">
        <v>46146</v>
      </c>
    </row>
    <row r="587" spans="4:15" x14ac:dyDescent="0.45">
      <c r="D587" t="s">
        <v>883</v>
      </c>
      <c r="E587" t="s">
        <v>535</v>
      </c>
      <c r="F587" t="s">
        <v>19</v>
      </c>
      <c r="G587" t="s">
        <v>20</v>
      </c>
      <c r="H587" t="s">
        <v>16</v>
      </c>
      <c r="I587">
        <v>15.39</v>
      </c>
      <c r="J587">
        <v>10.19</v>
      </c>
      <c r="K587">
        <v>14.21</v>
      </c>
      <c r="L587">
        <v>10.17</v>
      </c>
      <c r="M587" s="7">
        <v>0.66379999999999995</v>
      </c>
      <c r="N587">
        <v>100000</v>
      </c>
      <c r="O587" s="2">
        <v>45841</v>
      </c>
    </row>
    <row r="588" spans="4:15" x14ac:dyDescent="0.45">
      <c r="D588" t="s">
        <v>884</v>
      </c>
      <c r="E588" t="s">
        <v>73</v>
      </c>
      <c r="F588" t="s">
        <v>19</v>
      </c>
      <c r="G588" t="s">
        <v>15</v>
      </c>
      <c r="H588" t="s">
        <v>16</v>
      </c>
      <c r="I588">
        <v>14.13</v>
      </c>
      <c r="J588">
        <v>11.75</v>
      </c>
      <c r="K588">
        <v>11.45</v>
      </c>
      <c r="L588">
        <v>8.33</v>
      </c>
      <c r="M588" s="7">
        <v>0.94240000000000002</v>
      </c>
      <c r="N588">
        <v>60000</v>
      </c>
      <c r="O588" s="2">
        <v>45600</v>
      </c>
    </row>
    <row r="589" spans="4:15" x14ac:dyDescent="0.45">
      <c r="D589" t="s">
        <v>885</v>
      </c>
      <c r="E589" t="s">
        <v>445</v>
      </c>
      <c r="F589" t="s">
        <v>14</v>
      </c>
      <c r="G589" t="s">
        <v>47</v>
      </c>
      <c r="H589" t="s">
        <v>16</v>
      </c>
      <c r="I589">
        <v>7.43</v>
      </c>
      <c r="J589">
        <v>7.35</v>
      </c>
      <c r="K589">
        <v>10.08</v>
      </c>
      <c r="L589">
        <v>7.79</v>
      </c>
      <c r="M589" s="7">
        <v>0.86570000000000003</v>
      </c>
      <c r="N589">
        <v>130000</v>
      </c>
      <c r="O589" s="2">
        <v>45763</v>
      </c>
    </row>
    <row r="590" spans="4:15" x14ac:dyDescent="0.45">
      <c r="D590" t="s">
        <v>886</v>
      </c>
      <c r="E590" t="s">
        <v>71</v>
      </c>
      <c r="F590" t="s">
        <v>19</v>
      </c>
      <c r="G590" t="s">
        <v>35</v>
      </c>
      <c r="H590" t="s">
        <v>29</v>
      </c>
      <c r="I590">
        <v>9.7200000000000006</v>
      </c>
      <c r="J590">
        <v>12.52</v>
      </c>
      <c r="K590">
        <v>10.52</v>
      </c>
      <c r="L590">
        <v>9.99</v>
      </c>
      <c r="M590" s="7">
        <v>0.62649999999999995</v>
      </c>
      <c r="N590">
        <v>50000</v>
      </c>
      <c r="O590" s="2">
        <v>46086</v>
      </c>
    </row>
    <row r="591" spans="4:15" x14ac:dyDescent="0.45">
      <c r="D591" t="s">
        <v>887</v>
      </c>
      <c r="E591" t="s">
        <v>669</v>
      </c>
      <c r="F591" t="s">
        <v>19</v>
      </c>
      <c r="G591" t="s">
        <v>47</v>
      </c>
      <c r="H591" t="s">
        <v>42</v>
      </c>
      <c r="I591">
        <v>12.79</v>
      </c>
      <c r="J591">
        <v>12.8</v>
      </c>
      <c r="K591">
        <v>12.54</v>
      </c>
      <c r="L591">
        <v>9.66</v>
      </c>
      <c r="M591" s="7">
        <v>0.91310000000000002</v>
      </c>
      <c r="N591">
        <v>85000</v>
      </c>
      <c r="O591" s="2">
        <v>45901</v>
      </c>
    </row>
    <row r="592" spans="4:15" x14ac:dyDescent="0.45">
      <c r="D592" t="s">
        <v>888</v>
      </c>
      <c r="E592" t="s">
        <v>207</v>
      </c>
      <c r="F592" t="s">
        <v>19</v>
      </c>
      <c r="G592" t="s">
        <v>32</v>
      </c>
      <c r="H592" t="s">
        <v>21</v>
      </c>
      <c r="I592">
        <v>15.08</v>
      </c>
      <c r="J592">
        <v>16.95</v>
      </c>
      <c r="K592">
        <v>14.43</v>
      </c>
      <c r="L592">
        <v>17.690000000000001</v>
      </c>
      <c r="M592" s="7">
        <v>0.75449999999999995</v>
      </c>
      <c r="N592">
        <v>80000</v>
      </c>
      <c r="O592" s="2">
        <v>45928</v>
      </c>
    </row>
    <row r="593" spans="4:15" x14ac:dyDescent="0.45">
      <c r="D593" t="s">
        <v>889</v>
      </c>
      <c r="E593" t="s">
        <v>630</v>
      </c>
      <c r="F593" t="s">
        <v>19</v>
      </c>
      <c r="G593" t="s">
        <v>47</v>
      </c>
      <c r="H593" t="s">
        <v>42</v>
      </c>
      <c r="I593">
        <v>15.39</v>
      </c>
      <c r="J593">
        <v>16.190000000000001</v>
      </c>
      <c r="K593">
        <v>14.45</v>
      </c>
      <c r="L593">
        <v>13</v>
      </c>
      <c r="M593" s="7">
        <v>0.8861</v>
      </c>
      <c r="N593">
        <v>80000</v>
      </c>
      <c r="O593" s="2">
        <v>45837</v>
      </c>
    </row>
    <row r="594" spans="4:15" x14ac:dyDescent="0.45">
      <c r="D594" t="s">
        <v>890</v>
      </c>
      <c r="E594" t="s">
        <v>872</v>
      </c>
      <c r="F594" t="s">
        <v>14</v>
      </c>
      <c r="G594" t="s">
        <v>15</v>
      </c>
      <c r="H594" t="s">
        <v>42</v>
      </c>
      <c r="I594">
        <v>15.89</v>
      </c>
      <c r="J594">
        <v>10.1</v>
      </c>
      <c r="K594">
        <v>14.2</v>
      </c>
      <c r="L594">
        <v>13.65</v>
      </c>
      <c r="M594" s="7">
        <v>0.6996</v>
      </c>
      <c r="N594">
        <v>130000</v>
      </c>
      <c r="O594" s="2">
        <v>45740</v>
      </c>
    </row>
    <row r="595" spans="4:15" x14ac:dyDescent="0.45">
      <c r="D595" t="s">
        <v>891</v>
      </c>
      <c r="E595" t="s">
        <v>892</v>
      </c>
      <c r="F595" t="s">
        <v>19</v>
      </c>
      <c r="G595" t="s">
        <v>28</v>
      </c>
      <c r="H595" t="s">
        <v>21</v>
      </c>
      <c r="I595">
        <v>10.76</v>
      </c>
      <c r="J595">
        <v>11.44</v>
      </c>
      <c r="K595">
        <v>12.3</v>
      </c>
      <c r="L595">
        <v>12.65</v>
      </c>
      <c r="M595" s="7">
        <v>0.80689999999999995</v>
      </c>
      <c r="N595">
        <v>70000</v>
      </c>
      <c r="O595" s="2">
        <v>45954</v>
      </c>
    </row>
    <row r="596" spans="4:15" x14ac:dyDescent="0.45">
      <c r="D596" t="s">
        <v>893</v>
      </c>
      <c r="E596" t="s">
        <v>268</v>
      </c>
      <c r="F596" t="s">
        <v>14</v>
      </c>
      <c r="G596" t="s">
        <v>32</v>
      </c>
      <c r="H596" t="s">
        <v>29</v>
      </c>
      <c r="I596">
        <v>14.09</v>
      </c>
      <c r="J596">
        <v>13.4</v>
      </c>
      <c r="K596">
        <v>9.85</v>
      </c>
      <c r="L596">
        <v>15.9</v>
      </c>
      <c r="M596" s="7">
        <v>0.94950000000000001</v>
      </c>
      <c r="N596">
        <v>90000</v>
      </c>
      <c r="O596" s="2">
        <v>45979</v>
      </c>
    </row>
    <row r="597" spans="4:15" x14ac:dyDescent="0.45">
      <c r="D597" t="s">
        <v>894</v>
      </c>
      <c r="E597" t="s">
        <v>406</v>
      </c>
      <c r="F597" t="s">
        <v>19</v>
      </c>
      <c r="G597" t="s">
        <v>47</v>
      </c>
      <c r="H597" t="s">
        <v>21</v>
      </c>
      <c r="I597">
        <v>13.31</v>
      </c>
      <c r="J597">
        <v>10.73</v>
      </c>
      <c r="K597">
        <v>8.2100000000000009</v>
      </c>
      <c r="L597">
        <v>10.82</v>
      </c>
      <c r="M597" s="7">
        <v>0.86019999999999996</v>
      </c>
      <c r="N597">
        <v>70000</v>
      </c>
      <c r="O597" s="2">
        <v>46164</v>
      </c>
    </row>
    <row r="598" spans="4:15" x14ac:dyDescent="0.45">
      <c r="D598" t="s">
        <v>895</v>
      </c>
      <c r="E598" t="s">
        <v>704</v>
      </c>
      <c r="F598" t="s">
        <v>19</v>
      </c>
      <c r="G598" t="s">
        <v>47</v>
      </c>
      <c r="H598" t="s">
        <v>21</v>
      </c>
      <c r="I598">
        <v>12.07</v>
      </c>
      <c r="J598">
        <v>10.85</v>
      </c>
      <c r="K598">
        <v>7.96</v>
      </c>
      <c r="L598">
        <v>11.93</v>
      </c>
      <c r="M598" s="7">
        <v>0.59350000000000003</v>
      </c>
      <c r="N598">
        <v>130000</v>
      </c>
      <c r="O598" s="2">
        <v>45968</v>
      </c>
    </row>
    <row r="599" spans="4:15" x14ac:dyDescent="0.45">
      <c r="D599" t="s">
        <v>896</v>
      </c>
      <c r="E599" t="s">
        <v>799</v>
      </c>
      <c r="F599" t="s">
        <v>19</v>
      </c>
      <c r="G599" t="s">
        <v>35</v>
      </c>
      <c r="H599" t="s">
        <v>42</v>
      </c>
      <c r="I599">
        <v>10.52</v>
      </c>
      <c r="J599">
        <v>14.4</v>
      </c>
      <c r="K599">
        <v>9.1199999999999992</v>
      </c>
      <c r="L599">
        <v>10.39</v>
      </c>
      <c r="M599" s="7">
        <v>0.87170000000000003</v>
      </c>
      <c r="N599">
        <v>110000</v>
      </c>
      <c r="O599" s="2">
        <v>46232</v>
      </c>
    </row>
    <row r="600" spans="4:15" x14ac:dyDescent="0.45">
      <c r="D600" t="s">
        <v>897</v>
      </c>
      <c r="E600" t="s">
        <v>55</v>
      </c>
      <c r="F600" t="s">
        <v>19</v>
      </c>
      <c r="G600" t="s">
        <v>20</v>
      </c>
      <c r="H600" t="s">
        <v>21</v>
      </c>
      <c r="I600">
        <v>11.09</v>
      </c>
      <c r="J600">
        <v>13.91</v>
      </c>
      <c r="K600">
        <v>12.83</v>
      </c>
      <c r="L600">
        <v>12.58</v>
      </c>
      <c r="M600" s="7">
        <v>0.76070000000000004</v>
      </c>
      <c r="N600">
        <v>80000</v>
      </c>
      <c r="O600" s="2">
        <v>46114</v>
      </c>
    </row>
    <row r="601" spans="4:15" x14ac:dyDescent="0.45">
      <c r="D601" t="s">
        <v>898</v>
      </c>
      <c r="E601" t="s">
        <v>386</v>
      </c>
      <c r="F601" t="s">
        <v>19</v>
      </c>
      <c r="G601" t="s">
        <v>35</v>
      </c>
      <c r="H601" t="s">
        <v>16</v>
      </c>
      <c r="I601">
        <v>6.42</v>
      </c>
      <c r="J601">
        <v>8.4700000000000006</v>
      </c>
      <c r="K601">
        <v>10.92</v>
      </c>
      <c r="L601">
        <v>6.84</v>
      </c>
      <c r="M601" s="7">
        <v>0.94220000000000004</v>
      </c>
      <c r="N601">
        <v>50000</v>
      </c>
      <c r="O601" s="2">
        <v>45591</v>
      </c>
    </row>
    <row r="602" spans="4:15" x14ac:dyDescent="0.45">
      <c r="D602" t="s">
        <v>899</v>
      </c>
      <c r="E602" t="s">
        <v>295</v>
      </c>
      <c r="F602" t="s">
        <v>19</v>
      </c>
      <c r="G602" t="s">
        <v>28</v>
      </c>
      <c r="H602" t="s">
        <v>21</v>
      </c>
      <c r="I602">
        <v>11.63</v>
      </c>
      <c r="J602">
        <v>15.85</v>
      </c>
      <c r="K602">
        <v>16.5</v>
      </c>
      <c r="L602">
        <v>8.0500000000000007</v>
      </c>
      <c r="M602" s="7">
        <v>0.89649999999999996</v>
      </c>
      <c r="N602">
        <v>60000</v>
      </c>
      <c r="O602" s="2">
        <v>45810</v>
      </c>
    </row>
    <row r="603" spans="4:15" x14ac:dyDescent="0.45">
      <c r="D603" t="s">
        <v>900</v>
      </c>
      <c r="E603" t="s">
        <v>583</v>
      </c>
      <c r="F603" t="s">
        <v>19</v>
      </c>
      <c r="G603" t="s">
        <v>28</v>
      </c>
      <c r="H603" t="s">
        <v>42</v>
      </c>
      <c r="I603">
        <v>16.239999999999998</v>
      </c>
      <c r="J603">
        <v>17.350000000000001</v>
      </c>
      <c r="K603">
        <v>17.399999999999999</v>
      </c>
      <c r="L603">
        <v>16.27</v>
      </c>
      <c r="M603" s="7">
        <v>0.9133</v>
      </c>
      <c r="N603">
        <v>70000</v>
      </c>
      <c r="O603" s="2">
        <v>45805</v>
      </c>
    </row>
    <row r="604" spans="4:15" x14ac:dyDescent="0.45">
      <c r="D604" t="s">
        <v>901</v>
      </c>
      <c r="E604" t="s">
        <v>902</v>
      </c>
      <c r="F604" t="s">
        <v>19</v>
      </c>
      <c r="G604" t="s">
        <v>20</v>
      </c>
      <c r="H604" t="s">
        <v>16</v>
      </c>
      <c r="I604">
        <v>8.75</v>
      </c>
      <c r="J604">
        <v>7.68</v>
      </c>
      <c r="K604">
        <v>11.61</v>
      </c>
      <c r="L604">
        <v>9.9</v>
      </c>
      <c r="M604" s="7">
        <v>0.73009999999999997</v>
      </c>
      <c r="N604">
        <v>80000</v>
      </c>
      <c r="O604" s="2">
        <v>45538</v>
      </c>
    </row>
    <row r="605" spans="4:15" x14ac:dyDescent="0.45">
      <c r="D605" t="s">
        <v>903</v>
      </c>
      <c r="E605" t="s">
        <v>109</v>
      </c>
      <c r="F605" t="s">
        <v>14</v>
      </c>
      <c r="G605" t="s">
        <v>28</v>
      </c>
      <c r="H605" t="s">
        <v>16</v>
      </c>
      <c r="I605">
        <v>13.74</v>
      </c>
      <c r="J605">
        <v>15.84</v>
      </c>
      <c r="K605">
        <v>15.11</v>
      </c>
      <c r="L605">
        <v>14.52</v>
      </c>
      <c r="M605" s="7">
        <v>0.91159999999999997</v>
      </c>
      <c r="N605">
        <v>120000</v>
      </c>
      <c r="O605" s="2">
        <v>45662</v>
      </c>
    </row>
    <row r="606" spans="4:15" x14ac:dyDescent="0.45">
      <c r="D606" t="s">
        <v>904</v>
      </c>
      <c r="E606" t="s">
        <v>233</v>
      </c>
      <c r="F606" t="s">
        <v>19</v>
      </c>
      <c r="G606" t="s">
        <v>15</v>
      </c>
      <c r="H606" t="s">
        <v>42</v>
      </c>
      <c r="I606">
        <v>15.17</v>
      </c>
      <c r="J606">
        <v>12.93</v>
      </c>
      <c r="K606">
        <v>13.55</v>
      </c>
      <c r="L606">
        <v>11.63</v>
      </c>
      <c r="M606" s="7">
        <v>0.55000000000000004</v>
      </c>
      <c r="N606">
        <v>60000</v>
      </c>
      <c r="O606" s="2">
        <v>46069</v>
      </c>
    </row>
    <row r="607" spans="4:15" x14ac:dyDescent="0.45">
      <c r="D607" t="s">
        <v>905</v>
      </c>
      <c r="E607" t="s">
        <v>906</v>
      </c>
      <c r="F607" t="s">
        <v>19</v>
      </c>
      <c r="G607" t="s">
        <v>32</v>
      </c>
      <c r="H607" t="s">
        <v>29</v>
      </c>
      <c r="I607">
        <v>11.84</v>
      </c>
      <c r="J607">
        <v>11.75</v>
      </c>
      <c r="K607">
        <v>17.07</v>
      </c>
      <c r="L607">
        <v>17.63</v>
      </c>
      <c r="M607" s="7">
        <v>0.9637</v>
      </c>
      <c r="N607">
        <v>90000</v>
      </c>
      <c r="O607" s="2">
        <v>45782</v>
      </c>
    </row>
    <row r="608" spans="4:15" x14ac:dyDescent="0.45">
      <c r="D608" t="s">
        <v>907</v>
      </c>
      <c r="E608" t="s">
        <v>827</v>
      </c>
      <c r="F608" t="s">
        <v>14</v>
      </c>
      <c r="G608" t="s">
        <v>15</v>
      </c>
      <c r="H608" t="s">
        <v>29</v>
      </c>
      <c r="I608">
        <v>12.94</v>
      </c>
      <c r="J608">
        <v>14.87</v>
      </c>
      <c r="K608">
        <v>15.69</v>
      </c>
      <c r="L608">
        <v>12.35</v>
      </c>
      <c r="M608" s="7">
        <v>0.66120000000000001</v>
      </c>
      <c r="N608">
        <v>75000</v>
      </c>
      <c r="O608" s="2">
        <v>45639</v>
      </c>
    </row>
    <row r="609" spans="4:15" x14ac:dyDescent="0.45">
      <c r="D609" t="s">
        <v>908</v>
      </c>
      <c r="E609" t="s">
        <v>909</v>
      </c>
      <c r="F609" t="s">
        <v>19</v>
      </c>
      <c r="G609" t="s">
        <v>47</v>
      </c>
      <c r="H609" t="s">
        <v>29</v>
      </c>
      <c r="I609">
        <v>9.85</v>
      </c>
      <c r="J609">
        <v>10.31</v>
      </c>
      <c r="K609">
        <v>10.46</v>
      </c>
      <c r="L609">
        <v>10.26</v>
      </c>
      <c r="M609" s="7">
        <v>0.84309999999999996</v>
      </c>
      <c r="N609">
        <v>50000</v>
      </c>
      <c r="O609" s="2">
        <v>45737</v>
      </c>
    </row>
    <row r="610" spans="4:15" x14ac:dyDescent="0.45">
      <c r="D610" t="s">
        <v>910</v>
      </c>
      <c r="E610" t="s">
        <v>647</v>
      </c>
      <c r="F610" t="s">
        <v>19</v>
      </c>
      <c r="G610" t="s">
        <v>32</v>
      </c>
      <c r="H610" t="s">
        <v>21</v>
      </c>
      <c r="I610">
        <v>8.42</v>
      </c>
      <c r="J610">
        <v>9.86</v>
      </c>
      <c r="K610">
        <v>12.96</v>
      </c>
      <c r="L610">
        <v>11.17</v>
      </c>
      <c r="M610" s="7">
        <v>0.75800000000000001</v>
      </c>
      <c r="N610">
        <v>90000</v>
      </c>
      <c r="O610" s="2">
        <v>45728</v>
      </c>
    </row>
    <row r="611" spans="4:15" x14ac:dyDescent="0.45">
      <c r="D611" t="s">
        <v>911</v>
      </c>
      <c r="E611" t="s">
        <v>317</v>
      </c>
      <c r="F611" t="s">
        <v>19</v>
      </c>
      <c r="G611" t="s">
        <v>20</v>
      </c>
      <c r="H611" t="s">
        <v>29</v>
      </c>
      <c r="I611">
        <v>16.73</v>
      </c>
      <c r="J611">
        <v>13.9</v>
      </c>
      <c r="K611">
        <v>8.6199999999999992</v>
      </c>
      <c r="L611">
        <v>17.260000000000002</v>
      </c>
      <c r="M611" s="7">
        <v>0.86609999999999998</v>
      </c>
      <c r="N611">
        <v>100000</v>
      </c>
      <c r="O611" s="2">
        <v>45658</v>
      </c>
    </row>
    <row r="612" spans="4:15" x14ac:dyDescent="0.45">
      <c r="D612" t="s">
        <v>912</v>
      </c>
      <c r="E612" t="s">
        <v>374</v>
      </c>
      <c r="F612" t="s">
        <v>19</v>
      </c>
      <c r="G612" t="s">
        <v>35</v>
      </c>
      <c r="H612" t="s">
        <v>16</v>
      </c>
      <c r="I612">
        <v>18.38</v>
      </c>
      <c r="J612">
        <v>15.2</v>
      </c>
      <c r="K612">
        <v>15.94</v>
      </c>
      <c r="L612">
        <v>15.58</v>
      </c>
      <c r="M612" s="7">
        <v>0.55000000000000004</v>
      </c>
      <c r="N612">
        <v>130000</v>
      </c>
      <c r="O612" s="2">
        <v>45606</v>
      </c>
    </row>
    <row r="613" spans="4:15" x14ac:dyDescent="0.45">
      <c r="D613" t="s">
        <v>913</v>
      </c>
      <c r="E613" t="s">
        <v>63</v>
      </c>
      <c r="F613" t="s">
        <v>14</v>
      </c>
      <c r="G613" t="s">
        <v>47</v>
      </c>
      <c r="H613" t="s">
        <v>29</v>
      </c>
      <c r="I613">
        <v>7.94</v>
      </c>
      <c r="J613">
        <v>9.0399999999999991</v>
      </c>
      <c r="K613">
        <v>6.83</v>
      </c>
      <c r="L613">
        <v>5.76</v>
      </c>
      <c r="M613" s="7">
        <v>0.74650000000000005</v>
      </c>
      <c r="N613">
        <v>85000</v>
      </c>
      <c r="O613" s="2">
        <v>46070</v>
      </c>
    </row>
    <row r="614" spans="4:15" x14ac:dyDescent="0.45">
      <c r="D614" t="s">
        <v>914</v>
      </c>
      <c r="E614" t="s">
        <v>691</v>
      </c>
      <c r="F614" t="s">
        <v>19</v>
      </c>
      <c r="G614" t="s">
        <v>47</v>
      </c>
      <c r="H614" t="s">
        <v>16</v>
      </c>
      <c r="I614">
        <v>18.420000000000002</v>
      </c>
      <c r="J614">
        <v>14.77</v>
      </c>
      <c r="K614">
        <v>17.2</v>
      </c>
      <c r="L614">
        <v>11.07</v>
      </c>
      <c r="M614" s="7">
        <v>0.55000000000000004</v>
      </c>
      <c r="N614">
        <v>75000</v>
      </c>
      <c r="O614" s="2">
        <v>46113</v>
      </c>
    </row>
    <row r="615" spans="4:15" x14ac:dyDescent="0.45">
      <c r="D615" t="s">
        <v>915</v>
      </c>
      <c r="E615" t="s">
        <v>155</v>
      </c>
      <c r="F615" t="s">
        <v>14</v>
      </c>
      <c r="G615" t="s">
        <v>47</v>
      </c>
      <c r="H615" t="s">
        <v>42</v>
      </c>
      <c r="I615">
        <v>13.53</v>
      </c>
      <c r="J615">
        <v>17.600000000000001</v>
      </c>
      <c r="K615">
        <v>20</v>
      </c>
      <c r="L615">
        <v>20</v>
      </c>
      <c r="M615" s="7">
        <v>0.96399999999999997</v>
      </c>
      <c r="N615">
        <v>120000</v>
      </c>
      <c r="O615" s="2">
        <v>45883</v>
      </c>
    </row>
    <row r="616" spans="4:15" x14ac:dyDescent="0.45">
      <c r="D616" t="s">
        <v>916</v>
      </c>
      <c r="E616" t="s">
        <v>917</v>
      </c>
      <c r="F616" t="s">
        <v>19</v>
      </c>
      <c r="G616" t="s">
        <v>20</v>
      </c>
      <c r="H616" t="s">
        <v>21</v>
      </c>
      <c r="I616">
        <v>13.05</v>
      </c>
      <c r="J616">
        <v>14.26</v>
      </c>
      <c r="K616">
        <v>10.08</v>
      </c>
      <c r="L616">
        <v>13.9</v>
      </c>
      <c r="M616" s="7">
        <v>0.73899999999999999</v>
      </c>
      <c r="N616">
        <v>70000</v>
      </c>
      <c r="O616" s="2">
        <v>45966</v>
      </c>
    </row>
    <row r="617" spans="4:15" x14ac:dyDescent="0.45">
      <c r="D617" t="s">
        <v>918</v>
      </c>
      <c r="E617" t="s">
        <v>771</v>
      </c>
      <c r="F617" t="s">
        <v>19</v>
      </c>
      <c r="G617" t="s">
        <v>32</v>
      </c>
      <c r="H617" t="s">
        <v>21</v>
      </c>
      <c r="I617">
        <v>15.85</v>
      </c>
      <c r="J617">
        <v>12.9</v>
      </c>
      <c r="K617">
        <v>18.350000000000001</v>
      </c>
      <c r="L617">
        <v>15.94</v>
      </c>
      <c r="M617" s="7">
        <v>0.80759999999999998</v>
      </c>
      <c r="N617">
        <v>100000</v>
      </c>
      <c r="O617" s="2">
        <v>46179</v>
      </c>
    </row>
    <row r="618" spans="4:15" x14ac:dyDescent="0.45">
      <c r="D618" t="s">
        <v>919</v>
      </c>
      <c r="E618" t="s">
        <v>920</v>
      </c>
      <c r="F618" t="s">
        <v>14</v>
      </c>
      <c r="G618" t="s">
        <v>32</v>
      </c>
      <c r="H618" t="s">
        <v>42</v>
      </c>
      <c r="I618">
        <v>9.52</v>
      </c>
      <c r="J618">
        <v>9.9600000000000009</v>
      </c>
      <c r="K618">
        <v>9.15</v>
      </c>
      <c r="L618">
        <v>18.29</v>
      </c>
      <c r="M618" s="7">
        <v>0.85309999999999997</v>
      </c>
      <c r="N618">
        <v>130000</v>
      </c>
      <c r="O618" s="2">
        <v>46125</v>
      </c>
    </row>
    <row r="619" spans="4:15" x14ac:dyDescent="0.45">
      <c r="D619" t="s">
        <v>921</v>
      </c>
      <c r="E619" t="s">
        <v>922</v>
      </c>
      <c r="F619" t="s">
        <v>14</v>
      </c>
      <c r="G619" t="s">
        <v>47</v>
      </c>
      <c r="H619" t="s">
        <v>21</v>
      </c>
      <c r="I619">
        <v>13.83</v>
      </c>
      <c r="J619">
        <v>8.6999999999999993</v>
      </c>
      <c r="K619">
        <v>10.86</v>
      </c>
      <c r="L619">
        <v>13.78</v>
      </c>
      <c r="M619" s="7">
        <v>0.77849999999999997</v>
      </c>
      <c r="N619">
        <v>50000</v>
      </c>
      <c r="O619" s="2">
        <v>45558</v>
      </c>
    </row>
    <row r="620" spans="4:15" x14ac:dyDescent="0.45">
      <c r="D620" t="s">
        <v>923</v>
      </c>
      <c r="E620" t="s">
        <v>924</v>
      </c>
      <c r="F620" t="s">
        <v>14</v>
      </c>
      <c r="G620" t="s">
        <v>35</v>
      </c>
      <c r="H620" t="s">
        <v>29</v>
      </c>
      <c r="I620">
        <v>6.53</v>
      </c>
      <c r="J620">
        <v>10.6</v>
      </c>
      <c r="K620">
        <v>8.65</v>
      </c>
      <c r="L620">
        <v>6</v>
      </c>
      <c r="M620" s="7">
        <v>0.64100000000000001</v>
      </c>
      <c r="N620">
        <v>130000</v>
      </c>
      <c r="O620" s="2">
        <v>46203</v>
      </c>
    </row>
    <row r="621" spans="4:15" x14ac:dyDescent="0.45">
      <c r="D621" t="s">
        <v>925</v>
      </c>
      <c r="E621" t="s">
        <v>180</v>
      </c>
      <c r="F621" t="s">
        <v>14</v>
      </c>
      <c r="G621" t="s">
        <v>15</v>
      </c>
      <c r="H621" t="s">
        <v>42</v>
      </c>
      <c r="I621">
        <v>8.4600000000000009</v>
      </c>
      <c r="J621">
        <v>4.67</v>
      </c>
      <c r="K621">
        <v>6.44</v>
      </c>
      <c r="L621">
        <v>6.4</v>
      </c>
      <c r="M621" s="7">
        <v>0.92290000000000005</v>
      </c>
      <c r="N621">
        <v>70000</v>
      </c>
      <c r="O621" s="2">
        <v>45582</v>
      </c>
    </row>
    <row r="622" spans="4:15" x14ac:dyDescent="0.45">
      <c r="D622" t="s">
        <v>926</v>
      </c>
      <c r="E622" t="s">
        <v>425</v>
      </c>
      <c r="F622" t="s">
        <v>14</v>
      </c>
      <c r="G622" t="s">
        <v>20</v>
      </c>
      <c r="H622" t="s">
        <v>16</v>
      </c>
      <c r="I622">
        <v>18.47</v>
      </c>
      <c r="J622">
        <v>16.829999999999998</v>
      </c>
      <c r="K622">
        <v>12.91</v>
      </c>
      <c r="L622">
        <v>13.9</v>
      </c>
      <c r="M622" s="7">
        <v>0.88260000000000005</v>
      </c>
      <c r="N622">
        <v>85000</v>
      </c>
      <c r="O622" s="2">
        <v>45554</v>
      </c>
    </row>
    <row r="623" spans="4:15" x14ac:dyDescent="0.45">
      <c r="D623" t="s">
        <v>927</v>
      </c>
      <c r="E623" t="s">
        <v>204</v>
      </c>
      <c r="F623" t="s">
        <v>14</v>
      </c>
      <c r="G623" t="s">
        <v>20</v>
      </c>
      <c r="H623" t="s">
        <v>42</v>
      </c>
      <c r="I623">
        <v>11.34</v>
      </c>
      <c r="J623">
        <v>11.96</v>
      </c>
      <c r="K623">
        <v>12.37</v>
      </c>
      <c r="L623">
        <v>9.77</v>
      </c>
      <c r="M623" s="7">
        <v>0.9829</v>
      </c>
      <c r="N623">
        <v>70000</v>
      </c>
      <c r="O623" s="2">
        <v>45818</v>
      </c>
    </row>
    <row r="624" spans="4:15" x14ac:dyDescent="0.45">
      <c r="D624" t="s">
        <v>928</v>
      </c>
      <c r="E624" t="s">
        <v>364</v>
      </c>
      <c r="F624" t="s">
        <v>14</v>
      </c>
      <c r="G624" t="s">
        <v>47</v>
      </c>
      <c r="H624" t="s">
        <v>42</v>
      </c>
      <c r="I624">
        <v>8.15</v>
      </c>
      <c r="J624">
        <v>13.95</v>
      </c>
      <c r="K624">
        <v>13.92</v>
      </c>
      <c r="L624">
        <v>11.24</v>
      </c>
      <c r="M624" s="7">
        <v>0.95050000000000001</v>
      </c>
      <c r="N624">
        <v>60000</v>
      </c>
      <c r="O624" s="2">
        <v>46058</v>
      </c>
    </row>
    <row r="625" spans="4:15" x14ac:dyDescent="0.45">
      <c r="D625" t="s">
        <v>929</v>
      </c>
      <c r="E625" t="s">
        <v>158</v>
      </c>
      <c r="F625" t="s">
        <v>14</v>
      </c>
      <c r="G625" t="s">
        <v>20</v>
      </c>
      <c r="H625" t="s">
        <v>16</v>
      </c>
      <c r="I625">
        <v>7.49</v>
      </c>
      <c r="J625">
        <v>7.37</v>
      </c>
      <c r="K625">
        <v>12.14</v>
      </c>
      <c r="L625">
        <v>8.23</v>
      </c>
      <c r="M625" s="7">
        <v>0.87350000000000005</v>
      </c>
      <c r="N625">
        <v>100000</v>
      </c>
      <c r="O625" s="2">
        <v>45592</v>
      </c>
    </row>
    <row r="626" spans="4:15" x14ac:dyDescent="0.45">
      <c r="D626" t="s">
        <v>930</v>
      </c>
      <c r="E626" t="s">
        <v>53</v>
      </c>
      <c r="F626" t="s">
        <v>19</v>
      </c>
      <c r="G626" t="s">
        <v>28</v>
      </c>
      <c r="H626" t="s">
        <v>42</v>
      </c>
      <c r="I626">
        <v>10.79</v>
      </c>
      <c r="J626">
        <v>9.81</v>
      </c>
      <c r="K626">
        <v>8.8000000000000007</v>
      </c>
      <c r="L626">
        <v>6.39</v>
      </c>
      <c r="M626" s="7">
        <v>0.75249999999999995</v>
      </c>
      <c r="N626">
        <v>85000</v>
      </c>
      <c r="O626" s="2">
        <v>45741</v>
      </c>
    </row>
    <row r="627" spans="4:15" x14ac:dyDescent="0.45">
      <c r="D627" t="s">
        <v>931</v>
      </c>
      <c r="E627" t="s">
        <v>731</v>
      </c>
      <c r="F627" t="s">
        <v>14</v>
      </c>
      <c r="G627" t="s">
        <v>28</v>
      </c>
      <c r="H627" t="s">
        <v>42</v>
      </c>
      <c r="I627">
        <v>13.06</v>
      </c>
      <c r="J627">
        <v>17.09</v>
      </c>
      <c r="K627">
        <v>13.13</v>
      </c>
      <c r="L627">
        <v>16.420000000000002</v>
      </c>
      <c r="M627" s="7">
        <v>0.98350000000000004</v>
      </c>
      <c r="N627">
        <v>85000</v>
      </c>
      <c r="O627" s="2">
        <v>45719</v>
      </c>
    </row>
    <row r="628" spans="4:15" x14ac:dyDescent="0.45">
      <c r="D628" t="s">
        <v>932</v>
      </c>
      <c r="E628" t="s">
        <v>933</v>
      </c>
      <c r="F628" t="s">
        <v>14</v>
      </c>
      <c r="G628" t="s">
        <v>32</v>
      </c>
      <c r="H628" t="s">
        <v>29</v>
      </c>
      <c r="I628">
        <v>5.53</v>
      </c>
      <c r="J628">
        <v>15.63</v>
      </c>
      <c r="K628">
        <v>11.59</v>
      </c>
      <c r="L628">
        <v>12.01</v>
      </c>
      <c r="M628" s="7">
        <v>0.90610000000000002</v>
      </c>
      <c r="N628">
        <v>85000</v>
      </c>
      <c r="O628" s="2">
        <v>45814</v>
      </c>
    </row>
    <row r="629" spans="4:15" x14ac:dyDescent="0.45">
      <c r="D629" t="s">
        <v>934</v>
      </c>
      <c r="E629" t="s">
        <v>454</v>
      </c>
      <c r="F629" t="s">
        <v>14</v>
      </c>
      <c r="G629" t="s">
        <v>35</v>
      </c>
      <c r="H629" t="s">
        <v>42</v>
      </c>
      <c r="I629">
        <v>17.29</v>
      </c>
      <c r="J629">
        <v>17.13</v>
      </c>
      <c r="K629">
        <v>18.47</v>
      </c>
      <c r="L629">
        <v>13.96</v>
      </c>
      <c r="M629" s="7">
        <v>0.93130000000000002</v>
      </c>
      <c r="N629">
        <v>110000</v>
      </c>
      <c r="O629" s="2">
        <v>46226</v>
      </c>
    </row>
    <row r="630" spans="4:15" x14ac:dyDescent="0.45">
      <c r="D630" t="s">
        <v>935</v>
      </c>
      <c r="E630" t="s">
        <v>612</v>
      </c>
      <c r="F630" t="s">
        <v>19</v>
      </c>
      <c r="G630" t="s">
        <v>35</v>
      </c>
      <c r="H630" t="s">
        <v>29</v>
      </c>
      <c r="I630">
        <v>15.07</v>
      </c>
      <c r="J630">
        <v>15.91</v>
      </c>
      <c r="K630">
        <v>8.73</v>
      </c>
      <c r="L630">
        <v>16.329999999999998</v>
      </c>
      <c r="M630" s="7">
        <v>0.73860000000000003</v>
      </c>
      <c r="N630">
        <v>130000</v>
      </c>
      <c r="O630" s="2">
        <v>45767</v>
      </c>
    </row>
    <row r="631" spans="4:15" x14ac:dyDescent="0.45">
      <c r="D631" t="s">
        <v>936</v>
      </c>
      <c r="E631" t="s">
        <v>827</v>
      </c>
      <c r="F631" t="s">
        <v>14</v>
      </c>
      <c r="G631" t="s">
        <v>15</v>
      </c>
      <c r="H631" t="s">
        <v>29</v>
      </c>
      <c r="I631">
        <v>12.6</v>
      </c>
      <c r="J631">
        <v>12.59</v>
      </c>
      <c r="K631">
        <v>12.49</v>
      </c>
      <c r="L631">
        <v>15.33</v>
      </c>
      <c r="M631" s="7">
        <v>0.80720000000000003</v>
      </c>
      <c r="N631">
        <v>85000</v>
      </c>
      <c r="O631" s="2">
        <v>45682</v>
      </c>
    </row>
    <row r="632" spans="4:15" x14ac:dyDescent="0.45">
      <c r="D632" t="s">
        <v>937</v>
      </c>
      <c r="E632" t="s">
        <v>512</v>
      </c>
      <c r="F632" t="s">
        <v>19</v>
      </c>
      <c r="G632" t="s">
        <v>47</v>
      </c>
      <c r="H632" t="s">
        <v>16</v>
      </c>
      <c r="I632">
        <v>16.36</v>
      </c>
      <c r="J632">
        <v>16.149999999999999</v>
      </c>
      <c r="K632">
        <v>14.38</v>
      </c>
      <c r="L632">
        <v>14.67</v>
      </c>
      <c r="M632" s="7">
        <v>0.70789999999999997</v>
      </c>
      <c r="N632">
        <v>60000</v>
      </c>
      <c r="O632" s="2">
        <v>45621</v>
      </c>
    </row>
    <row r="633" spans="4:15" x14ac:dyDescent="0.45">
      <c r="D633" t="s">
        <v>938</v>
      </c>
      <c r="E633" t="s">
        <v>285</v>
      </c>
      <c r="F633" t="s">
        <v>14</v>
      </c>
      <c r="G633" t="s">
        <v>35</v>
      </c>
      <c r="H633" t="s">
        <v>29</v>
      </c>
      <c r="I633">
        <v>16.43</v>
      </c>
      <c r="J633">
        <v>17.97</v>
      </c>
      <c r="K633">
        <v>15.73</v>
      </c>
      <c r="L633">
        <v>19.32</v>
      </c>
      <c r="M633" s="7">
        <v>0.83879999999999999</v>
      </c>
      <c r="N633">
        <v>75000</v>
      </c>
      <c r="O633" s="2">
        <v>45674</v>
      </c>
    </row>
    <row r="634" spans="4:15" x14ac:dyDescent="0.45">
      <c r="D634" t="s">
        <v>939</v>
      </c>
      <c r="E634" t="s">
        <v>468</v>
      </c>
      <c r="F634" t="s">
        <v>14</v>
      </c>
      <c r="G634" t="s">
        <v>35</v>
      </c>
      <c r="H634" t="s">
        <v>21</v>
      </c>
      <c r="I634">
        <v>9</v>
      </c>
      <c r="J634">
        <v>12.14</v>
      </c>
      <c r="K634">
        <v>10.14</v>
      </c>
      <c r="L634">
        <v>10.71</v>
      </c>
      <c r="M634" s="7">
        <v>0.59550000000000003</v>
      </c>
      <c r="N634">
        <v>85000</v>
      </c>
      <c r="O634" s="2">
        <v>45629</v>
      </c>
    </row>
    <row r="635" spans="4:15" x14ac:dyDescent="0.45">
      <c r="D635" t="s">
        <v>940</v>
      </c>
      <c r="E635" t="s">
        <v>13</v>
      </c>
      <c r="F635" t="s">
        <v>14</v>
      </c>
      <c r="G635" t="s">
        <v>28</v>
      </c>
      <c r="H635" t="s">
        <v>21</v>
      </c>
      <c r="I635">
        <v>14.13</v>
      </c>
      <c r="J635">
        <v>12.35</v>
      </c>
      <c r="K635">
        <v>13.27</v>
      </c>
      <c r="L635">
        <v>14.72</v>
      </c>
      <c r="M635" s="7">
        <v>0.87860000000000005</v>
      </c>
      <c r="N635">
        <v>60000</v>
      </c>
      <c r="O635" s="2">
        <v>45937</v>
      </c>
    </row>
    <row r="636" spans="4:15" x14ac:dyDescent="0.45">
      <c r="D636" t="s">
        <v>941</v>
      </c>
      <c r="E636" t="s">
        <v>245</v>
      </c>
      <c r="F636" t="s">
        <v>14</v>
      </c>
      <c r="G636" t="s">
        <v>28</v>
      </c>
      <c r="H636" t="s">
        <v>42</v>
      </c>
      <c r="I636">
        <v>20</v>
      </c>
      <c r="J636">
        <v>16.690000000000001</v>
      </c>
      <c r="K636">
        <v>15.42</v>
      </c>
      <c r="L636">
        <v>18.23</v>
      </c>
      <c r="M636" s="7">
        <v>0.71719999999999995</v>
      </c>
      <c r="N636">
        <v>70000</v>
      </c>
      <c r="O636" s="2">
        <v>45830</v>
      </c>
    </row>
    <row r="637" spans="4:15" x14ac:dyDescent="0.45">
      <c r="D637" t="s">
        <v>942</v>
      </c>
      <c r="E637" t="s">
        <v>943</v>
      </c>
      <c r="F637" t="s">
        <v>19</v>
      </c>
      <c r="G637" t="s">
        <v>32</v>
      </c>
      <c r="H637" t="s">
        <v>42</v>
      </c>
      <c r="I637">
        <v>20</v>
      </c>
      <c r="J637">
        <v>17.8</v>
      </c>
      <c r="K637">
        <v>17.38</v>
      </c>
      <c r="L637">
        <v>17.3</v>
      </c>
      <c r="M637" s="7">
        <v>0.87719999999999998</v>
      </c>
      <c r="N637">
        <v>70000</v>
      </c>
      <c r="O637" s="2">
        <v>45884</v>
      </c>
    </row>
    <row r="638" spans="4:15" x14ac:dyDescent="0.45">
      <c r="D638" t="s">
        <v>944</v>
      </c>
      <c r="E638" t="s">
        <v>575</v>
      </c>
      <c r="F638" t="s">
        <v>14</v>
      </c>
      <c r="G638" t="s">
        <v>47</v>
      </c>
      <c r="H638" t="s">
        <v>42</v>
      </c>
      <c r="I638">
        <v>10.31</v>
      </c>
      <c r="J638">
        <v>10.46</v>
      </c>
      <c r="K638">
        <v>11.1</v>
      </c>
      <c r="L638">
        <v>8.93</v>
      </c>
      <c r="M638" s="7">
        <v>0.86419999999999997</v>
      </c>
      <c r="N638">
        <v>130000</v>
      </c>
      <c r="O638" s="2">
        <v>46118</v>
      </c>
    </row>
    <row r="639" spans="4:15" x14ac:dyDescent="0.45">
      <c r="D639" t="s">
        <v>945</v>
      </c>
      <c r="E639" t="s">
        <v>556</v>
      </c>
      <c r="F639" t="s">
        <v>14</v>
      </c>
      <c r="G639" t="s">
        <v>35</v>
      </c>
      <c r="H639" t="s">
        <v>29</v>
      </c>
      <c r="I639">
        <v>13.64</v>
      </c>
      <c r="J639">
        <v>14.11</v>
      </c>
      <c r="K639">
        <v>12.31</v>
      </c>
      <c r="L639">
        <v>15.89</v>
      </c>
      <c r="M639" s="7">
        <v>0.76659999999999995</v>
      </c>
      <c r="N639">
        <v>80000</v>
      </c>
      <c r="O639" s="2">
        <v>45942</v>
      </c>
    </row>
    <row r="640" spans="4:15" x14ac:dyDescent="0.45">
      <c r="D640" t="s">
        <v>946</v>
      </c>
      <c r="E640" t="s">
        <v>665</v>
      </c>
      <c r="F640" t="s">
        <v>19</v>
      </c>
      <c r="G640" t="s">
        <v>15</v>
      </c>
      <c r="H640" t="s">
        <v>29</v>
      </c>
      <c r="I640">
        <v>19.04</v>
      </c>
      <c r="J640">
        <v>16.43</v>
      </c>
      <c r="K640">
        <v>16.510000000000002</v>
      </c>
      <c r="L640">
        <v>16.149999999999999</v>
      </c>
      <c r="M640" s="7">
        <v>0.85640000000000005</v>
      </c>
      <c r="N640">
        <v>120000</v>
      </c>
      <c r="O640" s="2">
        <v>45644</v>
      </c>
    </row>
    <row r="641" spans="4:15" x14ac:dyDescent="0.45">
      <c r="D641" t="s">
        <v>947</v>
      </c>
      <c r="E641" t="s">
        <v>250</v>
      </c>
      <c r="F641" t="s">
        <v>19</v>
      </c>
      <c r="G641" t="s">
        <v>32</v>
      </c>
      <c r="H641" t="s">
        <v>42</v>
      </c>
      <c r="I641">
        <v>12.16</v>
      </c>
      <c r="J641">
        <v>12.37</v>
      </c>
      <c r="K641">
        <v>14.76</v>
      </c>
      <c r="L641">
        <v>15.68</v>
      </c>
      <c r="M641" s="7">
        <v>0.68010000000000004</v>
      </c>
      <c r="N641">
        <v>90000</v>
      </c>
      <c r="O641" s="2">
        <v>45799</v>
      </c>
    </row>
    <row r="642" spans="4:15" x14ac:dyDescent="0.45">
      <c r="D642" t="s">
        <v>948</v>
      </c>
      <c r="E642" t="s">
        <v>142</v>
      </c>
      <c r="F642" t="s">
        <v>19</v>
      </c>
      <c r="G642" t="s">
        <v>20</v>
      </c>
      <c r="H642" t="s">
        <v>21</v>
      </c>
      <c r="I642">
        <v>15.46</v>
      </c>
      <c r="J642">
        <v>18.02</v>
      </c>
      <c r="K642">
        <v>14.23</v>
      </c>
      <c r="L642">
        <v>14.86</v>
      </c>
      <c r="M642" s="7">
        <v>0.55000000000000004</v>
      </c>
      <c r="N642">
        <v>85000</v>
      </c>
      <c r="O642" s="2">
        <v>45754</v>
      </c>
    </row>
    <row r="643" spans="4:15" x14ac:dyDescent="0.45">
      <c r="D643" t="s">
        <v>949</v>
      </c>
      <c r="E643" t="s">
        <v>427</v>
      </c>
      <c r="F643" t="s">
        <v>19</v>
      </c>
      <c r="G643" t="s">
        <v>47</v>
      </c>
      <c r="H643" t="s">
        <v>29</v>
      </c>
      <c r="I643">
        <v>11.28</v>
      </c>
      <c r="J643">
        <v>18.77</v>
      </c>
      <c r="K643">
        <v>9.26</v>
      </c>
      <c r="L643">
        <v>11.45</v>
      </c>
      <c r="M643" s="7">
        <v>0.91769999999999996</v>
      </c>
      <c r="N643">
        <v>130000</v>
      </c>
      <c r="O643" s="2">
        <v>46114</v>
      </c>
    </row>
    <row r="644" spans="4:15" x14ac:dyDescent="0.45">
      <c r="D644" t="s">
        <v>950</v>
      </c>
      <c r="E644" t="s">
        <v>174</v>
      </c>
      <c r="F644" t="s">
        <v>19</v>
      </c>
      <c r="G644" t="s">
        <v>47</v>
      </c>
      <c r="H644" t="s">
        <v>42</v>
      </c>
      <c r="I644">
        <v>13.13</v>
      </c>
      <c r="J644">
        <v>13.81</v>
      </c>
      <c r="K644">
        <v>13.64</v>
      </c>
      <c r="L644">
        <v>10.55</v>
      </c>
      <c r="M644" s="7">
        <v>0.85019999999999996</v>
      </c>
      <c r="N644">
        <v>100000</v>
      </c>
      <c r="O644" s="2">
        <v>45750</v>
      </c>
    </row>
    <row r="645" spans="4:15" x14ac:dyDescent="0.45">
      <c r="D645" t="s">
        <v>951</v>
      </c>
      <c r="E645" t="s">
        <v>279</v>
      </c>
      <c r="F645" t="s">
        <v>14</v>
      </c>
      <c r="G645" t="s">
        <v>32</v>
      </c>
      <c r="H645" t="s">
        <v>29</v>
      </c>
      <c r="I645">
        <v>13.81</v>
      </c>
      <c r="J645">
        <v>11.79</v>
      </c>
      <c r="K645">
        <v>13.51</v>
      </c>
      <c r="L645">
        <v>13.43</v>
      </c>
      <c r="M645" s="7">
        <v>0.92879999999999996</v>
      </c>
      <c r="N645">
        <v>70000</v>
      </c>
      <c r="O645" s="2">
        <v>45633</v>
      </c>
    </row>
    <row r="646" spans="4:15" x14ac:dyDescent="0.45">
      <c r="D646" t="s">
        <v>952</v>
      </c>
      <c r="E646" t="s">
        <v>121</v>
      </c>
      <c r="F646" t="s">
        <v>19</v>
      </c>
      <c r="G646" t="s">
        <v>15</v>
      </c>
      <c r="H646" t="s">
        <v>29</v>
      </c>
      <c r="I646">
        <v>13.9</v>
      </c>
      <c r="J646">
        <v>11.49</v>
      </c>
      <c r="K646">
        <v>15.77</v>
      </c>
      <c r="L646">
        <v>11.61</v>
      </c>
      <c r="M646" s="7">
        <v>0.97140000000000004</v>
      </c>
      <c r="N646">
        <v>75000</v>
      </c>
      <c r="O646" s="2">
        <v>46051</v>
      </c>
    </row>
    <row r="647" spans="4:15" x14ac:dyDescent="0.45">
      <c r="D647" t="s">
        <v>953</v>
      </c>
      <c r="E647" t="s">
        <v>235</v>
      </c>
      <c r="F647" t="s">
        <v>14</v>
      </c>
      <c r="G647" t="s">
        <v>15</v>
      </c>
      <c r="H647" t="s">
        <v>29</v>
      </c>
      <c r="I647">
        <v>13.64</v>
      </c>
      <c r="J647">
        <v>14.9</v>
      </c>
      <c r="K647">
        <v>14.88</v>
      </c>
      <c r="L647">
        <v>10.07</v>
      </c>
      <c r="M647" s="7">
        <v>0.94579999999999997</v>
      </c>
      <c r="N647">
        <v>100000</v>
      </c>
      <c r="O647" s="2">
        <v>45835</v>
      </c>
    </row>
    <row r="648" spans="4:15" x14ac:dyDescent="0.45">
      <c r="D648" t="s">
        <v>954</v>
      </c>
      <c r="E648" t="s">
        <v>866</v>
      </c>
      <c r="F648" t="s">
        <v>14</v>
      </c>
      <c r="G648" t="s">
        <v>32</v>
      </c>
      <c r="H648" t="s">
        <v>16</v>
      </c>
      <c r="I648">
        <v>6.96</v>
      </c>
      <c r="J648">
        <v>17.07</v>
      </c>
      <c r="K648">
        <v>16.489999999999998</v>
      </c>
      <c r="L648">
        <v>12.19</v>
      </c>
      <c r="M648" s="7">
        <v>0.80489999999999995</v>
      </c>
      <c r="N648">
        <v>50000</v>
      </c>
      <c r="O648" s="2">
        <v>45603</v>
      </c>
    </row>
    <row r="649" spans="4:15" x14ac:dyDescent="0.45">
      <c r="D649" t="s">
        <v>955</v>
      </c>
      <c r="E649" t="s">
        <v>479</v>
      </c>
      <c r="F649" t="s">
        <v>19</v>
      </c>
      <c r="G649" t="s">
        <v>15</v>
      </c>
      <c r="H649" t="s">
        <v>29</v>
      </c>
      <c r="I649">
        <v>11.99</v>
      </c>
      <c r="J649">
        <v>9.33</v>
      </c>
      <c r="K649">
        <v>9.58</v>
      </c>
      <c r="L649">
        <v>12.09</v>
      </c>
      <c r="M649" s="7">
        <v>0.9093</v>
      </c>
      <c r="N649">
        <v>60000</v>
      </c>
      <c r="O649" s="2">
        <v>46018</v>
      </c>
    </row>
    <row r="650" spans="4:15" x14ac:dyDescent="0.45">
      <c r="D650" t="s">
        <v>956</v>
      </c>
      <c r="E650" t="s">
        <v>755</v>
      </c>
      <c r="F650" t="s">
        <v>19</v>
      </c>
      <c r="G650" t="s">
        <v>15</v>
      </c>
      <c r="H650" t="s">
        <v>42</v>
      </c>
      <c r="I650">
        <v>16.399999999999999</v>
      </c>
      <c r="J650">
        <v>15.12</v>
      </c>
      <c r="K650">
        <v>14.37</v>
      </c>
      <c r="L650">
        <v>17.68</v>
      </c>
      <c r="M650" s="7">
        <v>0.70750000000000002</v>
      </c>
      <c r="N650">
        <v>50000</v>
      </c>
      <c r="O650" s="2">
        <v>45683</v>
      </c>
    </row>
    <row r="651" spans="4:15" x14ac:dyDescent="0.45">
      <c r="D651" t="s">
        <v>957</v>
      </c>
      <c r="E651" t="s">
        <v>71</v>
      </c>
      <c r="F651" t="s">
        <v>19</v>
      </c>
      <c r="G651" t="s">
        <v>28</v>
      </c>
      <c r="H651" t="s">
        <v>42</v>
      </c>
      <c r="I651">
        <v>20</v>
      </c>
      <c r="J651">
        <v>20</v>
      </c>
      <c r="K651">
        <v>19.13</v>
      </c>
      <c r="L651">
        <v>20</v>
      </c>
      <c r="M651" s="7">
        <v>0.89190000000000003</v>
      </c>
      <c r="N651">
        <v>100000</v>
      </c>
      <c r="O651" s="2">
        <v>46143</v>
      </c>
    </row>
    <row r="652" spans="4:15" x14ac:dyDescent="0.45">
      <c r="D652" t="s">
        <v>958</v>
      </c>
      <c r="E652" t="s">
        <v>827</v>
      </c>
      <c r="F652" t="s">
        <v>14</v>
      </c>
      <c r="G652" t="s">
        <v>28</v>
      </c>
      <c r="H652" t="s">
        <v>21</v>
      </c>
      <c r="I652">
        <v>8.3000000000000007</v>
      </c>
      <c r="J652">
        <v>10.83</v>
      </c>
      <c r="K652">
        <v>7.17</v>
      </c>
      <c r="L652">
        <v>2.71</v>
      </c>
      <c r="M652" s="7">
        <v>0.94720000000000004</v>
      </c>
      <c r="N652">
        <v>80000</v>
      </c>
      <c r="O652" s="2">
        <v>46118</v>
      </c>
    </row>
    <row r="653" spans="4:15" x14ac:dyDescent="0.45">
      <c r="D653" t="s">
        <v>959</v>
      </c>
      <c r="E653" t="s">
        <v>92</v>
      </c>
      <c r="F653" t="s">
        <v>19</v>
      </c>
      <c r="G653" t="s">
        <v>35</v>
      </c>
      <c r="H653" t="s">
        <v>16</v>
      </c>
      <c r="I653">
        <v>18.02</v>
      </c>
      <c r="J653">
        <v>14.05</v>
      </c>
      <c r="K653">
        <v>17.36</v>
      </c>
      <c r="L653">
        <v>15.72</v>
      </c>
      <c r="M653" s="7">
        <v>0.78739999999999999</v>
      </c>
      <c r="N653">
        <v>50000</v>
      </c>
      <c r="O653" s="2">
        <v>45794</v>
      </c>
    </row>
    <row r="654" spans="4:15" x14ac:dyDescent="0.45">
      <c r="D654" t="s">
        <v>960</v>
      </c>
      <c r="E654" t="s">
        <v>558</v>
      </c>
      <c r="F654" t="s">
        <v>14</v>
      </c>
      <c r="G654" t="s">
        <v>20</v>
      </c>
      <c r="H654" t="s">
        <v>21</v>
      </c>
      <c r="I654">
        <v>12.06</v>
      </c>
      <c r="J654">
        <v>8.33</v>
      </c>
      <c r="K654">
        <v>14.84</v>
      </c>
      <c r="L654">
        <v>10.039999999999999</v>
      </c>
      <c r="M654" s="7">
        <v>0.85770000000000002</v>
      </c>
      <c r="N654">
        <v>110000</v>
      </c>
      <c r="O654" s="2">
        <v>45924</v>
      </c>
    </row>
    <row r="655" spans="4:15" x14ac:dyDescent="0.45">
      <c r="D655" t="s">
        <v>961</v>
      </c>
      <c r="E655" t="s">
        <v>874</v>
      </c>
      <c r="F655" t="s">
        <v>19</v>
      </c>
      <c r="G655" t="s">
        <v>32</v>
      </c>
      <c r="H655" t="s">
        <v>21</v>
      </c>
      <c r="I655">
        <v>16.079999999999998</v>
      </c>
      <c r="J655">
        <v>16.88</v>
      </c>
      <c r="K655">
        <v>12.79</v>
      </c>
      <c r="L655">
        <v>16.010000000000002</v>
      </c>
      <c r="M655" s="7">
        <v>0.95340000000000003</v>
      </c>
      <c r="N655">
        <v>100000</v>
      </c>
      <c r="O655" s="2">
        <v>45933</v>
      </c>
    </row>
    <row r="656" spans="4:15" x14ac:dyDescent="0.45">
      <c r="D656" t="s">
        <v>962</v>
      </c>
      <c r="E656" t="s">
        <v>220</v>
      </c>
      <c r="F656" t="s">
        <v>19</v>
      </c>
      <c r="G656" t="s">
        <v>35</v>
      </c>
      <c r="H656" t="s">
        <v>29</v>
      </c>
      <c r="I656">
        <v>15.93</v>
      </c>
      <c r="J656">
        <v>16.5</v>
      </c>
      <c r="K656">
        <v>12.82</v>
      </c>
      <c r="L656">
        <v>13.5</v>
      </c>
      <c r="M656" s="7">
        <v>0.93410000000000004</v>
      </c>
      <c r="N656">
        <v>100000</v>
      </c>
      <c r="O656" s="2">
        <v>45993</v>
      </c>
    </row>
    <row r="657" spans="4:15" x14ac:dyDescent="0.45">
      <c r="D657" t="s">
        <v>963</v>
      </c>
      <c r="E657" t="s">
        <v>44</v>
      </c>
      <c r="F657" t="s">
        <v>19</v>
      </c>
      <c r="G657" t="s">
        <v>28</v>
      </c>
      <c r="H657" t="s">
        <v>29</v>
      </c>
      <c r="I657">
        <v>16.43</v>
      </c>
      <c r="J657">
        <v>15.85</v>
      </c>
      <c r="K657">
        <v>15.67</v>
      </c>
      <c r="L657">
        <v>15.11</v>
      </c>
      <c r="M657" s="7">
        <v>0.88429999999999997</v>
      </c>
      <c r="N657">
        <v>60000</v>
      </c>
      <c r="O657" s="2">
        <v>45584</v>
      </c>
    </row>
    <row r="658" spans="4:15" x14ac:dyDescent="0.45">
      <c r="D658" t="s">
        <v>964</v>
      </c>
      <c r="E658" t="s">
        <v>55</v>
      </c>
      <c r="F658" t="s">
        <v>19</v>
      </c>
      <c r="G658" t="s">
        <v>32</v>
      </c>
      <c r="H658" t="s">
        <v>29</v>
      </c>
      <c r="I658">
        <v>14.82</v>
      </c>
      <c r="J658">
        <v>18.079999999999998</v>
      </c>
      <c r="K658">
        <v>18.28</v>
      </c>
      <c r="L658">
        <v>16.47</v>
      </c>
      <c r="M658" s="7">
        <v>0.86040000000000005</v>
      </c>
      <c r="N658">
        <v>120000</v>
      </c>
      <c r="O658" s="2">
        <v>45763</v>
      </c>
    </row>
    <row r="659" spans="4:15" x14ac:dyDescent="0.45">
      <c r="D659" t="s">
        <v>965</v>
      </c>
      <c r="E659" t="s">
        <v>304</v>
      </c>
      <c r="F659" t="s">
        <v>19</v>
      </c>
      <c r="G659" t="s">
        <v>15</v>
      </c>
      <c r="H659" t="s">
        <v>42</v>
      </c>
      <c r="I659">
        <v>8.67</v>
      </c>
      <c r="J659">
        <v>13.39</v>
      </c>
      <c r="K659">
        <v>10.37</v>
      </c>
      <c r="L659">
        <v>13.89</v>
      </c>
      <c r="M659" s="7">
        <v>0.89090000000000003</v>
      </c>
      <c r="N659">
        <v>60000</v>
      </c>
      <c r="O659" s="2">
        <v>45655</v>
      </c>
    </row>
    <row r="660" spans="4:15" x14ac:dyDescent="0.45">
      <c r="D660" t="s">
        <v>966</v>
      </c>
      <c r="E660" t="s">
        <v>488</v>
      </c>
      <c r="F660" t="s">
        <v>14</v>
      </c>
      <c r="G660" t="s">
        <v>20</v>
      </c>
      <c r="H660" t="s">
        <v>21</v>
      </c>
      <c r="I660">
        <v>15.62</v>
      </c>
      <c r="J660">
        <v>15.21</v>
      </c>
      <c r="K660">
        <v>13.34</v>
      </c>
      <c r="L660">
        <v>19.53</v>
      </c>
      <c r="M660" s="7">
        <v>0.69230000000000003</v>
      </c>
      <c r="N660">
        <v>90000</v>
      </c>
      <c r="O660" s="2">
        <v>46024</v>
      </c>
    </row>
    <row r="661" spans="4:15" x14ac:dyDescent="0.45">
      <c r="D661" t="s">
        <v>967</v>
      </c>
      <c r="E661" t="s">
        <v>549</v>
      </c>
      <c r="F661" t="s">
        <v>14</v>
      </c>
      <c r="G661" t="s">
        <v>20</v>
      </c>
      <c r="H661" t="s">
        <v>42</v>
      </c>
      <c r="I661">
        <v>8.61</v>
      </c>
      <c r="J661">
        <v>9.59</v>
      </c>
      <c r="K661">
        <v>8.2100000000000009</v>
      </c>
      <c r="L661">
        <v>6.79</v>
      </c>
      <c r="M661" s="7">
        <v>0.60650000000000004</v>
      </c>
      <c r="N661">
        <v>90000</v>
      </c>
      <c r="O661" s="2">
        <v>45584</v>
      </c>
    </row>
    <row r="662" spans="4:15" x14ac:dyDescent="0.45">
      <c r="D662" t="s">
        <v>968</v>
      </c>
      <c r="E662" t="s">
        <v>969</v>
      </c>
      <c r="F662" t="s">
        <v>14</v>
      </c>
      <c r="G662" t="s">
        <v>15</v>
      </c>
      <c r="H662" t="s">
        <v>42</v>
      </c>
      <c r="I662">
        <v>17.18</v>
      </c>
      <c r="J662">
        <v>19.21</v>
      </c>
      <c r="K662">
        <v>13.87</v>
      </c>
      <c r="L662">
        <v>20</v>
      </c>
      <c r="M662" s="7">
        <v>0.95640000000000003</v>
      </c>
      <c r="N662">
        <v>70000</v>
      </c>
      <c r="O662" s="2">
        <v>45897</v>
      </c>
    </row>
    <row r="663" spans="4:15" x14ac:dyDescent="0.45">
      <c r="D663" t="s">
        <v>970</v>
      </c>
      <c r="E663" t="s">
        <v>160</v>
      </c>
      <c r="F663" t="s">
        <v>19</v>
      </c>
      <c r="G663" t="s">
        <v>47</v>
      </c>
      <c r="H663" t="s">
        <v>42</v>
      </c>
      <c r="I663">
        <v>16.309999999999999</v>
      </c>
      <c r="J663">
        <v>16.03</v>
      </c>
      <c r="K663">
        <v>13.77</v>
      </c>
      <c r="L663">
        <v>16.52</v>
      </c>
      <c r="M663" s="7">
        <v>0.90159999999999996</v>
      </c>
      <c r="N663">
        <v>80000</v>
      </c>
      <c r="O663" s="2">
        <v>46045</v>
      </c>
    </row>
    <row r="664" spans="4:15" x14ac:dyDescent="0.45">
      <c r="D664" t="s">
        <v>971</v>
      </c>
      <c r="E664" t="s">
        <v>476</v>
      </c>
      <c r="F664" t="s">
        <v>14</v>
      </c>
      <c r="G664" t="s">
        <v>32</v>
      </c>
      <c r="H664" t="s">
        <v>16</v>
      </c>
      <c r="I664">
        <v>16.850000000000001</v>
      </c>
      <c r="J664">
        <v>20</v>
      </c>
      <c r="K664">
        <v>17.07</v>
      </c>
      <c r="L664">
        <v>17.89</v>
      </c>
      <c r="M664" s="7">
        <v>0.91339999999999999</v>
      </c>
      <c r="N664">
        <v>50000</v>
      </c>
      <c r="O664" s="2">
        <v>46199</v>
      </c>
    </row>
    <row r="665" spans="4:15" x14ac:dyDescent="0.45">
      <c r="D665" t="s">
        <v>972</v>
      </c>
      <c r="E665" t="s">
        <v>196</v>
      </c>
      <c r="F665" t="s">
        <v>14</v>
      </c>
      <c r="G665" t="s">
        <v>47</v>
      </c>
      <c r="H665" t="s">
        <v>42</v>
      </c>
      <c r="I665">
        <v>12.92</v>
      </c>
      <c r="J665">
        <v>8.16</v>
      </c>
      <c r="K665">
        <v>11.2</v>
      </c>
      <c r="L665">
        <v>6.05</v>
      </c>
      <c r="M665" s="7">
        <v>0.94720000000000004</v>
      </c>
      <c r="N665">
        <v>85000</v>
      </c>
      <c r="O665" s="2">
        <v>45737</v>
      </c>
    </row>
    <row r="666" spans="4:15" x14ac:dyDescent="0.45">
      <c r="D666" t="s">
        <v>973</v>
      </c>
      <c r="E666" t="s">
        <v>309</v>
      </c>
      <c r="F666" t="s">
        <v>19</v>
      </c>
      <c r="G666" t="s">
        <v>20</v>
      </c>
      <c r="H666" t="s">
        <v>16</v>
      </c>
      <c r="I666">
        <v>10.52</v>
      </c>
      <c r="J666">
        <v>10.36</v>
      </c>
      <c r="K666">
        <v>11.06</v>
      </c>
      <c r="L666">
        <v>13.53</v>
      </c>
      <c r="M666" s="7">
        <v>0.97170000000000001</v>
      </c>
      <c r="N666">
        <v>100000</v>
      </c>
      <c r="O666" s="2">
        <v>45541</v>
      </c>
    </row>
    <row r="667" spans="4:15" x14ac:dyDescent="0.45">
      <c r="D667" t="s">
        <v>974</v>
      </c>
      <c r="E667" t="s">
        <v>295</v>
      </c>
      <c r="F667" t="s">
        <v>19</v>
      </c>
      <c r="G667" t="s">
        <v>28</v>
      </c>
      <c r="H667" t="s">
        <v>21</v>
      </c>
      <c r="I667">
        <v>14.94</v>
      </c>
      <c r="J667">
        <v>14.66</v>
      </c>
      <c r="K667">
        <v>13.3</v>
      </c>
      <c r="L667">
        <v>12.8</v>
      </c>
      <c r="M667" s="7">
        <v>0.93730000000000002</v>
      </c>
      <c r="N667">
        <v>75000</v>
      </c>
      <c r="O667" s="2">
        <v>46042</v>
      </c>
    </row>
    <row r="668" spans="4:15" x14ac:dyDescent="0.45">
      <c r="D668" t="s">
        <v>975</v>
      </c>
      <c r="E668" t="s">
        <v>414</v>
      </c>
      <c r="F668" t="s">
        <v>19</v>
      </c>
      <c r="G668" t="s">
        <v>15</v>
      </c>
      <c r="H668" t="s">
        <v>21</v>
      </c>
      <c r="I668">
        <v>14.57</v>
      </c>
      <c r="J668">
        <v>12.61</v>
      </c>
      <c r="K668">
        <v>15.51</v>
      </c>
      <c r="L668">
        <v>14.93</v>
      </c>
      <c r="M668" s="7">
        <v>0.80459999999999998</v>
      </c>
      <c r="N668">
        <v>85000</v>
      </c>
      <c r="O668" s="2">
        <v>45537</v>
      </c>
    </row>
    <row r="669" spans="4:15" x14ac:dyDescent="0.45">
      <c r="D669" t="s">
        <v>976</v>
      </c>
      <c r="E669" t="s">
        <v>117</v>
      </c>
      <c r="F669" t="s">
        <v>19</v>
      </c>
      <c r="G669" t="s">
        <v>20</v>
      </c>
      <c r="H669" t="s">
        <v>42</v>
      </c>
      <c r="I669">
        <v>17.600000000000001</v>
      </c>
      <c r="J669">
        <v>16.420000000000002</v>
      </c>
      <c r="K669">
        <v>15.12</v>
      </c>
      <c r="L669">
        <v>12.05</v>
      </c>
      <c r="M669" s="7">
        <v>0.86370000000000002</v>
      </c>
      <c r="N669">
        <v>130000</v>
      </c>
      <c r="O669" s="2">
        <v>45582</v>
      </c>
    </row>
    <row r="670" spans="4:15" x14ac:dyDescent="0.45">
      <c r="D670" t="s">
        <v>977</v>
      </c>
      <c r="E670" t="s">
        <v>978</v>
      </c>
      <c r="F670" t="s">
        <v>19</v>
      </c>
      <c r="G670" t="s">
        <v>20</v>
      </c>
      <c r="H670" t="s">
        <v>29</v>
      </c>
      <c r="I670">
        <v>12.78</v>
      </c>
      <c r="J670">
        <v>16.52</v>
      </c>
      <c r="K670">
        <v>15.31</v>
      </c>
      <c r="L670">
        <v>13.83</v>
      </c>
      <c r="M670" s="7">
        <v>0.71220000000000006</v>
      </c>
      <c r="N670">
        <v>70000</v>
      </c>
      <c r="O670" s="2">
        <v>46229</v>
      </c>
    </row>
    <row r="671" spans="4:15" x14ac:dyDescent="0.45">
      <c r="D671" t="s">
        <v>979</v>
      </c>
      <c r="E671" t="s">
        <v>490</v>
      </c>
      <c r="F671" t="s">
        <v>14</v>
      </c>
      <c r="G671" t="s">
        <v>20</v>
      </c>
      <c r="H671" t="s">
        <v>42</v>
      </c>
      <c r="I671">
        <v>7.55</v>
      </c>
      <c r="J671">
        <v>6.77</v>
      </c>
      <c r="K671">
        <v>8.84</v>
      </c>
      <c r="L671">
        <v>12.81</v>
      </c>
      <c r="M671" s="7">
        <v>0.88290000000000002</v>
      </c>
      <c r="N671">
        <v>75000</v>
      </c>
      <c r="O671" s="2">
        <v>46139</v>
      </c>
    </row>
    <row r="672" spans="4:15" x14ac:dyDescent="0.45">
      <c r="D672" t="s">
        <v>980</v>
      </c>
      <c r="E672" t="s">
        <v>207</v>
      </c>
      <c r="F672" t="s">
        <v>19</v>
      </c>
      <c r="G672" t="s">
        <v>47</v>
      </c>
      <c r="H672" t="s">
        <v>42</v>
      </c>
      <c r="I672">
        <v>18.09</v>
      </c>
      <c r="J672">
        <v>16.77</v>
      </c>
      <c r="K672">
        <v>17.27</v>
      </c>
      <c r="L672">
        <v>14.02</v>
      </c>
      <c r="M672" s="7">
        <v>0.84699999999999998</v>
      </c>
      <c r="N672">
        <v>60000</v>
      </c>
      <c r="O672" s="2">
        <v>46031</v>
      </c>
    </row>
    <row r="673" spans="4:15" x14ac:dyDescent="0.45">
      <c r="D673" t="s">
        <v>981</v>
      </c>
      <c r="E673" t="s">
        <v>728</v>
      </c>
      <c r="F673" t="s">
        <v>19</v>
      </c>
      <c r="G673" t="s">
        <v>28</v>
      </c>
      <c r="H673" t="s">
        <v>42</v>
      </c>
      <c r="I673">
        <v>16.920000000000002</v>
      </c>
      <c r="J673">
        <v>14.3</v>
      </c>
      <c r="K673">
        <v>17.5</v>
      </c>
      <c r="L673">
        <v>15.94</v>
      </c>
      <c r="M673" s="7">
        <v>0.55000000000000004</v>
      </c>
      <c r="N673">
        <v>85000</v>
      </c>
      <c r="O673" s="2">
        <v>46120</v>
      </c>
    </row>
    <row r="674" spans="4:15" x14ac:dyDescent="0.45">
      <c r="D674" t="s">
        <v>982</v>
      </c>
      <c r="E674" t="s">
        <v>231</v>
      </c>
      <c r="F674" t="s">
        <v>19</v>
      </c>
      <c r="G674" t="s">
        <v>35</v>
      </c>
      <c r="H674" t="s">
        <v>42</v>
      </c>
      <c r="I674">
        <v>13.46</v>
      </c>
      <c r="J674">
        <v>15.39</v>
      </c>
      <c r="K674">
        <v>14.86</v>
      </c>
      <c r="L674">
        <v>13.09</v>
      </c>
      <c r="M674" s="7">
        <v>0.65739999999999998</v>
      </c>
      <c r="N674">
        <v>70000</v>
      </c>
      <c r="O674" s="2">
        <v>45588</v>
      </c>
    </row>
    <row r="675" spans="4:15" x14ac:dyDescent="0.45">
      <c r="D675" t="s">
        <v>983</v>
      </c>
      <c r="E675" t="s">
        <v>920</v>
      </c>
      <c r="F675" t="s">
        <v>14</v>
      </c>
      <c r="G675" t="s">
        <v>20</v>
      </c>
      <c r="H675" t="s">
        <v>16</v>
      </c>
      <c r="I675">
        <v>8.74</v>
      </c>
      <c r="J675">
        <v>10.65</v>
      </c>
      <c r="K675">
        <v>12.25</v>
      </c>
      <c r="L675">
        <v>8.36</v>
      </c>
      <c r="M675" s="7">
        <v>0.59</v>
      </c>
      <c r="N675">
        <v>120000</v>
      </c>
      <c r="O675" s="2">
        <v>45598</v>
      </c>
    </row>
    <row r="676" spans="4:15" x14ac:dyDescent="0.45">
      <c r="D676" t="s">
        <v>984</v>
      </c>
      <c r="E676" t="s">
        <v>583</v>
      </c>
      <c r="F676" t="s">
        <v>19</v>
      </c>
      <c r="G676" t="s">
        <v>32</v>
      </c>
      <c r="H676" t="s">
        <v>16</v>
      </c>
      <c r="I676">
        <v>16.57</v>
      </c>
      <c r="J676">
        <v>16.32</v>
      </c>
      <c r="K676">
        <v>13.77</v>
      </c>
      <c r="L676">
        <v>14.71</v>
      </c>
      <c r="M676" s="7">
        <v>0.73750000000000004</v>
      </c>
      <c r="N676">
        <v>75000</v>
      </c>
      <c r="O676" s="2">
        <v>45746</v>
      </c>
    </row>
    <row r="677" spans="4:15" x14ac:dyDescent="0.45">
      <c r="D677" t="s">
        <v>985</v>
      </c>
      <c r="E677" t="s">
        <v>223</v>
      </c>
      <c r="F677" t="s">
        <v>19</v>
      </c>
      <c r="G677" t="s">
        <v>15</v>
      </c>
      <c r="H677" t="s">
        <v>29</v>
      </c>
      <c r="I677">
        <v>8.65</v>
      </c>
      <c r="J677">
        <v>7.85</v>
      </c>
      <c r="K677">
        <v>5.79</v>
      </c>
      <c r="L677">
        <v>3.78</v>
      </c>
      <c r="M677" s="7">
        <v>0.88280000000000003</v>
      </c>
      <c r="N677">
        <v>100000</v>
      </c>
      <c r="O677" s="2">
        <v>45552</v>
      </c>
    </row>
    <row r="678" spans="4:15" x14ac:dyDescent="0.45">
      <c r="D678" t="s">
        <v>986</v>
      </c>
      <c r="E678" t="s">
        <v>220</v>
      </c>
      <c r="F678" t="s">
        <v>19</v>
      </c>
      <c r="G678" t="s">
        <v>35</v>
      </c>
      <c r="H678" t="s">
        <v>42</v>
      </c>
      <c r="I678">
        <v>14.52</v>
      </c>
      <c r="J678">
        <v>15.3</v>
      </c>
      <c r="K678">
        <v>15</v>
      </c>
      <c r="L678">
        <v>15.19</v>
      </c>
      <c r="M678" s="7">
        <v>0.93310000000000004</v>
      </c>
      <c r="N678">
        <v>70000</v>
      </c>
      <c r="O678" s="2">
        <v>46157</v>
      </c>
    </row>
    <row r="679" spans="4:15" x14ac:dyDescent="0.45">
      <c r="D679" t="s">
        <v>987</v>
      </c>
      <c r="E679" t="s">
        <v>438</v>
      </c>
      <c r="F679" t="s">
        <v>14</v>
      </c>
      <c r="G679" t="s">
        <v>47</v>
      </c>
      <c r="H679" t="s">
        <v>29</v>
      </c>
      <c r="I679">
        <v>10.050000000000001</v>
      </c>
      <c r="J679">
        <v>8.15</v>
      </c>
      <c r="K679">
        <v>9.2100000000000009</v>
      </c>
      <c r="L679">
        <v>6.84</v>
      </c>
      <c r="M679" s="7">
        <v>0.85160000000000002</v>
      </c>
      <c r="N679">
        <v>75000</v>
      </c>
      <c r="O679" s="2">
        <v>45575</v>
      </c>
    </row>
    <row r="680" spans="4:15" x14ac:dyDescent="0.45">
      <c r="D680" t="s">
        <v>988</v>
      </c>
      <c r="E680" t="s">
        <v>684</v>
      </c>
      <c r="F680" t="s">
        <v>19</v>
      </c>
      <c r="G680" t="s">
        <v>28</v>
      </c>
      <c r="H680" t="s">
        <v>42</v>
      </c>
      <c r="I680">
        <v>16.25</v>
      </c>
      <c r="J680">
        <v>14.69</v>
      </c>
      <c r="K680">
        <v>11.63</v>
      </c>
      <c r="L680">
        <v>12.68</v>
      </c>
      <c r="M680" s="7">
        <v>0.75070000000000003</v>
      </c>
      <c r="N680">
        <v>60000</v>
      </c>
      <c r="O680" s="2">
        <v>45916</v>
      </c>
    </row>
    <row r="681" spans="4:15" x14ac:dyDescent="0.45">
      <c r="D681" t="s">
        <v>989</v>
      </c>
      <c r="E681" t="s">
        <v>301</v>
      </c>
      <c r="F681" t="s">
        <v>19</v>
      </c>
      <c r="G681" t="s">
        <v>47</v>
      </c>
      <c r="H681" t="s">
        <v>29</v>
      </c>
      <c r="I681">
        <v>17.329999999999998</v>
      </c>
      <c r="J681">
        <v>12.83</v>
      </c>
      <c r="K681">
        <v>16.149999999999999</v>
      </c>
      <c r="L681">
        <v>15.1</v>
      </c>
      <c r="M681" s="7">
        <v>0.84740000000000004</v>
      </c>
      <c r="N681">
        <v>90000</v>
      </c>
      <c r="O681" s="2">
        <v>46133</v>
      </c>
    </row>
    <row r="682" spans="4:15" x14ac:dyDescent="0.45">
      <c r="D682" t="s">
        <v>990</v>
      </c>
      <c r="E682" t="s">
        <v>684</v>
      </c>
      <c r="F682" t="s">
        <v>19</v>
      </c>
      <c r="G682" t="s">
        <v>35</v>
      </c>
      <c r="H682" t="s">
        <v>21</v>
      </c>
      <c r="I682">
        <v>18.41</v>
      </c>
      <c r="J682">
        <v>20</v>
      </c>
      <c r="K682">
        <v>18.920000000000002</v>
      </c>
      <c r="L682">
        <v>17.23</v>
      </c>
      <c r="M682" s="7">
        <v>0.73050000000000004</v>
      </c>
      <c r="N682">
        <v>50000</v>
      </c>
      <c r="O682" s="2">
        <v>46050</v>
      </c>
    </row>
    <row r="683" spans="4:15" x14ac:dyDescent="0.45">
      <c r="D683" t="s">
        <v>991</v>
      </c>
      <c r="E683" t="s">
        <v>468</v>
      </c>
      <c r="F683" t="s">
        <v>14</v>
      </c>
      <c r="G683" t="s">
        <v>47</v>
      </c>
      <c r="H683" t="s">
        <v>29</v>
      </c>
      <c r="I683">
        <v>13.1</v>
      </c>
      <c r="J683">
        <v>16.350000000000001</v>
      </c>
      <c r="K683">
        <v>12.53</v>
      </c>
      <c r="L683">
        <v>9.64</v>
      </c>
      <c r="M683" s="7">
        <v>0.82169999999999999</v>
      </c>
      <c r="N683">
        <v>50000</v>
      </c>
      <c r="O683" s="2">
        <v>45700</v>
      </c>
    </row>
    <row r="684" spans="4:15" x14ac:dyDescent="0.45">
      <c r="D684" t="s">
        <v>992</v>
      </c>
      <c r="E684" t="s">
        <v>61</v>
      </c>
      <c r="F684" t="s">
        <v>19</v>
      </c>
      <c r="G684" t="s">
        <v>47</v>
      </c>
      <c r="H684" t="s">
        <v>21</v>
      </c>
      <c r="I684">
        <v>11.44</v>
      </c>
      <c r="J684">
        <v>13.35</v>
      </c>
      <c r="K684">
        <v>13.17</v>
      </c>
      <c r="L684">
        <v>13.33</v>
      </c>
      <c r="M684" s="7">
        <v>0.83730000000000004</v>
      </c>
      <c r="N684">
        <v>85000</v>
      </c>
      <c r="O684" s="2">
        <v>45865</v>
      </c>
    </row>
    <row r="685" spans="4:15" x14ac:dyDescent="0.45">
      <c r="D685" t="s">
        <v>993</v>
      </c>
      <c r="E685" t="s">
        <v>414</v>
      </c>
      <c r="F685" t="s">
        <v>19</v>
      </c>
      <c r="G685" t="s">
        <v>32</v>
      </c>
      <c r="H685" t="s">
        <v>29</v>
      </c>
      <c r="I685">
        <v>13.31</v>
      </c>
      <c r="J685">
        <v>13.31</v>
      </c>
      <c r="K685">
        <v>12.77</v>
      </c>
      <c r="L685">
        <v>11.97</v>
      </c>
      <c r="M685" s="7">
        <v>0.92469999999999997</v>
      </c>
      <c r="N685">
        <v>90000</v>
      </c>
      <c r="O685" s="2">
        <v>45919</v>
      </c>
    </row>
    <row r="686" spans="4:15" x14ac:dyDescent="0.45">
      <c r="D686" t="s">
        <v>994</v>
      </c>
      <c r="E686" t="s">
        <v>151</v>
      </c>
      <c r="F686" t="s">
        <v>14</v>
      </c>
      <c r="G686" t="s">
        <v>32</v>
      </c>
      <c r="H686" t="s">
        <v>29</v>
      </c>
      <c r="I686">
        <v>16.809999999999999</v>
      </c>
      <c r="J686">
        <v>17.27</v>
      </c>
      <c r="K686">
        <v>18.850000000000001</v>
      </c>
      <c r="L686">
        <v>15.77</v>
      </c>
      <c r="M686" s="7">
        <v>0.55000000000000004</v>
      </c>
      <c r="N686">
        <v>75000</v>
      </c>
      <c r="O686" s="2">
        <v>46073</v>
      </c>
    </row>
    <row r="687" spans="4:15" x14ac:dyDescent="0.45">
      <c r="D687" t="s">
        <v>995</v>
      </c>
      <c r="E687" t="s">
        <v>309</v>
      </c>
      <c r="F687" t="s">
        <v>19</v>
      </c>
      <c r="G687" t="s">
        <v>15</v>
      </c>
      <c r="H687" t="s">
        <v>42</v>
      </c>
      <c r="I687">
        <v>15.42</v>
      </c>
      <c r="J687">
        <v>12.63</v>
      </c>
      <c r="K687">
        <v>12.24</v>
      </c>
      <c r="L687">
        <v>16.54</v>
      </c>
      <c r="M687" s="7">
        <v>0.93669999999999998</v>
      </c>
      <c r="N687">
        <v>80000</v>
      </c>
      <c r="O687" s="2">
        <v>45834</v>
      </c>
    </row>
    <row r="688" spans="4:15" x14ac:dyDescent="0.45">
      <c r="D688" t="s">
        <v>996</v>
      </c>
      <c r="E688" t="s">
        <v>461</v>
      </c>
      <c r="F688" t="s">
        <v>14</v>
      </c>
      <c r="G688" t="s">
        <v>32</v>
      </c>
      <c r="H688" t="s">
        <v>29</v>
      </c>
      <c r="I688">
        <v>10.09</v>
      </c>
      <c r="J688">
        <v>12.34</v>
      </c>
      <c r="K688">
        <v>12.3</v>
      </c>
      <c r="L688">
        <v>11.95</v>
      </c>
      <c r="M688" s="7">
        <v>0.81459999999999999</v>
      </c>
      <c r="N688">
        <v>80000</v>
      </c>
      <c r="O688" s="2">
        <v>45735</v>
      </c>
    </row>
    <row r="689" spans="4:15" x14ac:dyDescent="0.45">
      <c r="D689" t="s">
        <v>997</v>
      </c>
      <c r="E689" t="s">
        <v>167</v>
      </c>
      <c r="F689" t="s">
        <v>19</v>
      </c>
      <c r="G689" t="s">
        <v>15</v>
      </c>
      <c r="H689" t="s">
        <v>16</v>
      </c>
      <c r="I689">
        <v>15.69</v>
      </c>
      <c r="J689">
        <v>13.46</v>
      </c>
      <c r="K689">
        <v>12.91</v>
      </c>
      <c r="L689">
        <v>10.17</v>
      </c>
      <c r="M689" s="7">
        <v>0.90949999999999998</v>
      </c>
      <c r="N689">
        <v>110000</v>
      </c>
      <c r="O689" s="2">
        <v>46092</v>
      </c>
    </row>
    <row r="690" spans="4:15" x14ac:dyDescent="0.45">
      <c r="D690" t="s">
        <v>998</v>
      </c>
      <c r="E690" t="s">
        <v>225</v>
      </c>
      <c r="F690" t="s">
        <v>14</v>
      </c>
      <c r="G690" t="s">
        <v>28</v>
      </c>
      <c r="H690" t="s">
        <v>29</v>
      </c>
      <c r="I690">
        <v>6.6</v>
      </c>
      <c r="J690">
        <v>10.02</v>
      </c>
      <c r="K690">
        <v>10.68</v>
      </c>
      <c r="L690">
        <v>13.08</v>
      </c>
      <c r="M690" s="7">
        <v>0.81869999999999998</v>
      </c>
      <c r="N690">
        <v>80000</v>
      </c>
      <c r="O690" s="2">
        <v>46156</v>
      </c>
    </row>
    <row r="691" spans="4:15" x14ac:dyDescent="0.45">
      <c r="D691" t="s">
        <v>999</v>
      </c>
      <c r="E691" t="s">
        <v>338</v>
      </c>
      <c r="F691" t="s">
        <v>19</v>
      </c>
      <c r="G691" t="s">
        <v>28</v>
      </c>
      <c r="H691" t="s">
        <v>21</v>
      </c>
      <c r="I691">
        <v>13.64</v>
      </c>
      <c r="J691">
        <v>16.02</v>
      </c>
      <c r="K691">
        <v>13.41</v>
      </c>
      <c r="L691">
        <v>14.45</v>
      </c>
      <c r="M691" s="7">
        <v>0.95199999999999996</v>
      </c>
      <c r="N691">
        <v>120000</v>
      </c>
      <c r="O691" s="2">
        <v>45878</v>
      </c>
    </row>
    <row r="692" spans="4:15" x14ac:dyDescent="0.45">
      <c r="D692" t="s">
        <v>1000</v>
      </c>
      <c r="E692" t="s">
        <v>484</v>
      </c>
      <c r="F692" t="s">
        <v>19</v>
      </c>
      <c r="G692" t="s">
        <v>35</v>
      </c>
      <c r="H692" t="s">
        <v>16</v>
      </c>
      <c r="I692">
        <v>8.7899999999999991</v>
      </c>
      <c r="J692">
        <v>11</v>
      </c>
      <c r="K692">
        <v>3.27</v>
      </c>
      <c r="L692">
        <v>8.2899999999999991</v>
      </c>
      <c r="M692" s="7">
        <v>0.57320000000000004</v>
      </c>
      <c r="N692">
        <v>70000</v>
      </c>
      <c r="O692" s="2">
        <v>45555</v>
      </c>
    </row>
    <row r="693" spans="4:15" x14ac:dyDescent="0.45">
      <c r="D693" t="s">
        <v>1001</v>
      </c>
      <c r="E693" t="s">
        <v>902</v>
      </c>
      <c r="F693" t="s">
        <v>19</v>
      </c>
      <c r="G693" t="s">
        <v>15</v>
      </c>
      <c r="H693" t="s">
        <v>29</v>
      </c>
      <c r="I693">
        <v>19.989999999999998</v>
      </c>
      <c r="J693">
        <v>14.48</v>
      </c>
      <c r="K693">
        <v>13.43</v>
      </c>
      <c r="L693">
        <v>14.61</v>
      </c>
      <c r="M693" s="7">
        <v>0.87280000000000002</v>
      </c>
      <c r="N693">
        <v>70000</v>
      </c>
      <c r="O693" s="2">
        <v>45886</v>
      </c>
    </row>
    <row r="694" spans="4:15" x14ac:dyDescent="0.45">
      <c r="D694" t="s">
        <v>1002</v>
      </c>
      <c r="E694" t="s">
        <v>1003</v>
      </c>
      <c r="F694" t="s">
        <v>19</v>
      </c>
      <c r="G694" t="s">
        <v>28</v>
      </c>
      <c r="H694" t="s">
        <v>42</v>
      </c>
      <c r="I694">
        <v>12.93</v>
      </c>
      <c r="J694">
        <v>12.76</v>
      </c>
      <c r="K694">
        <v>13.93</v>
      </c>
      <c r="L694">
        <v>16.36</v>
      </c>
      <c r="M694" s="7">
        <v>0.78190000000000004</v>
      </c>
      <c r="N694">
        <v>80000</v>
      </c>
      <c r="O694" s="2">
        <v>46158</v>
      </c>
    </row>
    <row r="695" spans="4:15" x14ac:dyDescent="0.45">
      <c r="D695" t="s">
        <v>1004</v>
      </c>
      <c r="E695" t="s">
        <v>630</v>
      </c>
      <c r="F695" t="s">
        <v>19</v>
      </c>
      <c r="G695" t="s">
        <v>20</v>
      </c>
      <c r="H695" t="s">
        <v>42</v>
      </c>
      <c r="I695">
        <v>18.72</v>
      </c>
      <c r="J695">
        <v>20</v>
      </c>
      <c r="K695">
        <v>20</v>
      </c>
      <c r="L695">
        <v>18.93</v>
      </c>
      <c r="M695" s="7">
        <v>0.91690000000000005</v>
      </c>
      <c r="N695">
        <v>50000</v>
      </c>
      <c r="O695" s="2">
        <v>46228</v>
      </c>
    </row>
    <row r="696" spans="4:15" x14ac:dyDescent="0.45">
      <c r="D696" t="s">
        <v>1005</v>
      </c>
      <c r="E696" t="s">
        <v>663</v>
      </c>
      <c r="F696" t="s">
        <v>14</v>
      </c>
      <c r="G696" t="s">
        <v>32</v>
      </c>
      <c r="H696" t="s">
        <v>29</v>
      </c>
      <c r="I696">
        <v>9.2100000000000009</v>
      </c>
      <c r="J696">
        <v>12.52</v>
      </c>
      <c r="K696">
        <v>14.32</v>
      </c>
      <c r="L696">
        <v>6.92</v>
      </c>
      <c r="M696" s="7">
        <v>0.99099999999999999</v>
      </c>
      <c r="N696">
        <v>100000</v>
      </c>
      <c r="O696" s="2">
        <v>45816</v>
      </c>
    </row>
    <row r="697" spans="4:15" x14ac:dyDescent="0.45">
      <c r="D697" t="s">
        <v>1006</v>
      </c>
      <c r="E697" t="s">
        <v>526</v>
      </c>
      <c r="F697" t="s">
        <v>14</v>
      </c>
      <c r="G697" t="s">
        <v>20</v>
      </c>
      <c r="H697" t="s">
        <v>16</v>
      </c>
      <c r="I697">
        <v>16.86</v>
      </c>
      <c r="J697">
        <v>12.75</v>
      </c>
      <c r="K697">
        <v>14.69</v>
      </c>
      <c r="L697">
        <v>11.62</v>
      </c>
      <c r="M697" s="7">
        <v>0.84560000000000002</v>
      </c>
      <c r="N697">
        <v>80000</v>
      </c>
      <c r="O697" s="2">
        <v>45641</v>
      </c>
    </row>
    <row r="698" spans="4:15" x14ac:dyDescent="0.45">
      <c r="D698" t="s">
        <v>1007</v>
      </c>
      <c r="E698" t="s">
        <v>167</v>
      </c>
      <c r="F698" t="s">
        <v>19</v>
      </c>
      <c r="G698" t="s">
        <v>35</v>
      </c>
      <c r="H698" t="s">
        <v>16</v>
      </c>
      <c r="I698">
        <v>12.35</v>
      </c>
      <c r="J698">
        <v>18.7</v>
      </c>
      <c r="K698">
        <v>18.91</v>
      </c>
      <c r="L698">
        <v>20</v>
      </c>
      <c r="M698" s="7">
        <v>0.82499999999999996</v>
      </c>
      <c r="N698">
        <v>80000</v>
      </c>
      <c r="O698" s="2">
        <v>45936</v>
      </c>
    </row>
    <row r="699" spans="4:15" x14ac:dyDescent="0.45">
      <c r="D699" t="s">
        <v>1008</v>
      </c>
      <c r="E699" t="s">
        <v>847</v>
      </c>
      <c r="F699" t="s">
        <v>19</v>
      </c>
      <c r="G699" t="s">
        <v>32</v>
      </c>
      <c r="H699" t="s">
        <v>29</v>
      </c>
      <c r="I699">
        <v>14.63</v>
      </c>
      <c r="J699">
        <v>17.010000000000002</v>
      </c>
      <c r="K699">
        <v>16.96</v>
      </c>
      <c r="L699">
        <v>18.57</v>
      </c>
      <c r="M699" s="7">
        <v>0.93830000000000002</v>
      </c>
      <c r="N699">
        <v>85000</v>
      </c>
      <c r="O699" s="2">
        <v>46117</v>
      </c>
    </row>
    <row r="700" spans="4:15" x14ac:dyDescent="0.45">
      <c r="D700" t="s">
        <v>1009</v>
      </c>
      <c r="E700" t="s">
        <v>588</v>
      </c>
      <c r="F700" t="s">
        <v>14</v>
      </c>
      <c r="G700" t="s">
        <v>32</v>
      </c>
      <c r="H700" t="s">
        <v>21</v>
      </c>
      <c r="I700">
        <v>17.559999999999999</v>
      </c>
      <c r="J700">
        <v>12.02</v>
      </c>
      <c r="K700">
        <v>14.18</v>
      </c>
      <c r="L700">
        <v>10.89</v>
      </c>
      <c r="M700" s="7">
        <v>0.83220000000000005</v>
      </c>
      <c r="N700">
        <v>50000</v>
      </c>
      <c r="O700" s="2">
        <v>46197</v>
      </c>
    </row>
    <row r="701" spans="4:15" x14ac:dyDescent="0.45">
      <c r="D701" t="s">
        <v>1010</v>
      </c>
      <c r="E701" t="s">
        <v>133</v>
      </c>
      <c r="F701" t="s">
        <v>14</v>
      </c>
      <c r="G701" t="s">
        <v>15</v>
      </c>
      <c r="H701" t="s">
        <v>16</v>
      </c>
      <c r="I701">
        <v>15.43</v>
      </c>
      <c r="J701">
        <v>15.57</v>
      </c>
      <c r="K701">
        <v>13.03</v>
      </c>
      <c r="L701">
        <v>17.05</v>
      </c>
      <c r="M701" s="7">
        <v>0.76729999999999998</v>
      </c>
      <c r="N701">
        <v>80000</v>
      </c>
      <c r="O701" s="2">
        <v>45572</v>
      </c>
    </row>
    <row r="702" spans="4:15" x14ac:dyDescent="0.45">
      <c r="D702" t="s">
        <v>1011</v>
      </c>
      <c r="E702" t="s">
        <v>356</v>
      </c>
      <c r="F702" t="s">
        <v>19</v>
      </c>
      <c r="G702" t="s">
        <v>32</v>
      </c>
      <c r="H702" t="s">
        <v>21</v>
      </c>
      <c r="I702">
        <v>11.07</v>
      </c>
      <c r="J702">
        <v>19.48</v>
      </c>
      <c r="K702">
        <v>13.4</v>
      </c>
      <c r="L702">
        <v>15.05</v>
      </c>
      <c r="M702" s="7">
        <v>0.79579999999999995</v>
      </c>
      <c r="N702">
        <v>130000</v>
      </c>
      <c r="O702" s="2">
        <v>45739</v>
      </c>
    </row>
    <row r="703" spans="4:15" x14ac:dyDescent="0.45">
      <c r="D703" t="s">
        <v>1012</v>
      </c>
      <c r="E703" t="s">
        <v>742</v>
      </c>
      <c r="F703" t="s">
        <v>19</v>
      </c>
      <c r="G703" t="s">
        <v>28</v>
      </c>
      <c r="H703" t="s">
        <v>42</v>
      </c>
      <c r="I703">
        <v>14.2</v>
      </c>
      <c r="J703">
        <v>15.11</v>
      </c>
      <c r="K703">
        <v>12.09</v>
      </c>
      <c r="L703">
        <v>13.6</v>
      </c>
      <c r="M703" s="7">
        <v>0.96560000000000001</v>
      </c>
      <c r="N703">
        <v>90000</v>
      </c>
      <c r="O703" s="2">
        <v>45870</v>
      </c>
    </row>
    <row r="704" spans="4:15" x14ac:dyDescent="0.45">
      <c r="D704" t="s">
        <v>1013</v>
      </c>
      <c r="E704" t="s">
        <v>969</v>
      </c>
      <c r="F704" t="s">
        <v>14</v>
      </c>
      <c r="G704" t="s">
        <v>35</v>
      </c>
      <c r="H704" t="s">
        <v>16</v>
      </c>
      <c r="I704">
        <v>11.69</v>
      </c>
      <c r="J704">
        <v>13.4</v>
      </c>
      <c r="K704">
        <v>14.87</v>
      </c>
      <c r="L704">
        <v>11.08</v>
      </c>
      <c r="M704" s="7">
        <v>0.90649999999999997</v>
      </c>
      <c r="N704">
        <v>90000</v>
      </c>
      <c r="O704" s="2">
        <v>45604</v>
      </c>
    </row>
    <row r="705" spans="4:15" x14ac:dyDescent="0.45">
      <c r="D705" t="s">
        <v>1014</v>
      </c>
      <c r="E705" t="s">
        <v>348</v>
      </c>
      <c r="F705" t="s">
        <v>14</v>
      </c>
      <c r="G705" t="s">
        <v>28</v>
      </c>
      <c r="H705" t="s">
        <v>29</v>
      </c>
      <c r="I705">
        <v>15.11</v>
      </c>
      <c r="J705">
        <v>9.94</v>
      </c>
      <c r="K705">
        <v>14.31</v>
      </c>
      <c r="L705">
        <v>13.87</v>
      </c>
      <c r="M705" s="7">
        <v>0.74729999999999996</v>
      </c>
      <c r="N705">
        <v>85000</v>
      </c>
      <c r="O705" s="2">
        <v>46156</v>
      </c>
    </row>
    <row r="706" spans="4:15" x14ac:dyDescent="0.45">
      <c r="D706" t="s">
        <v>1015</v>
      </c>
      <c r="E706" t="s">
        <v>240</v>
      </c>
      <c r="F706" t="s">
        <v>14</v>
      </c>
      <c r="G706" t="s">
        <v>47</v>
      </c>
      <c r="H706" t="s">
        <v>16</v>
      </c>
      <c r="I706">
        <v>13.07</v>
      </c>
      <c r="J706">
        <v>8.36</v>
      </c>
      <c r="K706">
        <v>7.67</v>
      </c>
      <c r="L706">
        <v>7.1</v>
      </c>
      <c r="M706" s="7">
        <v>0.95489999999999997</v>
      </c>
      <c r="N706">
        <v>85000</v>
      </c>
      <c r="O706" s="2">
        <v>45614</v>
      </c>
    </row>
    <row r="707" spans="4:15" x14ac:dyDescent="0.45">
      <c r="D707" t="s">
        <v>1016</v>
      </c>
      <c r="E707" t="s">
        <v>902</v>
      </c>
      <c r="F707" t="s">
        <v>19</v>
      </c>
      <c r="G707" t="s">
        <v>32</v>
      </c>
      <c r="H707" t="s">
        <v>21</v>
      </c>
      <c r="I707">
        <v>14.73</v>
      </c>
      <c r="J707">
        <v>16.98</v>
      </c>
      <c r="K707">
        <v>13.83</v>
      </c>
      <c r="L707">
        <v>13.79</v>
      </c>
      <c r="M707" s="7">
        <v>0.95860000000000001</v>
      </c>
      <c r="N707">
        <v>130000</v>
      </c>
      <c r="O707" s="2">
        <v>46001</v>
      </c>
    </row>
    <row r="708" spans="4:15" x14ac:dyDescent="0.45">
      <c r="D708" t="s">
        <v>1017</v>
      </c>
      <c r="E708" t="s">
        <v>619</v>
      </c>
      <c r="F708" t="s">
        <v>14</v>
      </c>
      <c r="G708" t="s">
        <v>20</v>
      </c>
      <c r="H708" t="s">
        <v>42</v>
      </c>
      <c r="I708">
        <v>13.57</v>
      </c>
      <c r="J708">
        <v>16.05</v>
      </c>
      <c r="K708">
        <v>16.079999999999998</v>
      </c>
      <c r="L708">
        <v>15.34</v>
      </c>
      <c r="M708" s="7">
        <v>0.65720000000000001</v>
      </c>
      <c r="N708">
        <v>130000</v>
      </c>
      <c r="O708" s="2">
        <v>46179</v>
      </c>
    </row>
    <row r="709" spans="4:15" x14ac:dyDescent="0.45">
      <c r="D709" t="s">
        <v>1018</v>
      </c>
      <c r="E709" t="s">
        <v>178</v>
      </c>
      <c r="F709" t="s">
        <v>19</v>
      </c>
      <c r="G709" t="s">
        <v>32</v>
      </c>
      <c r="H709" t="s">
        <v>29</v>
      </c>
      <c r="I709">
        <v>14.59</v>
      </c>
      <c r="J709">
        <v>3.61</v>
      </c>
      <c r="K709">
        <v>12.51</v>
      </c>
      <c r="L709">
        <v>9.0500000000000007</v>
      </c>
      <c r="M709" s="7">
        <v>0.83020000000000005</v>
      </c>
      <c r="N709">
        <v>80000</v>
      </c>
      <c r="O709" s="2">
        <v>46015</v>
      </c>
    </row>
    <row r="710" spans="4:15" x14ac:dyDescent="0.45">
      <c r="D710" t="s">
        <v>1019</v>
      </c>
      <c r="E710" t="s">
        <v>252</v>
      </c>
      <c r="F710" t="s">
        <v>14</v>
      </c>
      <c r="G710" t="s">
        <v>28</v>
      </c>
      <c r="H710" t="s">
        <v>29</v>
      </c>
      <c r="I710">
        <v>7.44</v>
      </c>
      <c r="J710">
        <v>10.86</v>
      </c>
      <c r="K710">
        <v>8</v>
      </c>
      <c r="L710">
        <v>8.4600000000000009</v>
      </c>
      <c r="M710" s="7">
        <v>0.8266</v>
      </c>
      <c r="N710">
        <v>130000</v>
      </c>
      <c r="O710" s="2">
        <v>46070</v>
      </c>
    </row>
    <row r="711" spans="4:15" x14ac:dyDescent="0.45">
      <c r="D711" t="s">
        <v>1020</v>
      </c>
      <c r="E711" t="s">
        <v>549</v>
      </c>
      <c r="F711" t="s">
        <v>14</v>
      </c>
      <c r="G711" t="s">
        <v>20</v>
      </c>
      <c r="H711" t="s">
        <v>42</v>
      </c>
      <c r="I711">
        <v>13.99</v>
      </c>
      <c r="J711">
        <v>20</v>
      </c>
      <c r="K711">
        <v>15.03</v>
      </c>
      <c r="L711">
        <v>15.5</v>
      </c>
      <c r="M711" s="7">
        <v>0.8448</v>
      </c>
      <c r="N711">
        <v>50000</v>
      </c>
      <c r="O711" s="2">
        <v>45720</v>
      </c>
    </row>
    <row r="712" spans="4:15" x14ac:dyDescent="0.45">
      <c r="D712" t="s">
        <v>1021</v>
      </c>
      <c r="E712" t="s">
        <v>218</v>
      </c>
      <c r="F712" t="s">
        <v>19</v>
      </c>
      <c r="G712" t="s">
        <v>32</v>
      </c>
      <c r="H712" t="s">
        <v>16</v>
      </c>
      <c r="I712">
        <v>10.65</v>
      </c>
      <c r="J712">
        <v>10.53</v>
      </c>
      <c r="K712">
        <v>15.47</v>
      </c>
      <c r="L712">
        <v>16.68</v>
      </c>
      <c r="M712" s="7">
        <v>0.87219999999999998</v>
      </c>
      <c r="N712">
        <v>75000</v>
      </c>
      <c r="O712" s="2">
        <v>46115</v>
      </c>
    </row>
    <row r="713" spans="4:15" x14ac:dyDescent="0.45">
      <c r="D713" t="s">
        <v>1022</v>
      </c>
      <c r="E713" t="s">
        <v>107</v>
      </c>
      <c r="F713" t="s">
        <v>19</v>
      </c>
      <c r="G713" t="s">
        <v>28</v>
      </c>
      <c r="H713" t="s">
        <v>29</v>
      </c>
      <c r="I713">
        <v>8.02</v>
      </c>
      <c r="J713">
        <v>15.21</v>
      </c>
      <c r="K713">
        <v>10.88</v>
      </c>
      <c r="L713">
        <v>7.31</v>
      </c>
      <c r="M713" s="7">
        <v>0.96599999999999997</v>
      </c>
      <c r="N713">
        <v>75000</v>
      </c>
      <c r="O713" s="2">
        <v>45829</v>
      </c>
    </row>
    <row r="714" spans="4:15" x14ac:dyDescent="0.45">
      <c r="D714" t="s">
        <v>1023</v>
      </c>
      <c r="E714" t="s">
        <v>73</v>
      </c>
      <c r="F714" t="s">
        <v>19</v>
      </c>
      <c r="G714" t="s">
        <v>15</v>
      </c>
      <c r="H714" t="s">
        <v>16</v>
      </c>
      <c r="I714">
        <v>10.74</v>
      </c>
      <c r="J714">
        <v>7.02</v>
      </c>
      <c r="K714">
        <v>11.92</v>
      </c>
      <c r="L714">
        <v>11.78</v>
      </c>
      <c r="M714" s="7">
        <v>0.76700000000000002</v>
      </c>
      <c r="N714">
        <v>100000</v>
      </c>
      <c r="O714" s="2">
        <v>45578</v>
      </c>
    </row>
    <row r="715" spans="4:15" x14ac:dyDescent="0.45">
      <c r="D715" t="s">
        <v>1024</v>
      </c>
      <c r="E715" t="s">
        <v>430</v>
      </c>
      <c r="F715" t="s">
        <v>19</v>
      </c>
      <c r="G715" t="s">
        <v>47</v>
      </c>
      <c r="H715" t="s">
        <v>42</v>
      </c>
      <c r="I715">
        <v>6.71</v>
      </c>
      <c r="J715">
        <v>11.76</v>
      </c>
      <c r="K715">
        <v>6.56</v>
      </c>
      <c r="L715">
        <v>8.14</v>
      </c>
      <c r="M715" s="7">
        <v>0.99</v>
      </c>
      <c r="N715">
        <v>90000</v>
      </c>
      <c r="O715" s="2">
        <v>45792</v>
      </c>
    </row>
    <row r="716" spans="4:15" x14ac:dyDescent="0.45">
      <c r="D716" t="s">
        <v>1025</v>
      </c>
      <c r="E716" t="s">
        <v>1003</v>
      </c>
      <c r="F716" t="s">
        <v>19</v>
      </c>
      <c r="G716" t="s">
        <v>15</v>
      </c>
      <c r="H716" t="s">
        <v>42</v>
      </c>
      <c r="I716">
        <v>11.32</v>
      </c>
      <c r="J716">
        <v>11.01</v>
      </c>
      <c r="K716">
        <v>11</v>
      </c>
      <c r="L716">
        <v>12.64</v>
      </c>
      <c r="M716" s="7">
        <v>0.89849999999999997</v>
      </c>
      <c r="N716">
        <v>85000</v>
      </c>
      <c r="O716" s="2">
        <v>45780</v>
      </c>
    </row>
    <row r="717" spans="4:15" x14ac:dyDescent="0.45">
      <c r="D717" t="s">
        <v>1026</v>
      </c>
      <c r="E717" t="s">
        <v>906</v>
      </c>
      <c r="F717" t="s">
        <v>19</v>
      </c>
      <c r="G717" t="s">
        <v>15</v>
      </c>
      <c r="H717" t="s">
        <v>29</v>
      </c>
      <c r="I717">
        <v>9.36</v>
      </c>
      <c r="J717">
        <v>7.22</v>
      </c>
      <c r="K717">
        <v>11.8</v>
      </c>
      <c r="L717">
        <v>11.8</v>
      </c>
      <c r="M717" s="7">
        <v>0.71240000000000003</v>
      </c>
      <c r="N717">
        <v>70000</v>
      </c>
      <c r="O717" s="2">
        <v>45901</v>
      </c>
    </row>
    <row r="718" spans="4:15" x14ac:dyDescent="0.45">
      <c r="D718" t="s">
        <v>1027</v>
      </c>
      <c r="E718" t="s">
        <v>1028</v>
      </c>
      <c r="F718" t="s">
        <v>19</v>
      </c>
      <c r="G718" t="s">
        <v>47</v>
      </c>
      <c r="H718" t="s">
        <v>16</v>
      </c>
      <c r="I718">
        <v>10.02</v>
      </c>
      <c r="J718">
        <v>18.32</v>
      </c>
      <c r="K718">
        <v>16.43</v>
      </c>
      <c r="L718">
        <v>20</v>
      </c>
      <c r="M718" s="7">
        <v>0.88649999999999995</v>
      </c>
      <c r="N718">
        <v>85000</v>
      </c>
      <c r="O718" s="2">
        <v>45721</v>
      </c>
    </row>
    <row r="719" spans="4:15" x14ac:dyDescent="0.45">
      <c r="D719" t="s">
        <v>1029</v>
      </c>
      <c r="E719" t="s">
        <v>1030</v>
      </c>
      <c r="F719" t="s">
        <v>14</v>
      </c>
      <c r="G719" t="s">
        <v>35</v>
      </c>
      <c r="H719" t="s">
        <v>29</v>
      </c>
      <c r="I719">
        <v>9.41</v>
      </c>
      <c r="J719">
        <v>14.64</v>
      </c>
      <c r="K719">
        <v>12.35</v>
      </c>
      <c r="L719">
        <v>13.07</v>
      </c>
      <c r="M719" s="7">
        <v>0.92649999999999999</v>
      </c>
      <c r="N719">
        <v>70000</v>
      </c>
      <c r="O719" s="2">
        <v>45859</v>
      </c>
    </row>
    <row r="720" spans="4:15" x14ac:dyDescent="0.45">
      <c r="D720" t="s">
        <v>1031</v>
      </c>
      <c r="E720" t="s">
        <v>1032</v>
      </c>
      <c r="F720" t="s">
        <v>14</v>
      </c>
      <c r="G720" t="s">
        <v>28</v>
      </c>
      <c r="H720" t="s">
        <v>21</v>
      </c>
      <c r="I720">
        <v>14.25</v>
      </c>
      <c r="J720">
        <v>16.489999999999998</v>
      </c>
      <c r="K720">
        <v>17.14</v>
      </c>
      <c r="L720">
        <v>14.29</v>
      </c>
      <c r="M720" s="7">
        <v>0.93859999999999999</v>
      </c>
      <c r="N720">
        <v>85000</v>
      </c>
      <c r="O720" s="2">
        <v>45835</v>
      </c>
    </row>
    <row r="721" spans="4:15" x14ac:dyDescent="0.45">
      <c r="D721" t="s">
        <v>1033</v>
      </c>
      <c r="E721" t="s">
        <v>551</v>
      </c>
      <c r="F721" t="s">
        <v>19</v>
      </c>
      <c r="G721" t="s">
        <v>47</v>
      </c>
      <c r="H721" t="s">
        <v>16</v>
      </c>
      <c r="I721">
        <v>10.66</v>
      </c>
      <c r="J721">
        <v>13.68</v>
      </c>
      <c r="K721">
        <v>13.74</v>
      </c>
      <c r="L721">
        <v>12.42</v>
      </c>
      <c r="M721" s="7">
        <v>0.80149999999999999</v>
      </c>
      <c r="N721">
        <v>75000</v>
      </c>
      <c r="O721" s="2">
        <v>45764</v>
      </c>
    </row>
    <row r="722" spans="4:15" x14ac:dyDescent="0.45">
      <c r="D722" t="s">
        <v>1034</v>
      </c>
      <c r="E722" t="s">
        <v>204</v>
      </c>
      <c r="F722" t="s">
        <v>14</v>
      </c>
      <c r="G722" t="s">
        <v>35</v>
      </c>
      <c r="H722" t="s">
        <v>16</v>
      </c>
      <c r="I722">
        <v>17.54</v>
      </c>
      <c r="J722">
        <v>13.69</v>
      </c>
      <c r="K722">
        <v>15.61</v>
      </c>
      <c r="L722">
        <v>13.32</v>
      </c>
      <c r="M722" s="7">
        <v>0.55000000000000004</v>
      </c>
      <c r="N722">
        <v>120000</v>
      </c>
      <c r="O722" s="2">
        <v>46023</v>
      </c>
    </row>
    <row r="723" spans="4:15" x14ac:dyDescent="0.45">
      <c r="D723" t="s">
        <v>1035</v>
      </c>
      <c r="E723" t="s">
        <v>799</v>
      </c>
      <c r="F723" t="s">
        <v>19</v>
      </c>
      <c r="G723" t="s">
        <v>35</v>
      </c>
      <c r="H723" t="s">
        <v>16</v>
      </c>
      <c r="I723">
        <v>11.75</v>
      </c>
      <c r="J723">
        <v>9.41</v>
      </c>
      <c r="K723">
        <v>12.77</v>
      </c>
      <c r="L723">
        <v>14.89</v>
      </c>
      <c r="M723" s="7">
        <v>0.9073</v>
      </c>
      <c r="N723">
        <v>110000</v>
      </c>
      <c r="O723" s="2">
        <v>45749</v>
      </c>
    </row>
    <row r="724" spans="4:15" x14ac:dyDescent="0.45">
      <c r="D724" t="s">
        <v>1036</v>
      </c>
      <c r="E724" t="s">
        <v>449</v>
      </c>
      <c r="F724" t="s">
        <v>19</v>
      </c>
      <c r="G724" t="s">
        <v>47</v>
      </c>
      <c r="H724" t="s">
        <v>21</v>
      </c>
      <c r="I724">
        <v>17.88</v>
      </c>
      <c r="J724">
        <v>17.87</v>
      </c>
      <c r="K724">
        <v>14.9</v>
      </c>
      <c r="L724">
        <v>12.91</v>
      </c>
      <c r="M724" s="7">
        <v>0.55000000000000004</v>
      </c>
      <c r="N724">
        <v>60000</v>
      </c>
      <c r="O724" s="2">
        <v>46072</v>
      </c>
    </row>
    <row r="725" spans="4:15" x14ac:dyDescent="0.45">
      <c r="D725" t="s">
        <v>1037</v>
      </c>
      <c r="E725" t="s">
        <v>490</v>
      </c>
      <c r="F725" t="s">
        <v>14</v>
      </c>
      <c r="G725" t="s">
        <v>47</v>
      </c>
      <c r="H725" t="s">
        <v>16</v>
      </c>
      <c r="I725">
        <v>11.96</v>
      </c>
      <c r="J725">
        <v>16.25</v>
      </c>
      <c r="K725">
        <v>9.91</v>
      </c>
      <c r="L725">
        <v>10.09</v>
      </c>
      <c r="M725" s="7">
        <v>0.91900000000000004</v>
      </c>
      <c r="N725">
        <v>130000</v>
      </c>
      <c r="O725" s="2">
        <v>45711</v>
      </c>
    </row>
    <row r="726" spans="4:15" x14ac:dyDescent="0.45">
      <c r="D726" t="s">
        <v>1038</v>
      </c>
      <c r="E726" t="s">
        <v>978</v>
      </c>
      <c r="F726" t="s">
        <v>19</v>
      </c>
      <c r="G726" t="s">
        <v>15</v>
      </c>
      <c r="H726" t="s">
        <v>42</v>
      </c>
      <c r="I726">
        <v>9</v>
      </c>
      <c r="J726">
        <v>11.98</v>
      </c>
      <c r="K726">
        <v>7.99</v>
      </c>
      <c r="L726">
        <v>10</v>
      </c>
      <c r="M726" s="7">
        <v>0.86519999999999997</v>
      </c>
      <c r="N726">
        <v>100000</v>
      </c>
      <c r="O726" s="2">
        <v>46141</v>
      </c>
    </row>
    <row r="727" spans="4:15" x14ac:dyDescent="0.45">
      <c r="D727" t="s">
        <v>1039</v>
      </c>
      <c r="E727" t="s">
        <v>1040</v>
      </c>
      <c r="F727" t="s">
        <v>14</v>
      </c>
      <c r="G727" t="s">
        <v>28</v>
      </c>
      <c r="H727" t="s">
        <v>21</v>
      </c>
      <c r="I727">
        <v>7.79</v>
      </c>
      <c r="J727">
        <v>5.66</v>
      </c>
      <c r="K727">
        <v>9.8699999999999992</v>
      </c>
      <c r="L727">
        <v>12.23</v>
      </c>
      <c r="M727" s="7">
        <v>0.83299999999999996</v>
      </c>
      <c r="N727">
        <v>75000</v>
      </c>
      <c r="O727" s="2">
        <v>45791</v>
      </c>
    </row>
    <row r="728" spans="4:15" x14ac:dyDescent="0.45">
      <c r="D728" t="s">
        <v>1041</v>
      </c>
      <c r="E728" t="s">
        <v>153</v>
      </c>
      <c r="F728" t="s">
        <v>19</v>
      </c>
      <c r="G728" t="s">
        <v>20</v>
      </c>
      <c r="H728" t="s">
        <v>42</v>
      </c>
      <c r="I728">
        <v>11.88</v>
      </c>
      <c r="J728">
        <v>9.08</v>
      </c>
      <c r="K728">
        <v>10.48</v>
      </c>
      <c r="L728">
        <v>7.07</v>
      </c>
      <c r="M728" s="7">
        <v>0.74470000000000003</v>
      </c>
      <c r="N728">
        <v>85000</v>
      </c>
      <c r="O728" s="2">
        <v>45564</v>
      </c>
    </row>
    <row r="729" spans="4:15" x14ac:dyDescent="0.45">
      <c r="D729" t="s">
        <v>1042</v>
      </c>
      <c r="E729" t="s">
        <v>196</v>
      </c>
      <c r="F729" t="s">
        <v>14</v>
      </c>
      <c r="G729" t="s">
        <v>15</v>
      </c>
      <c r="H729" t="s">
        <v>29</v>
      </c>
      <c r="I729">
        <v>8.32</v>
      </c>
      <c r="J729">
        <v>8.5399999999999991</v>
      </c>
      <c r="K729">
        <v>10.41</v>
      </c>
      <c r="L729">
        <v>12.93</v>
      </c>
      <c r="M729" s="7">
        <v>0.90090000000000003</v>
      </c>
      <c r="N729">
        <v>70000</v>
      </c>
      <c r="O729" s="2">
        <v>45640</v>
      </c>
    </row>
    <row r="730" spans="4:15" x14ac:dyDescent="0.45">
      <c r="D730" t="s">
        <v>1043</v>
      </c>
      <c r="E730" t="s">
        <v>1044</v>
      </c>
      <c r="F730" t="s">
        <v>14</v>
      </c>
      <c r="G730" t="s">
        <v>28</v>
      </c>
      <c r="H730" t="s">
        <v>16</v>
      </c>
      <c r="I730">
        <v>15.02</v>
      </c>
      <c r="J730">
        <v>11.54</v>
      </c>
      <c r="K730">
        <v>12.72</v>
      </c>
      <c r="L730">
        <v>14.24</v>
      </c>
      <c r="M730" s="7">
        <v>0.94320000000000004</v>
      </c>
      <c r="N730">
        <v>50000</v>
      </c>
      <c r="O730" s="2">
        <v>46100</v>
      </c>
    </row>
    <row r="731" spans="4:15" x14ac:dyDescent="0.45">
      <c r="D731" t="s">
        <v>1045</v>
      </c>
      <c r="E731" t="s">
        <v>317</v>
      </c>
      <c r="F731" t="s">
        <v>19</v>
      </c>
      <c r="G731" t="s">
        <v>47</v>
      </c>
      <c r="H731" t="s">
        <v>16</v>
      </c>
      <c r="I731">
        <v>11.68</v>
      </c>
      <c r="J731">
        <v>12.69</v>
      </c>
      <c r="K731">
        <v>8.74</v>
      </c>
      <c r="L731">
        <v>7.95</v>
      </c>
      <c r="M731" s="7">
        <v>0.71120000000000005</v>
      </c>
      <c r="N731">
        <v>80000</v>
      </c>
      <c r="O731" s="2">
        <v>46146</v>
      </c>
    </row>
    <row r="732" spans="4:15" x14ac:dyDescent="0.45">
      <c r="D732" t="s">
        <v>1046</v>
      </c>
      <c r="E732" t="s">
        <v>645</v>
      </c>
      <c r="F732" t="s">
        <v>19</v>
      </c>
      <c r="G732" t="s">
        <v>28</v>
      </c>
      <c r="H732" t="s">
        <v>16</v>
      </c>
      <c r="I732">
        <v>18.07</v>
      </c>
      <c r="J732">
        <v>20</v>
      </c>
      <c r="K732">
        <v>20</v>
      </c>
      <c r="L732">
        <v>13.45</v>
      </c>
      <c r="M732" s="7">
        <v>0.88790000000000002</v>
      </c>
      <c r="N732">
        <v>110000</v>
      </c>
      <c r="O732" s="2">
        <v>45684</v>
      </c>
    </row>
    <row r="733" spans="4:15" x14ac:dyDescent="0.45">
      <c r="D733" t="s">
        <v>1047</v>
      </c>
      <c r="E733" t="s">
        <v>240</v>
      </c>
      <c r="F733" t="s">
        <v>14</v>
      </c>
      <c r="G733" t="s">
        <v>35</v>
      </c>
      <c r="H733" t="s">
        <v>21</v>
      </c>
      <c r="I733">
        <v>10.82</v>
      </c>
      <c r="J733">
        <v>5.89</v>
      </c>
      <c r="K733">
        <v>7.79</v>
      </c>
      <c r="L733">
        <v>5.17</v>
      </c>
      <c r="M733" s="7">
        <v>0.74019999999999997</v>
      </c>
      <c r="N733">
        <v>75000</v>
      </c>
      <c r="O733" s="2">
        <v>45957</v>
      </c>
    </row>
    <row r="734" spans="4:15" x14ac:dyDescent="0.45">
      <c r="D734" t="s">
        <v>1048</v>
      </c>
      <c r="E734" t="s">
        <v>144</v>
      </c>
      <c r="F734" t="s">
        <v>19</v>
      </c>
      <c r="G734" t="s">
        <v>28</v>
      </c>
      <c r="H734" t="s">
        <v>16</v>
      </c>
      <c r="I734">
        <v>15.01</v>
      </c>
      <c r="J734">
        <v>16.18</v>
      </c>
      <c r="K734">
        <v>12.43</v>
      </c>
      <c r="L734">
        <v>13.93</v>
      </c>
      <c r="M734" s="7">
        <v>0.81210000000000004</v>
      </c>
      <c r="N734">
        <v>80000</v>
      </c>
      <c r="O734" s="2">
        <v>45938</v>
      </c>
    </row>
    <row r="735" spans="4:15" x14ac:dyDescent="0.45">
      <c r="D735" t="s">
        <v>1049</v>
      </c>
      <c r="E735" t="s">
        <v>256</v>
      </c>
      <c r="F735" t="s">
        <v>19</v>
      </c>
      <c r="G735" t="s">
        <v>15</v>
      </c>
      <c r="H735" t="s">
        <v>16</v>
      </c>
      <c r="I735">
        <v>9.36</v>
      </c>
      <c r="J735">
        <v>12.06</v>
      </c>
      <c r="K735">
        <v>8.14</v>
      </c>
      <c r="L735">
        <v>10.1</v>
      </c>
      <c r="M735" s="7">
        <v>0.70140000000000002</v>
      </c>
      <c r="N735">
        <v>130000</v>
      </c>
      <c r="O735" s="2">
        <v>45629</v>
      </c>
    </row>
    <row r="736" spans="4:15" x14ac:dyDescent="0.45">
      <c r="D736" t="s">
        <v>1050</v>
      </c>
      <c r="E736" t="s">
        <v>188</v>
      </c>
      <c r="F736" t="s">
        <v>14</v>
      </c>
      <c r="G736" t="s">
        <v>32</v>
      </c>
      <c r="H736" t="s">
        <v>21</v>
      </c>
      <c r="I736">
        <v>12.44</v>
      </c>
      <c r="J736">
        <v>11.31</v>
      </c>
      <c r="K736">
        <v>13.25</v>
      </c>
      <c r="L736">
        <v>13.41</v>
      </c>
      <c r="M736" s="7">
        <v>0.99739999999999995</v>
      </c>
      <c r="N736">
        <v>130000</v>
      </c>
      <c r="O736" s="2">
        <v>45852</v>
      </c>
    </row>
    <row r="737" spans="4:15" x14ac:dyDescent="0.45">
      <c r="D737" t="s">
        <v>1051</v>
      </c>
      <c r="E737" t="s">
        <v>799</v>
      </c>
      <c r="F737" t="s">
        <v>19</v>
      </c>
      <c r="G737" t="s">
        <v>35</v>
      </c>
      <c r="H737" t="s">
        <v>29</v>
      </c>
      <c r="I737">
        <v>13.71</v>
      </c>
      <c r="J737">
        <v>13.92</v>
      </c>
      <c r="K737">
        <v>17.12</v>
      </c>
      <c r="L737">
        <v>12.59</v>
      </c>
      <c r="M737" s="7">
        <v>0.90329999999999999</v>
      </c>
      <c r="N737">
        <v>85000</v>
      </c>
      <c r="O737" s="2">
        <v>46021</v>
      </c>
    </row>
    <row r="738" spans="4:15" x14ac:dyDescent="0.45">
      <c r="D738" t="s">
        <v>1052</v>
      </c>
      <c r="E738" t="s">
        <v>728</v>
      </c>
      <c r="F738" t="s">
        <v>19</v>
      </c>
      <c r="G738" t="s">
        <v>47</v>
      </c>
      <c r="H738" t="s">
        <v>29</v>
      </c>
      <c r="I738">
        <v>5.08</v>
      </c>
      <c r="J738">
        <v>3.1</v>
      </c>
      <c r="K738">
        <v>6.3</v>
      </c>
      <c r="L738">
        <v>4.45</v>
      </c>
      <c r="M738" s="7">
        <v>0.90510000000000002</v>
      </c>
      <c r="N738">
        <v>50000</v>
      </c>
      <c r="O738" s="2">
        <v>46212</v>
      </c>
    </row>
    <row r="739" spans="4:15" x14ac:dyDescent="0.45">
      <c r="D739" t="s">
        <v>1053</v>
      </c>
      <c r="E739" t="s">
        <v>486</v>
      </c>
      <c r="F739" t="s">
        <v>14</v>
      </c>
      <c r="G739" t="s">
        <v>32</v>
      </c>
      <c r="H739" t="s">
        <v>42</v>
      </c>
      <c r="I739">
        <v>14.32</v>
      </c>
      <c r="J739">
        <v>13.83</v>
      </c>
      <c r="K739">
        <v>13.89</v>
      </c>
      <c r="L739">
        <v>13.15</v>
      </c>
      <c r="M739" s="7">
        <v>0.96609999999999996</v>
      </c>
      <c r="N739">
        <v>100000</v>
      </c>
      <c r="O739" s="2">
        <v>46129</v>
      </c>
    </row>
    <row r="740" spans="4:15" x14ac:dyDescent="0.45">
      <c r="D740" t="s">
        <v>1054</v>
      </c>
      <c r="E740" t="s">
        <v>738</v>
      </c>
      <c r="F740" t="s">
        <v>19</v>
      </c>
      <c r="G740" t="s">
        <v>47</v>
      </c>
      <c r="H740" t="s">
        <v>42</v>
      </c>
      <c r="I740">
        <v>17.46</v>
      </c>
      <c r="J740">
        <v>19.239999999999998</v>
      </c>
      <c r="K740">
        <v>20</v>
      </c>
      <c r="L740">
        <v>18.8</v>
      </c>
      <c r="M740" s="7">
        <v>0.95450000000000002</v>
      </c>
      <c r="N740">
        <v>100000</v>
      </c>
      <c r="O740" s="2">
        <v>45604</v>
      </c>
    </row>
    <row r="741" spans="4:15" x14ac:dyDescent="0.45">
      <c r="D741" t="s">
        <v>1055</v>
      </c>
      <c r="E741" t="s">
        <v>231</v>
      </c>
      <c r="F741" t="s">
        <v>19</v>
      </c>
      <c r="G741" t="s">
        <v>35</v>
      </c>
      <c r="H741" t="s">
        <v>21</v>
      </c>
      <c r="I741">
        <v>10.15</v>
      </c>
      <c r="J741">
        <v>13</v>
      </c>
      <c r="K741">
        <v>8.4499999999999993</v>
      </c>
      <c r="L741">
        <v>12.64</v>
      </c>
      <c r="M741" s="7">
        <v>0.97</v>
      </c>
      <c r="N741">
        <v>130000</v>
      </c>
      <c r="O741" s="2">
        <v>45702</v>
      </c>
    </row>
    <row r="742" spans="4:15" x14ac:dyDescent="0.45">
      <c r="D742" t="s">
        <v>1056</v>
      </c>
      <c r="E742" t="s">
        <v>135</v>
      </c>
      <c r="F742" t="s">
        <v>19</v>
      </c>
      <c r="G742" t="s">
        <v>15</v>
      </c>
      <c r="H742" t="s">
        <v>29</v>
      </c>
      <c r="I742">
        <v>10.66</v>
      </c>
      <c r="J742">
        <v>15.46</v>
      </c>
      <c r="K742">
        <v>18.75</v>
      </c>
      <c r="L742">
        <v>12.39</v>
      </c>
      <c r="M742" s="7">
        <v>0.90059999999999996</v>
      </c>
      <c r="N742">
        <v>130000</v>
      </c>
      <c r="O742" s="2">
        <v>45841</v>
      </c>
    </row>
    <row r="743" spans="4:15" x14ac:dyDescent="0.45">
      <c r="D743" t="s">
        <v>1057</v>
      </c>
      <c r="E743" t="s">
        <v>142</v>
      </c>
      <c r="F743" t="s">
        <v>19</v>
      </c>
      <c r="G743" t="s">
        <v>35</v>
      </c>
      <c r="H743" t="s">
        <v>42</v>
      </c>
      <c r="I743">
        <v>15.58</v>
      </c>
      <c r="J743">
        <v>17.309999999999999</v>
      </c>
      <c r="K743">
        <v>20</v>
      </c>
      <c r="L743">
        <v>18.25</v>
      </c>
      <c r="M743" s="7">
        <v>0.82840000000000003</v>
      </c>
      <c r="N743">
        <v>90000</v>
      </c>
      <c r="O743" s="2">
        <v>45641</v>
      </c>
    </row>
    <row r="744" spans="4:15" x14ac:dyDescent="0.45">
      <c r="D744" t="s">
        <v>1058</v>
      </c>
      <c r="E744" t="s">
        <v>198</v>
      </c>
      <c r="F744" t="s">
        <v>19</v>
      </c>
      <c r="G744" t="s">
        <v>28</v>
      </c>
      <c r="H744" t="s">
        <v>21</v>
      </c>
      <c r="I744">
        <v>14.29</v>
      </c>
      <c r="J744">
        <v>12.86</v>
      </c>
      <c r="K744">
        <v>7.29</v>
      </c>
      <c r="L744">
        <v>11.57</v>
      </c>
      <c r="M744" s="7">
        <v>0.90700000000000003</v>
      </c>
      <c r="N744">
        <v>60000</v>
      </c>
      <c r="O744" s="2">
        <v>45935</v>
      </c>
    </row>
    <row r="745" spans="4:15" x14ac:dyDescent="0.45">
      <c r="D745" t="s">
        <v>1059</v>
      </c>
      <c r="E745" t="s">
        <v>67</v>
      </c>
      <c r="F745" t="s">
        <v>14</v>
      </c>
      <c r="G745" t="s">
        <v>28</v>
      </c>
      <c r="H745" t="s">
        <v>29</v>
      </c>
      <c r="I745">
        <v>10.35</v>
      </c>
      <c r="J745">
        <v>12.9</v>
      </c>
      <c r="K745">
        <v>11.86</v>
      </c>
      <c r="L745">
        <v>9.86</v>
      </c>
      <c r="M745" s="7">
        <v>0.87639999999999996</v>
      </c>
      <c r="N745">
        <v>70000</v>
      </c>
      <c r="O745" s="2">
        <v>45542</v>
      </c>
    </row>
    <row r="746" spans="4:15" x14ac:dyDescent="0.45">
      <c r="D746" t="s">
        <v>1060</v>
      </c>
      <c r="E746" t="s">
        <v>250</v>
      </c>
      <c r="F746" t="s">
        <v>19</v>
      </c>
      <c r="G746" t="s">
        <v>28</v>
      </c>
      <c r="H746" t="s">
        <v>29</v>
      </c>
      <c r="I746">
        <v>12.67</v>
      </c>
      <c r="J746">
        <v>9.73</v>
      </c>
      <c r="K746">
        <v>5.75</v>
      </c>
      <c r="L746">
        <v>5.83</v>
      </c>
      <c r="M746" s="7">
        <v>0.78259999999999996</v>
      </c>
      <c r="N746">
        <v>100000</v>
      </c>
      <c r="O746" s="2">
        <v>45615</v>
      </c>
    </row>
    <row r="747" spans="4:15" x14ac:dyDescent="0.45">
      <c r="D747" t="s">
        <v>1061</v>
      </c>
      <c r="E747" t="s">
        <v>133</v>
      </c>
      <c r="F747" t="s">
        <v>14</v>
      </c>
      <c r="G747" t="s">
        <v>32</v>
      </c>
      <c r="H747" t="s">
        <v>21</v>
      </c>
      <c r="I747">
        <v>17.239999999999998</v>
      </c>
      <c r="J747">
        <v>15.48</v>
      </c>
      <c r="K747">
        <v>14.91</v>
      </c>
      <c r="L747">
        <v>17.559999999999999</v>
      </c>
      <c r="M747" s="7">
        <v>0.62980000000000003</v>
      </c>
      <c r="N747">
        <v>90000</v>
      </c>
      <c r="O747" s="2">
        <v>45569</v>
      </c>
    </row>
    <row r="748" spans="4:15" x14ac:dyDescent="0.45">
      <c r="D748" t="s">
        <v>1062</v>
      </c>
      <c r="E748" t="s">
        <v>471</v>
      </c>
      <c r="F748" t="s">
        <v>19</v>
      </c>
      <c r="G748" t="s">
        <v>28</v>
      </c>
      <c r="H748" t="s">
        <v>16</v>
      </c>
      <c r="I748">
        <v>16.05</v>
      </c>
      <c r="J748">
        <v>14.28</v>
      </c>
      <c r="K748">
        <v>12.46</v>
      </c>
      <c r="L748">
        <v>12.79</v>
      </c>
      <c r="M748" s="7">
        <v>0.95550000000000002</v>
      </c>
      <c r="N748">
        <v>80000</v>
      </c>
      <c r="O748" s="2">
        <v>45742</v>
      </c>
    </row>
    <row r="749" spans="4:15" x14ac:dyDescent="0.45">
      <c r="D749" t="s">
        <v>1063</v>
      </c>
      <c r="E749" t="s">
        <v>601</v>
      </c>
      <c r="F749" t="s">
        <v>14</v>
      </c>
      <c r="G749" t="s">
        <v>20</v>
      </c>
      <c r="H749" t="s">
        <v>16</v>
      </c>
      <c r="I749">
        <v>12.41</v>
      </c>
      <c r="J749">
        <v>10.65</v>
      </c>
      <c r="K749">
        <v>12.65</v>
      </c>
      <c r="L749">
        <v>9.0399999999999991</v>
      </c>
      <c r="M749" s="7">
        <v>0.79549999999999998</v>
      </c>
      <c r="N749">
        <v>80000</v>
      </c>
      <c r="O749" s="2">
        <v>46069</v>
      </c>
    </row>
    <row r="750" spans="4:15" x14ac:dyDescent="0.45">
      <c r="D750" t="s">
        <v>1064</v>
      </c>
      <c r="E750" t="s">
        <v>488</v>
      </c>
      <c r="F750" t="s">
        <v>14</v>
      </c>
      <c r="G750" t="s">
        <v>35</v>
      </c>
      <c r="H750" t="s">
        <v>42</v>
      </c>
      <c r="I750">
        <v>17.93</v>
      </c>
      <c r="J750">
        <v>12.83</v>
      </c>
      <c r="K750">
        <v>13.81</v>
      </c>
      <c r="L750">
        <v>15.79</v>
      </c>
      <c r="M750" s="7">
        <v>0.93710000000000004</v>
      </c>
      <c r="N750">
        <v>100000</v>
      </c>
      <c r="O750" s="2">
        <v>45660</v>
      </c>
    </row>
    <row r="751" spans="4:15" x14ac:dyDescent="0.45">
      <c r="D751" t="s">
        <v>1065</v>
      </c>
      <c r="E751" t="s">
        <v>111</v>
      </c>
      <c r="F751" t="s">
        <v>14</v>
      </c>
      <c r="G751" t="s">
        <v>28</v>
      </c>
      <c r="H751" t="s">
        <v>21</v>
      </c>
      <c r="I751">
        <v>10.130000000000001</v>
      </c>
      <c r="J751">
        <v>13.42</v>
      </c>
      <c r="K751">
        <v>10.06</v>
      </c>
      <c r="L751">
        <v>16.48</v>
      </c>
      <c r="M751" s="7">
        <v>0.90339999999999998</v>
      </c>
      <c r="N751">
        <v>80000</v>
      </c>
      <c r="O751" s="2">
        <v>46227</v>
      </c>
    </row>
    <row r="752" spans="4:15" x14ac:dyDescent="0.45">
      <c r="D752" t="s">
        <v>1066</v>
      </c>
      <c r="E752" t="s">
        <v>718</v>
      </c>
      <c r="F752" t="s">
        <v>19</v>
      </c>
      <c r="G752" t="s">
        <v>35</v>
      </c>
      <c r="H752" t="s">
        <v>16</v>
      </c>
      <c r="I752">
        <v>6.39</v>
      </c>
      <c r="J752">
        <v>11.2</v>
      </c>
      <c r="K752">
        <v>11.84</v>
      </c>
      <c r="L752">
        <v>12.38</v>
      </c>
      <c r="M752" s="7">
        <v>0.76139999999999997</v>
      </c>
      <c r="N752">
        <v>60000</v>
      </c>
      <c r="O752" s="2">
        <v>45724</v>
      </c>
    </row>
    <row r="753" spans="4:15" x14ac:dyDescent="0.45">
      <c r="D753" t="s">
        <v>1067</v>
      </c>
      <c r="E753" t="s">
        <v>1068</v>
      </c>
      <c r="F753" t="s">
        <v>14</v>
      </c>
      <c r="G753" t="s">
        <v>35</v>
      </c>
      <c r="H753" t="s">
        <v>21</v>
      </c>
      <c r="I753">
        <v>14.22</v>
      </c>
      <c r="J753">
        <v>16.45</v>
      </c>
      <c r="K753">
        <v>16.53</v>
      </c>
      <c r="L753">
        <v>17.809999999999999</v>
      </c>
      <c r="M753" s="7">
        <v>0.95430000000000004</v>
      </c>
      <c r="N753">
        <v>130000</v>
      </c>
      <c r="O753" s="2">
        <v>45567</v>
      </c>
    </row>
    <row r="754" spans="4:15" x14ac:dyDescent="0.45">
      <c r="D754" t="s">
        <v>1069</v>
      </c>
      <c r="E754" t="s">
        <v>155</v>
      </c>
      <c r="F754" t="s">
        <v>14</v>
      </c>
      <c r="G754" t="s">
        <v>28</v>
      </c>
      <c r="H754" t="s">
        <v>21</v>
      </c>
      <c r="I754">
        <v>10.98</v>
      </c>
      <c r="J754">
        <v>10.210000000000001</v>
      </c>
      <c r="K754">
        <v>7.35</v>
      </c>
      <c r="L754">
        <v>11.93</v>
      </c>
      <c r="M754" s="7">
        <v>0.55000000000000004</v>
      </c>
      <c r="N754">
        <v>75000</v>
      </c>
      <c r="O754" s="2">
        <v>45770</v>
      </c>
    </row>
    <row r="755" spans="4:15" x14ac:dyDescent="0.45">
      <c r="D755" t="s">
        <v>1070</v>
      </c>
      <c r="E755" t="s">
        <v>535</v>
      </c>
      <c r="F755" t="s">
        <v>19</v>
      </c>
      <c r="G755" t="s">
        <v>15</v>
      </c>
      <c r="H755" t="s">
        <v>21</v>
      </c>
      <c r="I755">
        <v>16.77</v>
      </c>
      <c r="J755">
        <v>16.16</v>
      </c>
      <c r="K755">
        <v>13.01</v>
      </c>
      <c r="L755">
        <v>15</v>
      </c>
      <c r="M755" s="7">
        <v>0.89139999999999997</v>
      </c>
      <c r="N755">
        <v>75000</v>
      </c>
      <c r="O755" s="2">
        <v>46059</v>
      </c>
    </row>
    <row r="756" spans="4:15" x14ac:dyDescent="0.45">
      <c r="D756" t="s">
        <v>1071</v>
      </c>
      <c r="E756" t="s">
        <v>262</v>
      </c>
      <c r="F756" t="s">
        <v>19</v>
      </c>
      <c r="G756" t="s">
        <v>47</v>
      </c>
      <c r="H756" t="s">
        <v>29</v>
      </c>
      <c r="I756">
        <v>10.19</v>
      </c>
      <c r="J756">
        <v>9.26</v>
      </c>
      <c r="K756">
        <v>14.17</v>
      </c>
      <c r="L756">
        <v>9.5500000000000007</v>
      </c>
      <c r="M756" s="7">
        <v>0.88549999999999995</v>
      </c>
      <c r="N756">
        <v>50000</v>
      </c>
      <c r="O756" s="2">
        <v>45610</v>
      </c>
    </row>
    <row r="757" spans="4:15" x14ac:dyDescent="0.45">
      <c r="D757" t="s">
        <v>1072</v>
      </c>
      <c r="E757" t="s">
        <v>594</v>
      </c>
      <c r="F757" t="s">
        <v>14</v>
      </c>
      <c r="G757" t="s">
        <v>32</v>
      </c>
      <c r="H757" t="s">
        <v>29</v>
      </c>
      <c r="I757">
        <v>14.55</v>
      </c>
      <c r="J757">
        <v>10.93</v>
      </c>
      <c r="K757">
        <v>10.43</v>
      </c>
      <c r="L757">
        <v>8.7200000000000006</v>
      </c>
      <c r="M757" s="7">
        <v>0.8679</v>
      </c>
      <c r="N757">
        <v>85000</v>
      </c>
      <c r="O757" s="2">
        <v>45586</v>
      </c>
    </row>
    <row r="758" spans="4:15" x14ac:dyDescent="0.45">
      <c r="D758" t="s">
        <v>1073</v>
      </c>
      <c r="E758" t="s">
        <v>295</v>
      </c>
      <c r="F758" t="s">
        <v>19</v>
      </c>
      <c r="G758" t="s">
        <v>35</v>
      </c>
      <c r="H758" t="s">
        <v>42</v>
      </c>
      <c r="I758">
        <v>19.72</v>
      </c>
      <c r="J758">
        <v>15.66</v>
      </c>
      <c r="K758">
        <v>18.78</v>
      </c>
      <c r="L758">
        <v>18.329999999999998</v>
      </c>
      <c r="M758" s="7">
        <v>0.72019999999999995</v>
      </c>
      <c r="N758">
        <v>130000</v>
      </c>
      <c r="O758" s="2">
        <v>46130</v>
      </c>
    </row>
    <row r="759" spans="4:15" x14ac:dyDescent="0.45">
      <c r="D759" t="s">
        <v>1074</v>
      </c>
      <c r="E759" t="s">
        <v>1075</v>
      </c>
      <c r="F759" t="s">
        <v>14</v>
      </c>
      <c r="G759" t="s">
        <v>47</v>
      </c>
      <c r="H759" t="s">
        <v>16</v>
      </c>
      <c r="I759">
        <v>18.41</v>
      </c>
      <c r="J759">
        <v>17.899999999999999</v>
      </c>
      <c r="K759">
        <v>15.98</v>
      </c>
      <c r="L759">
        <v>15.18</v>
      </c>
      <c r="M759" s="7">
        <v>0.83409999999999995</v>
      </c>
      <c r="N759">
        <v>60000</v>
      </c>
      <c r="O759" s="2">
        <v>45950</v>
      </c>
    </row>
    <row r="760" spans="4:15" x14ac:dyDescent="0.45">
      <c r="D760" t="s">
        <v>1076</v>
      </c>
      <c r="E760" t="s">
        <v>933</v>
      </c>
      <c r="F760" t="s">
        <v>14</v>
      </c>
      <c r="G760" t="s">
        <v>15</v>
      </c>
      <c r="H760" t="s">
        <v>21</v>
      </c>
      <c r="I760">
        <v>11.71</v>
      </c>
      <c r="J760">
        <v>14.68</v>
      </c>
      <c r="K760">
        <v>15.18</v>
      </c>
      <c r="L760">
        <v>12.79</v>
      </c>
      <c r="M760" s="7">
        <v>0.6169</v>
      </c>
      <c r="N760">
        <v>70000</v>
      </c>
      <c r="O760" s="2">
        <v>45776</v>
      </c>
    </row>
    <row r="761" spans="4:15" x14ac:dyDescent="0.45">
      <c r="D761" t="s">
        <v>1077</v>
      </c>
      <c r="E761" t="s">
        <v>53</v>
      </c>
      <c r="F761" t="s">
        <v>19</v>
      </c>
      <c r="G761" t="s">
        <v>20</v>
      </c>
      <c r="H761" t="s">
        <v>42</v>
      </c>
      <c r="I761">
        <v>8.4600000000000009</v>
      </c>
      <c r="J761">
        <v>13.14</v>
      </c>
      <c r="K761">
        <v>14.97</v>
      </c>
      <c r="L761">
        <v>9.1199999999999992</v>
      </c>
      <c r="M761" s="7">
        <v>0.94889999999999997</v>
      </c>
      <c r="N761">
        <v>60000</v>
      </c>
      <c r="O761" s="2">
        <v>46065</v>
      </c>
    </row>
    <row r="762" spans="4:15" x14ac:dyDescent="0.45">
      <c r="D762" t="s">
        <v>1078</v>
      </c>
      <c r="E762" t="s">
        <v>1030</v>
      </c>
      <c r="F762" t="s">
        <v>14</v>
      </c>
      <c r="G762" t="s">
        <v>32</v>
      </c>
      <c r="H762" t="s">
        <v>29</v>
      </c>
      <c r="I762">
        <v>15.57</v>
      </c>
      <c r="J762">
        <v>11.25</v>
      </c>
      <c r="K762">
        <v>13.49</v>
      </c>
      <c r="L762">
        <v>11.29</v>
      </c>
      <c r="M762" s="7">
        <v>0.99560000000000004</v>
      </c>
      <c r="N762">
        <v>60000</v>
      </c>
      <c r="O762" s="2">
        <v>46127</v>
      </c>
    </row>
    <row r="763" spans="4:15" x14ac:dyDescent="0.45">
      <c r="D763" t="s">
        <v>1079</v>
      </c>
      <c r="E763" t="s">
        <v>544</v>
      </c>
      <c r="F763" t="s">
        <v>19</v>
      </c>
      <c r="G763" t="s">
        <v>35</v>
      </c>
      <c r="H763" t="s">
        <v>42</v>
      </c>
      <c r="I763">
        <v>13.93</v>
      </c>
      <c r="J763">
        <v>18.28</v>
      </c>
      <c r="K763">
        <v>10.56</v>
      </c>
      <c r="L763">
        <v>14.78</v>
      </c>
      <c r="M763" s="7">
        <v>0.80189999999999995</v>
      </c>
      <c r="N763">
        <v>90000</v>
      </c>
      <c r="O763" s="2">
        <v>45787</v>
      </c>
    </row>
    <row r="764" spans="4:15" x14ac:dyDescent="0.45">
      <c r="D764" t="s">
        <v>1080</v>
      </c>
      <c r="E764" t="s">
        <v>338</v>
      </c>
      <c r="F764" t="s">
        <v>19</v>
      </c>
      <c r="G764" t="s">
        <v>28</v>
      </c>
      <c r="H764" t="s">
        <v>42</v>
      </c>
      <c r="I764">
        <v>12.23</v>
      </c>
      <c r="J764">
        <v>13.17</v>
      </c>
      <c r="K764">
        <v>10.76</v>
      </c>
      <c r="L764">
        <v>13.24</v>
      </c>
      <c r="M764" s="7">
        <v>0.83889999999999998</v>
      </c>
      <c r="N764">
        <v>75000</v>
      </c>
      <c r="O764" s="2">
        <v>45928</v>
      </c>
    </row>
    <row r="765" spans="4:15" x14ac:dyDescent="0.45">
      <c r="D765" t="s">
        <v>1081</v>
      </c>
      <c r="E765" t="s">
        <v>117</v>
      </c>
      <c r="F765" t="s">
        <v>19</v>
      </c>
      <c r="G765" t="s">
        <v>47</v>
      </c>
      <c r="H765" t="s">
        <v>42</v>
      </c>
      <c r="I765">
        <v>11.88</v>
      </c>
      <c r="J765">
        <v>11.72</v>
      </c>
      <c r="K765">
        <v>12.57</v>
      </c>
      <c r="L765">
        <v>9.0399999999999991</v>
      </c>
      <c r="M765" s="7">
        <v>0.92620000000000002</v>
      </c>
      <c r="N765">
        <v>110000</v>
      </c>
      <c r="O765" s="2">
        <v>45543</v>
      </c>
    </row>
    <row r="766" spans="4:15" x14ac:dyDescent="0.45">
      <c r="D766" t="s">
        <v>1082</v>
      </c>
      <c r="E766" t="s">
        <v>626</v>
      </c>
      <c r="F766" t="s">
        <v>14</v>
      </c>
      <c r="G766" t="s">
        <v>32</v>
      </c>
      <c r="H766" t="s">
        <v>21</v>
      </c>
      <c r="I766">
        <v>11.99</v>
      </c>
      <c r="J766">
        <v>11.63</v>
      </c>
      <c r="K766">
        <v>13.02</v>
      </c>
      <c r="L766">
        <v>11.67</v>
      </c>
      <c r="M766" s="7">
        <v>0.90510000000000002</v>
      </c>
      <c r="N766">
        <v>80000</v>
      </c>
      <c r="O766" s="2">
        <v>45750</v>
      </c>
    </row>
    <row r="767" spans="4:15" x14ac:dyDescent="0.45">
      <c r="D767" t="s">
        <v>1083</v>
      </c>
      <c r="E767" t="s">
        <v>755</v>
      </c>
      <c r="F767" t="s">
        <v>19</v>
      </c>
      <c r="G767" t="s">
        <v>20</v>
      </c>
      <c r="H767" t="s">
        <v>21</v>
      </c>
      <c r="I767">
        <v>11.34</v>
      </c>
      <c r="J767">
        <v>9.49</v>
      </c>
      <c r="K767">
        <v>9.31</v>
      </c>
      <c r="L767">
        <v>9.4600000000000009</v>
      </c>
      <c r="M767" s="7">
        <v>0.55000000000000004</v>
      </c>
      <c r="N767">
        <v>100000</v>
      </c>
      <c r="O767" s="2">
        <v>45952</v>
      </c>
    </row>
    <row r="768" spans="4:15" x14ac:dyDescent="0.45">
      <c r="D768" t="s">
        <v>1084</v>
      </c>
      <c r="E768" t="s">
        <v>943</v>
      </c>
      <c r="F768" t="s">
        <v>19</v>
      </c>
      <c r="G768" t="s">
        <v>35</v>
      </c>
      <c r="H768" t="s">
        <v>21</v>
      </c>
      <c r="I768">
        <v>6.64</v>
      </c>
      <c r="J768">
        <v>13.23</v>
      </c>
      <c r="K768">
        <v>11.47</v>
      </c>
      <c r="L768">
        <v>9.9</v>
      </c>
      <c r="M768" s="7">
        <v>0.80379999999999996</v>
      </c>
      <c r="N768">
        <v>50000</v>
      </c>
      <c r="O768" s="2">
        <v>45673</v>
      </c>
    </row>
    <row r="769" spans="4:15" x14ac:dyDescent="0.45">
      <c r="D769" t="s">
        <v>1085</v>
      </c>
      <c r="E769" t="s">
        <v>1044</v>
      </c>
      <c r="F769" t="s">
        <v>14</v>
      </c>
      <c r="G769" t="s">
        <v>35</v>
      </c>
      <c r="H769" t="s">
        <v>42</v>
      </c>
      <c r="I769">
        <v>8.75</v>
      </c>
      <c r="J769">
        <v>15.47</v>
      </c>
      <c r="K769">
        <v>9.86</v>
      </c>
      <c r="L769">
        <v>13.06</v>
      </c>
      <c r="M769" s="7">
        <v>0.85829999999999995</v>
      </c>
      <c r="N769">
        <v>75000</v>
      </c>
      <c r="O769" s="2">
        <v>46229</v>
      </c>
    </row>
    <row r="770" spans="4:15" x14ac:dyDescent="0.45">
      <c r="D770" t="s">
        <v>1086</v>
      </c>
      <c r="E770" t="s">
        <v>77</v>
      </c>
      <c r="F770" t="s">
        <v>14</v>
      </c>
      <c r="G770" t="s">
        <v>35</v>
      </c>
      <c r="H770" t="s">
        <v>42</v>
      </c>
      <c r="I770">
        <v>15.63</v>
      </c>
      <c r="J770">
        <v>17.78</v>
      </c>
      <c r="K770">
        <v>19.55</v>
      </c>
      <c r="L770">
        <v>16.53</v>
      </c>
      <c r="M770" s="7">
        <v>0.71250000000000002</v>
      </c>
      <c r="N770">
        <v>80000</v>
      </c>
      <c r="O770" s="2">
        <v>46215</v>
      </c>
    </row>
    <row r="771" spans="4:15" x14ac:dyDescent="0.45">
      <c r="D771" t="s">
        <v>1087</v>
      </c>
      <c r="E771" t="s">
        <v>1088</v>
      </c>
      <c r="F771" t="s">
        <v>14</v>
      </c>
      <c r="G771" t="s">
        <v>47</v>
      </c>
      <c r="H771" t="s">
        <v>29</v>
      </c>
      <c r="I771">
        <v>8.36</v>
      </c>
      <c r="J771">
        <v>8.1</v>
      </c>
      <c r="K771">
        <v>13.87</v>
      </c>
      <c r="L771">
        <v>7.84</v>
      </c>
      <c r="M771" s="7">
        <v>0.84809999999999997</v>
      </c>
      <c r="N771">
        <v>50000</v>
      </c>
      <c r="O771" s="2">
        <v>45716</v>
      </c>
    </row>
    <row r="772" spans="4:15" x14ac:dyDescent="0.45">
      <c r="D772" t="s">
        <v>1089</v>
      </c>
      <c r="E772" t="s">
        <v>140</v>
      </c>
      <c r="F772" t="s">
        <v>19</v>
      </c>
      <c r="G772" t="s">
        <v>20</v>
      </c>
      <c r="H772" t="s">
        <v>16</v>
      </c>
      <c r="I772">
        <v>15.4</v>
      </c>
      <c r="J772">
        <v>17.350000000000001</v>
      </c>
      <c r="K772">
        <v>12.62</v>
      </c>
      <c r="L772">
        <v>13.41</v>
      </c>
      <c r="M772" s="7">
        <v>0.74060000000000004</v>
      </c>
      <c r="N772">
        <v>80000</v>
      </c>
      <c r="O772" s="2">
        <v>45813</v>
      </c>
    </row>
    <row r="773" spans="4:15" x14ac:dyDescent="0.45">
      <c r="D773" t="s">
        <v>1090</v>
      </c>
      <c r="E773" t="s">
        <v>295</v>
      </c>
      <c r="F773" t="s">
        <v>19</v>
      </c>
      <c r="G773" t="s">
        <v>47</v>
      </c>
      <c r="H773" t="s">
        <v>29</v>
      </c>
      <c r="I773">
        <v>11.85</v>
      </c>
      <c r="J773">
        <v>10.83</v>
      </c>
      <c r="K773">
        <v>12.37</v>
      </c>
      <c r="L773">
        <v>10.07</v>
      </c>
      <c r="M773" s="7">
        <v>0.82869999999999999</v>
      </c>
      <c r="N773">
        <v>85000</v>
      </c>
      <c r="O773" s="2">
        <v>45668</v>
      </c>
    </row>
    <row r="774" spans="4:15" x14ac:dyDescent="0.45">
      <c r="D774" t="s">
        <v>1091</v>
      </c>
      <c r="E774" t="s">
        <v>1092</v>
      </c>
      <c r="F774" t="s">
        <v>14</v>
      </c>
      <c r="G774" t="s">
        <v>47</v>
      </c>
      <c r="H774" t="s">
        <v>21</v>
      </c>
      <c r="I774">
        <v>14.4</v>
      </c>
      <c r="J774">
        <v>13.62</v>
      </c>
      <c r="K774">
        <v>11.3</v>
      </c>
      <c r="L774">
        <v>11.21</v>
      </c>
      <c r="M774" s="7">
        <v>0.67949999999999999</v>
      </c>
      <c r="N774">
        <v>80000</v>
      </c>
      <c r="O774" s="2">
        <v>45888</v>
      </c>
    </row>
    <row r="775" spans="4:15" x14ac:dyDescent="0.45">
      <c r="D775" t="s">
        <v>1093</v>
      </c>
      <c r="E775" t="s">
        <v>814</v>
      </c>
      <c r="F775" t="s">
        <v>19</v>
      </c>
      <c r="G775" t="s">
        <v>20</v>
      </c>
      <c r="H775" t="s">
        <v>16</v>
      </c>
      <c r="I775">
        <v>10.78</v>
      </c>
      <c r="J775">
        <v>15.97</v>
      </c>
      <c r="K775">
        <v>13.98</v>
      </c>
      <c r="L775">
        <v>13.94</v>
      </c>
      <c r="M775" s="7">
        <v>0.5958</v>
      </c>
      <c r="N775">
        <v>85000</v>
      </c>
      <c r="O775" s="2">
        <v>45622</v>
      </c>
    </row>
    <row r="776" spans="4:15" x14ac:dyDescent="0.45">
      <c r="D776" t="s">
        <v>1094</v>
      </c>
      <c r="E776" t="s">
        <v>207</v>
      </c>
      <c r="F776" t="s">
        <v>19</v>
      </c>
      <c r="G776" t="s">
        <v>15</v>
      </c>
      <c r="H776" t="s">
        <v>42</v>
      </c>
      <c r="I776">
        <v>17.37</v>
      </c>
      <c r="J776">
        <v>19.489999999999998</v>
      </c>
      <c r="K776">
        <v>16.739999999999998</v>
      </c>
      <c r="L776">
        <v>19.34</v>
      </c>
      <c r="M776" s="7">
        <v>0.87680000000000002</v>
      </c>
      <c r="N776">
        <v>110000</v>
      </c>
      <c r="O776" s="2">
        <v>45809</v>
      </c>
    </row>
    <row r="777" spans="4:15" x14ac:dyDescent="0.45">
      <c r="D777" t="s">
        <v>1095</v>
      </c>
      <c r="E777" t="s">
        <v>847</v>
      </c>
      <c r="F777" t="s">
        <v>19</v>
      </c>
      <c r="G777" t="s">
        <v>28</v>
      </c>
      <c r="H777" t="s">
        <v>16</v>
      </c>
      <c r="I777">
        <v>15.71</v>
      </c>
      <c r="J777">
        <v>20</v>
      </c>
      <c r="K777">
        <v>12.73</v>
      </c>
      <c r="L777">
        <v>16.91</v>
      </c>
      <c r="M777" s="7">
        <v>0.84550000000000003</v>
      </c>
      <c r="N777">
        <v>110000</v>
      </c>
      <c r="O777" s="2">
        <v>45924</v>
      </c>
    </row>
    <row r="778" spans="4:15" x14ac:dyDescent="0.45">
      <c r="D778" t="s">
        <v>1096</v>
      </c>
      <c r="E778" t="s">
        <v>282</v>
      </c>
      <c r="F778" t="s">
        <v>14</v>
      </c>
      <c r="G778" t="s">
        <v>35</v>
      </c>
      <c r="H778" t="s">
        <v>29</v>
      </c>
      <c r="I778">
        <v>11.4</v>
      </c>
      <c r="J778">
        <v>10.77</v>
      </c>
      <c r="K778">
        <v>9.39</v>
      </c>
      <c r="L778">
        <v>8.39</v>
      </c>
      <c r="M778" s="7">
        <v>0.81420000000000003</v>
      </c>
      <c r="N778">
        <v>50000</v>
      </c>
      <c r="O778" s="2">
        <v>45964</v>
      </c>
    </row>
    <row r="779" spans="4:15" x14ac:dyDescent="0.45">
      <c r="D779" t="s">
        <v>1097</v>
      </c>
      <c r="E779" t="s">
        <v>334</v>
      </c>
      <c r="F779" t="s">
        <v>14</v>
      </c>
      <c r="G779" t="s">
        <v>47</v>
      </c>
      <c r="H779" t="s">
        <v>16</v>
      </c>
      <c r="I779">
        <v>15.17</v>
      </c>
      <c r="J779">
        <v>14.91</v>
      </c>
      <c r="K779">
        <v>14.55</v>
      </c>
      <c r="L779">
        <v>17.87</v>
      </c>
      <c r="M779" s="7">
        <v>0.76249999999999996</v>
      </c>
      <c r="N779">
        <v>100000</v>
      </c>
      <c r="O779" s="2">
        <v>45953</v>
      </c>
    </row>
    <row r="780" spans="4:15" x14ac:dyDescent="0.45">
      <c r="D780" t="s">
        <v>1098</v>
      </c>
      <c r="E780" t="s">
        <v>125</v>
      </c>
      <c r="F780" t="s">
        <v>14</v>
      </c>
      <c r="G780" t="s">
        <v>28</v>
      </c>
      <c r="H780" t="s">
        <v>42</v>
      </c>
      <c r="I780">
        <v>13.71</v>
      </c>
      <c r="J780">
        <v>10.39</v>
      </c>
      <c r="K780">
        <v>10.82</v>
      </c>
      <c r="L780">
        <v>10.15</v>
      </c>
      <c r="M780" s="7">
        <v>0.82840000000000003</v>
      </c>
      <c r="N780">
        <v>120000</v>
      </c>
      <c r="O780" s="2">
        <v>45690</v>
      </c>
    </row>
    <row r="781" spans="4:15" x14ac:dyDescent="0.45">
      <c r="D781" t="s">
        <v>1099</v>
      </c>
      <c r="E781" t="s">
        <v>1100</v>
      </c>
      <c r="F781" t="s">
        <v>19</v>
      </c>
      <c r="G781" t="s">
        <v>35</v>
      </c>
      <c r="H781" t="s">
        <v>21</v>
      </c>
      <c r="I781">
        <v>11.9</v>
      </c>
      <c r="J781">
        <v>8.2200000000000006</v>
      </c>
      <c r="K781">
        <v>14.17</v>
      </c>
      <c r="L781">
        <v>13.22</v>
      </c>
      <c r="M781" s="7">
        <v>0.80620000000000003</v>
      </c>
      <c r="N781">
        <v>120000</v>
      </c>
      <c r="O781" s="2">
        <v>46090</v>
      </c>
    </row>
    <row r="782" spans="4:15" x14ac:dyDescent="0.45">
      <c r="D782" t="s">
        <v>1101</v>
      </c>
      <c r="E782" t="s">
        <v>92</v>
      </c>
      <c r="F782" t="s">
        <v>19</v>
      </c>
      <c r="G782" t="s">
        <v>15</v>
      </c>
      <c r="H782" t="s">
        <v>21</v>
      </c>
      <c r="I782">
        <v>16.12</v>
      </c>
      <c r="J782">
        <v>14.17</v>
      </c>
      <c r="K782">
        <v>12.85</v>
      </c>
      <c r="L782">
        <v>13.15</v>
      </c>
      <c r="M782" s="7">
        <v>0.90510000000000002</v>
      </c>
      <c r="N782">
        <v>75000</v>
      </c>
      <c r="O782" s="2">
        <v>46020</v>
      </c>
    </row>
    <row r="783" spans="4:15" x14ac:dyDescent="0.45">
      <c r="D783" t="s">
        <v>1102</v>
      </c>
      <c r="E783" t="s">
        <v>661</v>
      </c>
      <c r="F783" t="s">
        <v>19</v>
      </c>
      <c r="G783" t="s">
        <v>28</v>
      </c>
      <c r="H783" t="s">
        <v>42</v>
      </c>
      <c r="I783">
        <v>11.05</v>
      </c>
      <c r="J783">
        <v>15.04</v>
      </c>
      <c r="K783">
        <v>16.14</v>
      </c>
      <c r="L783">
        <v>11.53</v>
      </c>
      <c r="M783" s="7">
        <v>0.69879999999999998</v>
      </c>
      <c r="N783">
        <v>110000</v>
      </c>
      <c r="O783" s="2">
        <v>46063</v>
      </c>
    </row>
    <row r="784" spans="4:15" x14ac:dyDescent="0.45">
      <c r="D784" t="s">
        <v>1103</v>
      </c>
      <c r="E784" t="s">
        <v>77</v>
      </c>
      <c r="F784" t="s">
        <v>14</v>
      </c>
      <c r="G784" t="s">
        <v>15</v>
      </c>
      <c r="H784" t="s">
        <v>16</v>
      </c>
      <c r="I784">
        <v>12.01</v>
      </c>
      <c r="J784">
        <v>17.72</v>
      </c>
      <c r="K784">
        <v>13.28</v>
      </c>
      <c r="L784">
        <v>10.57</v>
      </c>
      <c r="M784" s="7">
        <v>0.82950000000000002</v>
      </c>
      <c r="N784">
        <v>110000</v>
      </c>
      <c r="O784" s="2">
        <v>45863</v>
      </c>
    </row>
    <row r="785" spans="4:15" x14ac:dyDescent="0.45">
      <c r="D785" t="s">
        <v>1104</v>
      </c>
      <c r="E785" t="s">
        <v>731</v>
      </c>
      <c r="F785" t="s">
        <v>14</v>
      </c>
      <c r="G785" t="s">
        <v>35</v>
      </c>
      <c r="H785" t="s">
        <v>42</v>
      </c>
      <c r="I785">
        <v>11.92</v>
      </c>
      <c r="J785">
        <v>11.78</v>
      </c>
      <c r="K785">
        <v>15.09</v>
      </c>
      <c r="L785">
        <v>10.57</v>
      </c>
      <c r="M785" s="7">
        <v>0.80069999999999997</v>
      </c>
      <c r="N785">
        <v>80000</v>
      </c>
      <c r="O785" s="2">
        <v>46160</v>
      </c>
    </row>
    <row r="786" spans="4:15" x14ac:dyDescent="0.45">
      <c r="D786" t="s">
        <v>1105</v>
      </c>
      <c r="E786" t="s">
        <v>291</v>
      </c>
      <c r="F786" t="s">
        <v>14</v>
      </c>
      <c r="G786" t="s">
        <v>47</v>
      </c>
      <c r="H786" t="s">
        <v>16</v>
      </c>
      <c r="I786">
        <v>13.36</v>
      </c>
      <c r="J786">
        <v>9.98</v>
      </c>
      <c r="K786">
        <v>9.73</v>
      </c>
      <c r="L786">
        <v>11.87</v>
      </c>
      <c r="M786" s="7">
        <v>0.93810000000000004</v>
      </c>
      <c r="N786">
        <v>120000</v>
      </c>
      <c r="O786" s="2">
        <v>45808</v>
      </c>
    </row>
    <row r="787" spans="4:15" x14ac:dyDescent="0.45">
      <c r="D787" t="s">
        <v>1106</v>
      </c>
      <c r="E787" t="s">
        <v>503</v>
      </c>
      <c r="F787" t="s">
        <v>19</v>
      </c>
      <c r="G787" t="s">
        <v>35</v>
      </c>
      <c r="H787" t="s">
        <v>29</v>
      </c>
      <c r="I787">
        <v>12.93</v>
      </c>
      <c r="J787">
        <v>12.56</v>
      </c>
      <c r="K787">
        <v>11.86</v>
      </c>
      <c r="L787">
        <v>10.66</v>
      </c>
      <c r="M787" s="7">
        <v>0.91359999999999997</v>
      </c>
      <c r="N787">
        <v>90000</v>
      </c>
      <c r="O787" s="2">
        <v>46100</v>
      </c>
    </row>
    <row r="788" spans="4:15" x14ac:dyDescent="0.45">
      <c r="D788" t="s">
        <v>1107</v>
      </c>
      <c r="E788" t="s">
        <v>924</v>
      </c>
      <c r="F788" t="s">
        <v>14</v>
      </c>
      <c r="G788" t="s">
        <v>20</v>
      </c>
      <c r="H788" t="s">
        <v>42</v>
      </c>
      <c r="I788">
        <v>12.85</v>
      </c>
      <c r="J788">
        <v>14.54</v>
      </c>
      <c r="K788">
        <v>11.04</v>
      </c>
      <c r="L788">
        <v>15.68</v>
      </c>
      <c r="M788" s="7">
        <v>0.88260000000000005</v>
      </c>
      <c r="N788">
        <v>110000</v>
      </c>
      <c r="O788" s="2">
        <v>45678</v>
      </c>
    </row>
    <row r="789" spans="4:15" x14ac:dyDescent="0.45">
      <c r="D789" t="s">
        <v>1108</v>
      </c>
      <c r="E789" t="s">
        <v>338</v>
      </c>
      <c r="F789" t="s">
        <v>19</v>
      </c>
      <c r="G789" t="s">
        <v>20</v>
      </c>
      <c r="H789" t="s">
        <v>42</v>
      </c>
      <c r="I789">
        <v>15.81</v>
      </c>
      <c r="J789">
        <v>17.93</v>
      </c>
      <c r="K789">
        <v>16.02</v>
      </c>
      <c r="L789">
        <v>13.92</v>
      </c>
      <c r="M789" s="7">
        <v>0.81179999999999997</v>
      </c>
      <c r="N789">
        <v>110000</v>
      </c>
      <c r="O789" s="2">
        <v>45709</v>
      </c>
    </row>
    <row r="790" spans="4:15" x14ac:dyDescent="0.45">
      <c r="D790" t="s">
        <v>1109</v>
      </c>
      <c r="E790" t="s">
        <v>198</v>
      </c>
      <c r="F790" t="s">
        <v>19</v>
      </c>
      <c r="G790" t="s">
        <v>15</v>
      </c>
      <c r="H790" t="s">
        <v>16</v>
      </c>
      <c r="I790">
        <v>13.49</v>
      </c>
      <c r="J790">
        <v>16.03</v>
      </c>
      <c r="K790">
        <v>17.22</v>
      </c>
      <c r="L790">
        <v>13.92</v>
      </c>
      <c r="M790" s="7">
        <v>0.55000000000000004</v>
      </c>
      <c r="N790">
        <v>110000</v>
      </c>
      <c r="O790" s="2">
        <v>45904</v>
      </c>
    </row>
    <row r="791" spans="4:15" x14ac:dyDescent="0.45">
      <c r="D791" t="s">
        <v>1110</v>
      </c>
      <c r="E791" t="s">
        <v>88</v>
      </c>
      <c r="F791" t="s">
        <v>14</v>
      </c>
      <c r="G791" t="s">
        <v>28</v>
      </c>
      <c r="H791" t="s">
        <v>21</v>
      </c>
      <c r="I791">
        <v>19.5</v>
      </c>
      <c r="J791">
        <v>16.93</v>
      </c>
      <c r="K791">
        <v>20</v>
      </c>
      <c r="L791">
        <v>16.2</v>
      </c>
      <c r="M791" s="7">
        <v>0.85599999999999998</v>
      </c>
      <c r="N791">
        <v>130000</v>
      </c>
      <c r="O791" s="2">
        <v>45925</v>
      </c>
    </row>
    <row r="792" spans="4:15" x14ac:dyDescent="0.45">
      <c r="D792" t="s">
        <v>1111</v>
      </c>
      <c r="E792" t="s">
        <v>289</v>
      </c>
      <c r="F792" t="s">
        <v>14</v>
      </c>
      <c r="G792" t="s">
        <v>15</v>
      </c>
      <c r="H792" t="s">
        <v>29</v>
      </c>
      <c r="I792">
        <v>20</v>
      </c>
      <c r="J792">
        <v>20</v>
      </c>
      <c r="K792">
        <v>20</v>
      </c>
      <c r="L792">
        <v>18.510000000000002</v>
      </c>
      <c r="M792" s="7">
        <v>0.96150000000000002</v>
      </c>
      <c r="N792">
        <v>120000</v>
      </c>
      <c r="O792" s="2">
        <v>46058</v>
      </c>
    </row>
    <row r="793" spans="4:15" x14ac:dyDescent="0.45">
      <c r="D793" t="s">
        <v>1112</v>
      </c>
      <c r="E793" t="s">
        <v>1113</v>
      </c>
      <c r="F793" t="s">
        <v>14</v>
      </c>
      <c r="G793" t="s">
        <v>32</v>
      </c>
      <c r="H793" t="s">
        <v>21</v>
      </c>
      <c r="I793">
        <v>9.3800000000000008</v>
      </c>
      <c r="J793">
        <v>4.12</v>
      </c>
      <c r="K793">
        <v>9.92</v>
      </c>
      <c r="L793">
        <v>12.78</v>
      </c>
      <c r="M793" s="7">
        <v>0.71220000000000006</v>
      </c>
      <c r="N793">
        <v>80000</v>
      </c>
      <c r="O793" s="2">
        <v>45744</v>
      </c>
    </row>
    <row r="794" spans="4:15" x14ac:dyDescent="0.45">
      <c r="D794" t="s">
        <v>1114</v>
      </c>
      <c r="E794" t="s">
        <v>140</v>
      </c>
      <c r="F794" t="s">
        <v>19</v>
      </c>
      <c r="G794" t="s">
        <v>35</v>
      </c>
      <c r="H794" t="s">
        <v>42</v>
      </c>
      <c r="I794">
        <v>16.14</v>
      </c>
      <c r="J794">
        <v>14.94</v>
      </c>
      <c r="K794">
        <v>14.3</v>
      </c>
      <c r="L794">
        <v>16.850000000000001</v>
      </c>
      <c r="M794" s="7">
        <v>0.9073</v>
      </c>
      <c r="N794">
        <v>90000</v>
      </c>
      <c r="O794" s="2">
        <v>46146</v>
      </c>
    </row>
    <row r="795" spans="4:15" x14ac:dyDescent="0.45">
      <c r="D795" t="s">
        <v>1115</v>
      </c>
      <c r="E795" t="s">
        <v>49</v>
      </c>
      <c r="F795" t="s">
        <v>19</v>
      </c>
      <c r="G795" t="s">
        <v>28</v>
      </c>
      <c r="H795" t="s">
        <v>42</v>
      </c>
      <c r="I795">
        <v>8.26</v>
      </c>
      <c r="J795">
        <v>16.260000000000002</v>
      </c>
      <c r="K795">
        <v>8.69</v>
      </c>
      <c r="L795">
        <v>8.56</v>
      </c>
      <c r="M795" s="7">
        <v>0.74050000000000005</v>
      </c>
      <c r="N795">
        <v>100000</v>
      </c>
      <c r="O795" s="2">
        <v>45766</v>
      </c>
    </row>
    <row r="796" spans="4:15" x14ac:dyDescent="0.45">
      <c r="D796" t="s">
        <v>1116</v>
      </c>
      <c r="E796" t="s">
        <v>438</v>
      </c>
      <c r="F796" t="s">
        <v>14</v>
      </c>
      <c r="G796" t="s">
        <v>20</v>
      </c>
      <c r="H796" t="s">
        <v>42</v>
      </c>
      <c r="I796">
        <v>10.039999999999999</v>
      </c>
      <c r="J796">
        <v>8.4</v>
      </c>
      <c r="K796">
        <v>9.34</v>
      </c>
      <c r="L796">
        <v>9.6300000000000008</v>
      </c>
      <c r="M796" s="7">
        <v>0.67169999999999996</v>
      </c>
      <c r="N796">
        <v>120000</v>
      </c>
      <c r="O796" s="2">
        <v>45909</v>
      </c>
    </row>
    <row r="797" spans="4:15" x14ac:dyDescent="0.45">
      <c r="D797" t="s">
        <v>1117</v>
      </c>
      <c r="E797" t="s">
        <v>425</v>
      </c>
      <c r="F797" t="s">
        <v>14</v>
      </c>
      <c r="G797" t="s">
        <v>47</v>
      </c>
      <c r="H797" t="s">
        <v>21</v>
      </c>
      <c r="I797">
        <v>15.34</v>
      </c>
      <c r="J797">
        <v>11.6</v>
      </c>
      <c r="K797">
        <v>9.41</v>
      </c>
      <c r="L797">
        <v>9.09</v>
      </c>
      <c r="M797" s="7">
        <v>0.92059999999999997</v>
      </c>
      <c r="N797">
        <v>80000</v>
      </c>
      <c r="O797" s="2">
        <v>46188</v>
      </c>
    </row>
    <row r="798" spans="4:15" x14ac:dyDescent="0.45">
      <c r="D798" t="s">
        <v>1118</v>
      </c>
      <c r="E798" t="s">
        <v>398</v>
      </c>
      <c r="F798" t="s">
        <v>19</v>
      </c>
      <c r="G798" t="s">
        <v>20</v>
      </c>
      <c r="H798" t="s">
        <v>16</v>
      </c>
      <c r="I798">
        <v>12.45</v>
      </c>
      <c r="J798">
        <v>10.92</v>
      </c>
      <c r="K798">
        <v>9.7799999999999994</v>
      </c>
      <c r="L798">
        <v>13.31</v>
      </c>
      <c r="M798" s="7">
        <v>0.96179999999999999</v>
      </c>
      <c r="N798">
        <v>75000</v>
      </c>
      <c r="O798" s="2">
        <v>45913</v>
      </c>
    </row>
    <row r="799" spans="4:15" x14ac:dyDescent="0.45">
      <c r="D799" t="s">
        <v>1119</v>
      </c>
      <c r="E799" t="s">
        <v>27</v>
      </c>
      <c r="F799" t="s">
        <v>14</v>
      </c>
      <c r="G799" t="s">
        <v>28</v>
      </c>
      <c r="H799" t="s">
        <v>42</v>
      </c>
      <c r="I799">
        <v>9.77</v>
      </c>
      <c r="J799">
        <v>9.94</v>
      </c>
      <c r="K799">
        <v>11.3</v>
      </c>
      <c r="L799">
        <v>12.92</v>
      </c>
      <c r="M799" s="7">
        <v>0.80249999999999999</v>
      </c>
      <c r="N799">
        <v>110000</v>
      </c>
      <c r="O799" s="2">
        <v>46013</v>
      </c>
    </row>
    <row r="800" spans="4:15" x14ac:dyDescent="0.45">
      <c r="D800" t="s">
        <v>1120</v>
      </c>
      <c r="E800" t="s">
        <v>859</v>
      </c>
      <c r="F800" t="s">
        <v>14</v>
      </c>
      <c r="G800" t="s">
        <v>35</v>
      </c>
      <c r="H800" t="s">
        <v>16</v>
      </c>
      <c r="I800">
        <v>13.73</v>
      </c>
      <c r="J800">
        <v>15.78</v>
      </c>
      <c r="K800">
        <v>9.09</v>
      </c>
      <c r="L800">
        <v>12.76</v>
      </c>
      <c r="M800" s="7">
        <v>0.74519999999999997</v>
      </c>
      <c r="N800">
        <v>130000</v>
      </c>
      <c r="O800" s="2">
        <v>46172</v>
      </c>
    </row>
    <row r="801" spans="4:15" x14ac:dyDescent="0.45">
      <c r="D801" t="s">
        <v>1121</v>
      </c>
      <c r="E801" t="s">
        <v>41</v>
      </c>
      <c r="F801" t="s">
        <v>14</v>
      </c>
      <c r="G801" t="s">
        <v>47</v>
      </c>
      <c r="H801" t="s">
        <v>29</v>
      </c>
      <c r="I801">
        <v>10.43</v>
      </c>
      <c r="J801">
        <v>11.53</v>
      </c>
      <c r="K801">
        <v>10.19</v>
      </c>
      <c r="L801">
        <v>6.92</v>
      </c>
      <c r="M801" s="7">
        <v>0.90649999999999997</v>
      </c>
      <c r="N801">
        <v>130000</v>
      </c>
      <c r="O801" s="2">
        <v>46218</v>
      </c>
    </row>
    <row r="802" spans="4:15" x14ac:dyDescent="0.45">
      <c r="D802" t="s">
        <v>1122</v>
      </c>
      <c r="E802" t="s">
        <v>558</v>
      </c>
      <c r="F802" t="s">
        <v>14</v>
      </c>
      <c r="G802" t="s">
        <v>28</v>
      </c>
      <c r="H802" t="s">
        <v>21</v>
      </c>
      <c r="I802">
        <v>9.82</v>
      </c>
      <c r="J802">
        <v>16.59</v>
      </c>
      <c r="K802">
        <v>19.39</v>
      </c>
      <c r="L802">
        <v>12.88</v>
      </c>
      <c r="M802" s="7">
        <v>0.9163</v>
      </c>
      <c r="N802">
        <v>60000</v>
      </c>
      <c r="O802" s="2">
        <v>45885</v>
      </c>
    </row>
    <row r="803" spans="4:15" x14ac:dyDescent="0.45">
      <c r="D803" t="s">
        <v>1123</v>
      </c>
      <c r="E803" t="s">
        <v>245</v>
      </c>
      <c r="F803" t="s">
        <v>14</v>
      </c>
      <c r="G803" t="s">
        <v>28</v>
      </c>
      <c r="H803" t="s">
        <v>21</v>
      </c>
      <c r="I803">
        <v>8.94</v>
      </c>
      <c r="J803">
        <v>13.08</v>
      </c>
      <c r="K803">
        <v>13.6</v>
      </c>
      <c r="L803">
        <v>11.21</v>
      </c>
      <c r="M803" s="7">
        <v>0.92020000000000002</v>
      </c>
      <c r="N803">
        <v>130000</v>
      </c>
      <c r="O803" s="2">
        <v>45827</v>
      </c>
    </row>
    <row r="804" spans="4:15" x14ac:dyDescent="0.45">
      <c r="D804" t="s">
        <v>1124</v>
      </c>
      <c r="E804" t="s">
        <v>1125</v>
      </c>
      <c r="F804" t="s">
        <v>19</v>
      </c>
      <c r="G804" t="s">
        <v>28</v>
      </c>
      <c r="H804" t="s">
        <v>29</v>
      </c>
      <c r="I804">
        <v>20</v>
      </c>
      <c r="J804">
        <v>20</v>
      </c>
      <c r="K804">
        <v>20</v>
      </c>
      <c r="L804">
        <v>20</v>
      </c>
      <c r="M804" s="7">
        <v>0.87329999999999997</v>
      </c>
      <c r="N804">
        <v>110000</v>
      </c>
      <c r="O804" s="2">
        <v>45673</v>
      </c>
    </row>
    <row r="805" spans="4:15" x14ac:dyDescent="0.45">
      <c r="D805" t="s">
        <v>1126</v>
      </c>
      <c r="E805" t="s">
        <v>797</v>
      </c>
      <c r="F805" t="s">
        <v>19</v>
      </c>
      <c r="G805" t="s">
        <v>47</v>
      </c>
      <c r="H805" t="s">
        <v>29</v>
      </c>
      <c r="I805">
        <v>11.45</v>
      </c>
      <c r="J805">
        <v>19.63</v>
      </c>
      <c r="K805">
        <v>9.36</v>
      </c>
      <c r="L805">
        <v>7.59</v>
      </c>
      <c r="M805" s="7">
        <v>0.94850000000000001</v>
      </c>
      <c r="N805">
        <v>60000</v>
      </c>
      <c r="O805" s="2">
        <v>45912</v>
      </c>
    </row>
    <row r="806" spans="4:15" x14ac:dyDescent="0.45">
      <c r="D806" t="s">
        <v>1127</v>
      </c>
      <c r="E806" t="s">
        <v>237</v>
      </c>
      <c r="F806" t="s">
        <v>19</v>
      </c>
      <c r="G806" t="s">
        <v>15</v>
      </c>
      <c r="H806" t="s">
        <v>42</v>
      </c>
      <c r="I806">
        <v>14.25</v>
      </c>
      <c r="J806">
        <v>14.43</v>
      </c>
      <c r="K806">
        <v>14.91</v>
      </c>
      <c r="L806">
        <v>12.89</v>
      </c>
      <c r="M806" s="7">
        <v>0.89100000000000001</v>
      </c>
      <c r="N806">
        <v>50000</v>
      </c>
      <c r="O806" s="2">
        <v>46178</v>
      </c>
    </row>
    <row r="807" spans="4:15" x14ac:dyDescent="0.45">
      <c r="D807" t="s">
        <v>1128</v>
      </c>
      <c r="E807" t="s">
        <v>427</v>
      </c>
      <c r="F807" t="s">
        <v>19</v>
      </c>
      <c r="G807" t="s">
        <v>32</v>
      </c>
      <c r="H807" t="s">
        <v>29</v>
      </c>
      <c r="I807">
        <v>12.36</v>
      </c>
      <c r="J807">
        <v>10.7</v>
      </c>
      <c r="K807">
        <v>4.97</v>
      </c>
      <c r="L807">
        <v>13.33</v>
      </c>
      <c r="M807" s="7">
        <v>0.84650000000000003</v>
      </c>
      <c r="N807">
        <v>70000</v>
      </c>
      <c r="O807" s="2">
        <v>45876</v>
      </c>
    </row>
    <row r="808" spans="4:15" x14ac:dyDescent="0.45">
      <c r="D808" t="s">
        <v>1129</v>
      </c>
      <c r="E808" t="s">
        <v>669</v>
      </c>
      <c r="F808" t="s">
        <v>19</v>
      </c>
      <c r="G808" t="s">
        <v>28</v>
      </c>
      <c r="H808" t="s">
        <v>16</v>
      </c>
      <c r="I808">
        <v>17.57</v>
      </c>
      <c r="J808">
        <v>14.91</v>
      </c>
      <c r="K808">
        <v>20</v>
      </c>
      <c r="L808">
        <v>17.7</v>
      </c>
      <c r="M808" s="7">
        <v>0.94710000000000005</v>
      </c>
      <c r="N808">
        <v>130000</v>
      </c>
      <c r="O808" s="2">
        <v>45779</v>
      </c>
    </row>
    <row r="809" spans="4:15" x14ac:dyDescent="0.45">
      <c r="D809" t="s">
        <v>1130</v>
      </c>
      <c r="E809" t="s">
        <v>59</v>
      </c>
      <c r="F809" t="s">
        <v>14</v>
      </c>
      <c r="G809" t="s">
        <v>32</v>
      </c>
      <c r="H809" t="s">
        <v>29</v>
      </c>
      <c r="I809">
        <v>14.31</v>
      </c>
      <c r="J809">
        <v>15.84</v>
      </c>
      <c r="K809">
        <v>16.36</v>
      </c>
      <c r="L809">
        <v>19.809999999999999</v>
      </c>
      <c r="M809" s="7">
        <v>0.92200000000000004</v>
      </c>
      <c r="N809">
        <v>110000</v>
      </c>
      <c r="O809" s="2">
        <v>45611</v>
      </c>
    </row>
    <row r="810" spans="4:15" x14ac:dyDescent="0.45">
      <c r="D810" t="s">
        <v>1131</v>
      </c>
      <c r="E810" t="s">
        <v>468</v>
      </c>
      <c r="F810" t="s">
        <v>14</v>
      </c>
      <c r="G810" t="s">
        <v>15</v>
      </c>
      <c r="H810" t="s">
        <v>29</v>
      </c>
      <c r="I810">
        <v>15.05</v>
      </c>
      <c r="J810">
        <v>17.260000000000002</v>
      </c>
      <c r="K810">
        <v>18.559999999999999</v>
      </c>
      <c r="L810">
        <v>15.66</v>
      </c>
      <c r="M810" s="7">
        <v>0.95009999999999994</v>
      </c>
      <c r="N810">
        <v>90000</v>
      </c>
      <c r="O810" s="2">
        <v>45808</v>
      </c>
    </row>
    <row r="811" spans="4:15" x14ac:dyDescent="0.45">
      <c r="D811" t="s">
        <v>1132</v>
      </c>
      <c r="E811" t="s">
        <v>31</v>
      </c>
      <c r="F811" t="s">
        <v>19</v>
      </c>
      <c r="G811" t="s">
        <v>28</v>
      </c>
      <c r="H811" t="s">
        <v>42</v>
      </c>
      <c r="I811">
        <v>9.01</v>
      </c>
      <c r="J811">
        <v>7.19</v>
      </c>
      <c r="K811">
        <v>6.13</v>
      </c>
      <c r="L811">
        <v>7.24</v>
      </c>
      <c r="M811" s="7">
        <v>0.74590000000000001</v>
      </c>
      <c r="N811">
        <v>90000</v>
      </c>
      <c r="O811" s="2">
        <v>45701</v>
      </c>
    </row>
    <row r="812" spans="4:15" x14ac:dyDescent="0.45">
      <c r="D812" t="s">
        <v>1133</v>
      </c>
      <c r="E812" t="s">
        <v>382</v>
      </c>
      <c r="F812" t="s">
        <v>14</v>
      </c>
      <c r="G812" t="s">
        <v>47</v>
      </c>
      <c r="H812" t="s">
        <v>21</v>
      </c>
      <c r="I812">
        <v>13.75</v>
      </c>
      <c r="J812">
        <v>9.74</v>
      </c>
      <c r="K812">
        <v>16.309999999999999</v>
      </c>
      <c r="L812">
        <v>13.35</v>
      </c>
      <c r="M812" s="7">
        <v>0.85399999999999998</v>
      </c>
      <c r="N812">
        <v>80000</v>
      </c>
      <c r="O812" s="2">
        <v>46219</v>
      </c>
    </row>
    <row r="813" spans="4:15" x14ac:dyDescent="0.45">
      <c r="D813" t="s">
        <v>1134</v>
      </c>
      <c r="E813" t="s">
        <v>266</v>
      </c>
      <c r="F813" t="s">
        <v>19</v>
      </c>
      <c r="G813" t="s">
        <v>20</v>
      </c>
      <c r="H813" t="s">
        <v>42</v>
      </c>
      <c r="I813">
        <v>9.7200000000000006</v>
      </c>
      <c r="J813">
        <v>10.83</v>
      </c>
      <c r="K813">
        <v>10.34</v>
      </c>
      <c r="L813">
        <v>9.98</v>
      </c>
      <c r="M813" s="7">
        <v>0.7349</v>
      </c>
      <c r="N813">
        <v>120000</v>
      </c>
      <c r="O813" s="2">
        <v>45905</v>
      </c>
    </row>
    <row r="814" spans="4:15" x14ac:dyDescent="0.45">
      <c r="D814" t="s">
        <v>1135</v>
      </c>
      <c r="E814" t="s">
        <v>1100</v>
      </c>
      <c r="F814" t="s">
        <v>19</v>
      </c>
      <c r="G814" t="s">
        <v>20</v>
      </c>
      <c r="H814" t="s">
        <v>29</v>
      </c>
      <c r="I814">
        <v>20</v>
      </c>
      <c r="J814">
        <v>20</v>
      </c>
      <c r="K814">
        <v>17.07</v>
      </c>
      <c r="L814">
        <v>15.4</v>
      </c>
      <c r="M814" s="7">
        <v>0.91690000000000005</v>
      </c>
      <c r="N814">
        <v>60000</v>
      </c>
      <c r="O814" s="2">
        <v>45631</v>
      </c>
    </row>
    <row r="815" spans="4:15" x14ac:dyDescent="0.45">
      <c r="D815" t="s">
        <v>1136</v>
      </c>
      <c r="E815" t="s">
        <v>84</v>
      </c>
      <c r="F815" t="s">
        <v>14</v>
      </c>
      <c r="G815" t="s">
        <v>47</v>
      </c>
      <c r="H815" t="s">
        <v>42</v>
      </c>
      <c r="I815">
        <v>10.84</v>
      </c>
      <c r="J815">
        <v>16.260000000000002</v>
      </c>
      <c r="K815">
        <v>12.95</v>
      </c>
      <c r="L815">
        <v>13.53</v>
      </c>
      <c r="M815" s="7">
        <v>0.88139999999999996</v>
      </c>
      <c r="N815">
        <v>75000</v>
      </c>
      <c r="O815" s="2">
        <v>45583</v>
      </c>
    </row>
    <row r="816" spans="4:15" x14ac:dyDescent="0.45">
      <c r="D816" t="s">
        <v>1137</v>
      </c>
      <c r="E816" t="s">
        <v>73</v>
      </c>
      <c r="F816" t="s">
        <v>19</v>
      </c>
      <c r="G816" t="s">
        <v>47</v>
      </c>
      <c r="H816" t="s">
        <v>21</v>
      </c>
      <c r="I816">
        <v>12.91</v>
      </c>
      <c r="J816">
        <v>13.43</v>
      </c>
      <c r="K816">
        <v>15.28</v>
      </c>
      <c r="L816">
        <v>16.98</v>
      </c>
      <c r="M816" s="7">
        <v>0.92849999999999999</v>
      </c>
      <c r="N816">
        <v>70000</v>
      </c>
      <c r="O816" s="2">
        <v>46131</v>
      </c>
    </row>
    <row r="817" spans="4:15" x14ac:dyDescent="0.45">
      <c r="D817" t="s">
        <v>1138</v>
      </c>
      <c r="E817" t="s">
        <v>409</v>
      </c>
      <c r="F817" t="s">
        <v>19</v>
      </c>
      <c r="G817" t="s">
        <v>35</v>
      </c>
      <c r="H817" t="s">
        <v>29</v>
      </c>
      <c r="I817">
        <v>6.67</v>
      </c>
      <c r="J817">
        <v>2.99</v>
      </c>
      <c r="K817">
        <v>8.3699999999999992</v>
      </c>
      <c r="L817">
        <v>4.43</v>
      </c>
      <c r="M817" s="7">
        <v>0.80820000000000003</v>
      </c>
      <c r="N817">
        <v>120000</v>
      </c>
      <c r="O817" s="2">
        <v>46188</v>
      </c>
    </row>
    <row r="818" spans="4:15" x14ac:dyDescent="0.45">
      <c r="D818" t="s">
        <v>1139</v>
      </c>
      <c r="E818" t="s">
        <v>569</v>
      </c>
      <c r="F818" t="s">
        <v>14</v>
      </c>
      <c r="G818" t="s">
        <v>32</v>
      </c>
      <c r="H818" t="s">
        <v>29</v>
      </c>
      <c r="I818">
        <v>9.0299999999999994</v>
      </c>
      <c r="J818">
        <v>12.14</v>
      </c>
      <c r="K818">
        <v>14.87</v>
      </c>
      <c r="L818">
        <v>13.02</v>
      </c>
      <c r="M818" s="7">
        <v>0.82210000000000005</v>
      </c>
      <c r="N818">
        <v>85000</v>
      </c>
      <c r="O818" s="2">
        <v>46070</v>
      </c>
    </row>
    <row r="819" spans="4:15" x14ac:dyDescent="0.45">
      <c r="D819" t="s">
        <v>1140</v>
      </c>
      <c r="E819" t="s">
        <v>1141</v>
      </c>
      <c r="F819" t="s">
        <v>14</v>
      </c>
      <c r="G819" t="s">
        <v>35</v>
      </c>
      <c r="H819" t="s">
        <v>16</v>
      </c>
      <c r="I819">
        <v>17.41</v>
      </c>
      <c r="J819">
        <v>17.28</v>
      </c>
      <c r="K819">
        <v>17.84</v>
      </c>
      <c r="L819">
        <v>14.37</v>
      </c>
      <c r="M819" s="7">
        <v>0.86709999999999998</v>
      </c>
      <c r="N819">
        <v>100000</v>
      </c>
      <c r="O819" s="2">
        <v>45622</v>
      </c>
    </row>
    <row r="820" spans="4:15" x14ac:dyDescent="0.45">
      <c r="D820" t="s">
        <v>1142</v>
      </c>
      <c r="E820" t="s">
        <v>714</v>
      </c>
      <c r="F820" t="s">
        <v>19</v>
      </c>
      <c r="G820" t="s">
        <v>15</v>
      </c>
      <c r="H820" t="s">
        <v>21</v>
      </c>
      <c r="I820">
        <v>18.690000000000001</v>
      </c>
      <c r="J820">
        <v>13.38</v>
      </c>
      <c r="K820">
        <v>15.79</v>
      </c>
      <c r="L820">
        <v>16.739999999999998</v>
      </c>
      <c r="M820" s="7">
        <v>0.95279999999999998</v>
      </c>
      <c r="N820">
        <v>130000</v>
      </c>
      <c r="O820" s="2">
        <v>45604</v>
      </c>
    </row>
    <row r="821" spans="4:15" x14ac:dyDescent="0.45">
      <c r="D821" t="s">
        <v>1143</v>
      </c>
      <c r="E821" t="s">
        <v>44</v>
      </c>
      <c r="F821" t="s">
        <v>19</v>
      </c>
      <c r="G821" t="s">
        <v>15</v>
      </c>
      <c r="H821" t="s">
        <v>21</v>
      </c>
      <c r="I821">
        <v>16.5</v>
      </c>
      <c r="J821">
        <v>19.5</v>
      </c>
      <c r="K821">
        <v>14.6</v>
      </c>
      <c r="L821">
        <v>17.739999999999998</v>
      </c>
      <c r="M821" s="7">
        <v>0.95979999999999999</v>
      </c>
      <c r="N821">
        <v>70000</v>
      </c>
      <c r="O821" s="2">
        <v>45674</v>
      </c>
    </row>
    <row r="822" spans="4:15" x14ac:dyDescent="0.45">
      <c r="D822" t="s">
        <v>1144</v>
      </c>
      <c r="E822" t="s">
        <v>1092</v>
      </c>
      <c r="F822" t="s">
        <v>14</v>
      </c>
      <c r="G822" t="s">
        <v>32</v>
      </c>
      <c r="H822" t="s">
        <v>16</v>
      </c>
      <c r="I822">
        <v>8.4499999999999993</v>
      </c>
      <c r="J822">
        <v>11.13</v>
      </c>
      <c r="K822">
        <v>6.23</v>
      </c>
      <c r="L822">
        <v>7.63</v>
      </c>
      <c r="M822" s="7">
        <v>0.84289999999999998</v>
      </c>
      <c r="N822">
        <v>130000</v>
      </c>
      <c r="O822" s="2">
        <v>46061</v>
      </c>
    </row>
    <row r="823" spans="4:15" x14ac:dyDescent="0.45">
      <c r="D823" t="s">
        <v>1145</v>
      </c>
      <c r="E823" t="s">
        <v>645</v>
      </c>
      <c r="F823" t="s">
        <v>19</v>
      </c>
      <c r="G823" t="s">
        <v>28</v>
      </c>
      <c r="H823" t="s">
        <v>29</v>
      </c>
      <c r="I823">
        <v>14.1</v>
      </c>
      <c r="J823">
        <v>17.239999999999998</v>
      </c>
      <c r="K823">
        <v>17.79</v>
      </c>
      <c r="L823">
        <v>15.49</v>
      </c>
      <c r="M823" s="7">
        <v>0.96679999999999999</v>
      </c>
      <c r="N823">
        <v>60000</v>
      </c>
      <c r="O823" s="2">
        <v>46071</v>
      </c>
    </row>
    <row r="824" spans="4:15" x14ac:dyDescent="0.45">
      <c r="D824" t="s">
        <v>1146</v>
      </c>
      <c r="E824" t="s">
        <v>282</v>
      </c>
      <c r="F824" t="s">
        <v>14</v>
      </c>
      <c r="G824" t="s">
        <v>47</v>
      </c>
      <c r="H824" t="s">
        <v>29</v>
      </c>
      <c r="I824">
        <v>16.11</v>
      </c>
      <c r="J824">
        <v>18.03</v>
      </c>
      <c r="K824">
        <v>14.83</v>
      </c>
      <c r="L824">
        <v>11.74</v>
      </c>
      <c r="M824" s="7">
        <v>0.95730000000000004</v>
      </c>
      <c r="N824">
        <v>110000</v>
      </c>
      <c r="O824" s="2">
        <v>46122</v>
      </c>
    </row>
    <row r="825" spans="4:15" x14ac:dyDescent="0.45">
      <c r="D825" t="s">
        <v>1147</v>
      </c>
      <c r="E825" t="s">
        <v>71</v>
      </c>
      <c r="F825" t="s">
        <v>19</v>
      </c>
      <c r="G825" t="s">
        <v>15</v>
      </c>
      <c r="H825" t="s">
        <v>21</v>
      </c>
      <c r="I825">
        <v>8.68</v>
      </c>
      <c r="J825">
        <v>10.69</v>
      </c>
      <c r="K825">
        <v>12.31</v>
      </c>
      <c r="L825">
        <v>9.7200000000000006</v>
      </c>
      <c r="M825" s="7">
        <v>0.94520000000000004</v>
      </c>
      <c r="N825">
        <v>100000</v>
      </c>
      <c r="O825" s="2">
        <v>45603</v>
      </c>
    </row>
    <row r="826" spans="4:15" x14ac:dyDescent="0.45">
      <c r="D826" t="s">
        <v>1148</v>
      </c>
      <c r="E826" t="s">
        <v>207</v>
      </c>
      <c r="F826" t="s">
        <v>19</v>
      </c>
      <c r="G826" t="s">
        <v>15</v>
      </c>
      <c r="H826" t="s">
        <v>16</v>
      </c>
      <c r="I826">
        <v>13.06</v>
      </c>
      <c r="J826">
        <v>15.02</v>
      </c>
      <c r="K826">
        <v>14.83</v>
      </c>
      <c r="L826">
        <v>7.95</v>
      </c>
      <c r="M826" s="7">
        <v>0.88039999999999996</v>
      </c>
      <c r="N826">
        <v>120000</v>
      </c>
      <c r="O826" s="2">
        <v>45643</v>
      </c>
    </row>
    <row r="827" spans="4:15" x14ac:dyDescent="0.45">
      <c r="D827" t="s">
        <v>1149</v>
      </c>
      <c r="E827" t="s">
        <v>129</v>
      </c>
      <c r="F827" t="s">
        <v>14</v>
      </c>
      <c r="G827" t="s">
        <v>47</v>
      </c>
      <c r="H827" t="s">
        <v>16</v>
      </c>
      <c r="I827">
        <v>14.82</v>
      </c>
      <c r="J827">
        <v>16.579999999999998</v>
      </c>
      <c r="K827">
        <v>15.19</v>
      </c>
      <c r="L827">
        <v>13.67</v>
      </c>
      <c r="M827" s="7">
        <v>0.93130000000000002</v>
      </c>
      <c r="N827">
        <v>60000</v>
      </c>
      <c r="O827" s="2">
        <v>46166</v>
      </c>
    </row>
    <row r="828" spans="4:15" x14ac:dyDescent="0.45">
      <c r="D828" t="s">
        <v>1150</v>
      </c>
      <c r="E828" t="s">
        <v>406</v>
      </c>
      <c r="F828" t="s">
        <v>19</v>
      </c>
      <c r="G828" t="s">
        <v>15</v>
      </c>
      <c r="H828" t="s">
        <v>29</v>
      </c>
      <c r="I828">
        <v>14.31</v>
      </c>
      <c r="J828">
        <v>9.06</v>
      </c>
      <c r="K828">
        <v>12.18</v>
      </c>
      <c r="L828">
        <v>14.44</v>
      </c>
      <c r="M828" s="7">
        <v>0.73350000000000004</v>
      </c>
      <c r="N828">
        <v>130000</v>
      </c>
      <c r="O828" s="2">
        <v>46186</v>
      </c>
    </row>
    <row r="829" spans="4:15" x14ac:dyDescent="0.45">
      <c r="D829" t="s">
        <v>1151</v>
      </c>
      <c r="E829" t="s">
        <v>398</v>
      </c>
      <c r="F829" t="s">
        <v>19</v>
      </c>
      <c r="G829" t="s">
        <v>28</v>
      </c>
      <c r="H829" t="s">
        <v>42</v>
      </c>
      <c r="I829">
        <v>5.61</v>
      </c>
      <c r="J829">
        <v>5.41</v>
      </c>
      <c r="K829">
        <v>9.9700000000000006</v>
      </c>
      <c r="L829">
        <v>9.58</v>
      </c>
      <c r="M829" s="7">
        <v>0.97170000000000001</v>
      </c>
      <c r="N829">
        <v>110000</v>
      </c>
      <c r="O829" s="2">
        <v>46043</v>
      </c>
    </row>
    <row r="830" spans="4:15" x14ac:dyDescent="0.45">
      <c r="D830" t="s">
        <v>1152</v>
      </c>
      <c r="E830" t="s">
        <v>691</v>
      </c>
      <c r="F830" t="s">
        <v>19</v>
      </c>
      <c r="G830" t="s">
        <v>20</v>
      </c>
      <c r="H830" t="s">
        <v>16</v>
      </c>
      <c r="I830">
        <v>10.28</v>
      </c>
      <c r="J830">
        <v>11.37</v>
      </c>
      <c r="K830">
        <v>12.75</v>
      </c>
      <c r="L830">
        <v>9.6300000000000008</v>
      </c>
      <c r="M830" s="7">
        <v>0.81640000000000001</v>
      </c>
      <c r="N830">
        <v>60000</v>
      </c>
      <c r="O830" s="2">
        <v>45610</v>
      </c>
    </row>
    <row r="831" spans="4:15" x14ac:dyDescent="0.45">
      <c r="D831" t="s">
        <v>1153</v>
      </c>
      <c r="E831" t="s">
        <v>180</v>
      </c>
      <c r="F831" t="s">
        <v>14</v>
      </c>
      <c r="G831" t="s">
        <v>47</v>
      </c>
      <c r="H831" t="s">
        <v>42</v>
      </c>
      <c r="I831">
        <v>8.74</v>
      </c>
      <c r="J831">
        <v>12.7</v>
      </c>
      <c r="K831">
        <v>11.97</v>
      </c>
      <c r="L831">
        <v>9.91</v>
      </c>
      <c r="M831" s="7">
        <v>0.98939999999999995</v>
      </c>
      <c r="N831">
        <v>90000</v>
      </c>
      <c r="O831" s="2">
        <v>45584</v>
      </c>
    </row>
    <row r="832" spans="4:15" x14ac:dyDescent="0.45">
      <c r="D832" t="s">
        <v>1154</v>
      </c>
      <c r="E832" t="s">
        <v>125</v>
      </c>
      <c r="F832" t="s">
        <v>14</v>
      </c>
      <c r="G832" t="s">
        <v>35</v>
      </c>
      <c r="H832" t="s">
        <v>42</v>
      </c>
      <c r="I832">
        <v>14.99</v>
      </c>
      <c r="J832">
        <v>14.34</v>
      </c>
      <c r="K832">
        <v>14.82</v>
      </c>
      <c r="L832">
        <v>11.47</v>
      </c>
      <c r="M832" s="7">
        <v>0.87290000000000001</v>
      </c>
      <c r="N832">
        <v>110000</v>
      </c>
      <c r="O832" s="2">
        <v>45574</v>
      </c>
    </row>
    <row r="833" spans="4:15" x14ac:dyDescent="0.45">
      <c r="D833" t="s">
        <v>1155</v>
      </c>
      <c r="E833" t="s">
        <v>404</v>
      </c>
      <c r="F833" t="s">
        <v>14</v>
      </c>
      <c r="G833" t="s">
        <v>35</v>
      </c>
      <c r="H833" t="s">
        <v>21</v>
      </c>
      <c r="I833">
        <v>12.47</v>
      </c>
      <c r="J833">
        <v>13.04</v>
      </c>
      <c r="K833">
        <v>11.81</v>
      </c>
      <c r="L833">
        <v>12.23</v>
      </c>
      <c r="M833" s="7">
        <v>0.77400000000000002</v>
      </c>
      <c r="N833">
        <v>85000</v>
      </c>
      <c r="O833" s="2">
        <v>46020</v>
      </c>
    </row>
    <row r="834" spans="4:15" x14ac:dyDescent="0.45">
      <c r="D834" t="s">
        <v>1156</v>
      </c>
      <c r="E834" t="s">
        <v>351</v>
      </c>
      <c r="F834" t="s">
        <v>14</v>
      </c>
      <c r="G834" t="s">
        <v>20</v>
      </c>
      <c r="H834" t="s">
        <v>16</v>
      </c>
      <c r="I834">
        <v>13.37</v>
      </c>
      <c r="J834">
        <v>15.12</v>
      </c>
      <c r="K834">
        <v>10.7</v>
      </c>
      <c r="L834">
        <v>7.69</v>
      </c>
      <c r="M834" s="7">
        <v>0.88780000000000003</v>
      </c>
      <c r="N834">
        <v>80000</v>
      </c>
      <c r="O834" s="2">
        <v>46128</v>
      </c>
    </row>
    <row r="835" spans="4:15" x14ac:dyDescent="0.45">
      <c r="D835" t="s">
        <v>1157</v>
      </c>
      <c r="E835" t="s">
        <v>67</v>
      </c>
      <c r="F835" t="s">
        <v>14</v>
      </c>
      <c r="G835" t="s">
        <v>35</v>
      </c>
      <c r="H835" t="s">
        <v>16</v>
      </c>
      <c r="I835">
        <v>10.24</v>
      </c>
      <c r="J835">
        <v>16.32</v>
      </c>
      <c r="K835">
        <v>14.91</v>
      </c>
      <c r="L835">
        <v>13.26</v>
      </c>
      <c r="M835" s="7">
        <v>0.86470000000000002</v>
      </c>
      <c r="N835">
        <v>75000</v>
      </c>
      <c r="O835" s="2">
        <v>45978</v>
      </c>
    </row>
    <row r="836" spans="4:15" x14ac:dyDescent="0.45">
      <c r="D836" t="s">
        <v>1158</v>
      </c>
      <c r="E836" t="s">
        <v>135</v>
      </c>
      <c r="F836" t="s">
        <v>19</v>
      </c>
      <c r="G836" t="s">
        <v>15</v>
      </c>
      <c r="H836" t="s">
        <v>16</v>
      </c>
      <c r="I836">
        <v>18.670000000000002</v>
      </c>
      <c r="J836">
        <v>13.22</v>
      </c>
      <c r="K836">
        <v>14.8</v>
      </c>
      <c r="L836">
        <v>15.32</v>
      </c>
      <c r="M836" s="7">
        <v>0.84540000000000004</v>
      </c>
      <c r="N836">
        <v>85000</v>
      </c>
      <c r="O836" s="2">
        <v>45719</v>
      </c>
    </row>
    <row r="837" spans="4:15" x14ac:dyDescent="0.45">
      <c r="D837" t="s">
        <v>1159</v>
      </c>
      <c r="E837" t="s">
        <v>409</v>
      </c>
      <c r="F837" t="s">
        <v>19</v>
      </c>
      <c r="G837" t="s">
        <v>20</v>
      </c>
      <c r="H837" t="s">
        <v>21</v>
      </c>
      <c r="I837">
        <v>11.31</v>
      </c>
      <c r="J837">
        <v>13.57</v>
      </c>
      <c r="K837">
        <v>13.92</v>
      </c>
      <c r="L837">
        <v>11.92</v>
      </c>
      <c r="M837" s="7">
        <v>0.98080000000000001</v>
      </c>
      <c r="N837">
        <v>130000</v>
      </c>
      <c r="O837" s="2">
        <v>46066</v>
      </c>
    </row>
    <row r="838" spans="4:15" x14ac:dyDescent="0.45">
      <c r="D838" t="s">
        <v>1160</v>
      </c>
      <c r="E838" t="s">
        <v>96</v>
      </c>
      <c r="F838" t="s">
        <v>19</v>
      </c>
      <c r="G838" t="s">
        <v>20</v>
      </c>
      <c r="H838" t="s">
        <v>42</v>
      </c>
      <c r="I838">
        <v>12.72</v>
      </c>
      <c r="J838">
        <v>10.89</v>
      </c>
      <c r="K838">
        <v>11.55</v>
      </c>
      <c r="L838">
        <v>13.41</v>
      </c>
      <c r="M838" s="7">
        <v>0.69789999999999996</v>
      </c>
      <c r="N838">
        <v>90000</v>
      </c>
      <c r="O838" s="2">
        <v>45577</v>
      </c>
    </row>
    <row r="839" spans="4:15" x14ac:dyDescent="0.45">
      <c r="D839" t="s">
        <v>1161</v>
      </c>
      <c r="E839" t="s">
        <v>1030</v>
      </c>
      <c r="F839" t="s">
        <v>14</v>
      </c>
      <c r="G839" t="s">
        <v>28</v>
      </c>
      <c r="H839" t="s">
        <v>42</v>
      </c>
      <c r="I839">
        <v>15.64</v>
      </c>
      <c r="J839">
        <v>13.74</v>
      </c>
      <c r="K839">
        <v>11.3</v>
      </c>
      <c r="L839">
        <v>14.15</v>
      </c>
      <c r="M839" s="7">
        <v>0.60809999999999997</v>
      </c>
      <c r="N839">
        <v>100000</v>
      </c>
      <c r="O839" s="2">
        <v>46115</v>
      </c>
    </row>
    <row r="840" spans="4:15" x14ac:dyDescent="0.45">
      <c r="D840" t="s">
        <v>1162</v>
      </c>
      <c r="E840" t="s">
        <v>425</v>
      </c>
      <c r="F840" t="s">
        <v>14</v>
      </c>
      <c r="G840" t="s">
        <v>32</v>
      </c>
      <c r="H840" t="s">
        <v>21</v>
      </c>
      <c r="I840">
        <v>5.95</v>
      </c>
      <c r="J840">
        <v>9.23</v>
      </c>
      <c r="K840">
        <v>12.14</v>
      </c>
      <c r="L840">
        <v>6.83</v>
      </c>
      <c r="M840" s="7">
        <v>0.7288</v>
      </c>
      <c r="N840">
        <v>110000</v>
      </c>
      <c r="O840" s="2">
        <v>46160</v>
      </c>
    </row>
    <row r="841" spans="4:15" x14ac:dyDescent="0.45">
      <c r="D841" t="s">
        <v>1163</v>
      </c>
      <c r="E841" t="s">
        <v>512</v>
      </c>
      <c r="F841" t="s">
        <v>19</v>
      </c>
      <c r="G841" t="s">
        <v>28</v>
      </c>
      <c r="H841" t="s">
        <v>42</v>
      </c>
      <c r="I841">
        <v>13.63</v>
      </c>
      <c r="J841">
        <v>7.74</v>
      </c>
      <c r="K841">
        <v>18.440000000000001</v>
      </c>
      <c r="L841">
        <v>10.48</v>
      </c>
      <c r="M841" s="7">
        <v>0.92059999999999997</v>
      </c>
      <c r="N841">
        <v>110000</v>
      </c>
      <c r="O841" s="2">
        <v>46038</v>
      </c>
    </row>
    <row r="842" spans="4:15" x14ac:dyDescent="0.45">
      <c r="D842" t="s">
        <v>1164</v>
      </c>
      <c r="E842" t="s">
        <v>1032</v>
      </c>
      <c r="F842" t="s">
        <v>14</v>
      </c>
      <c r="G842" t="s">
        <v>35</v>
      </c>
      <c r="H842" t="s">
        <v>16</v>
      </c>
      <c r="I842">
        <v>13.89</v>
      </c>
      <c r="J842">
        <v>19.2</v>
      </c>
      <c r="K842">
        <v>15.64</v>
      </c>
      <c r="L842">
        <v>13.69</v>
      </c>
      <c r="M842" s="7">
        <v>0.69040000000000001</v>
      </c>
      <c r="N842">
        <v>80000</v>
      </c>
      <c r="O842" s="2">
        <v>46151</v>
      </c>
    </row>
    <row r="843" spans="4:15" x14ac:dyDescent="0.45">
      <c r="D843" t="s">
        <v>1165</v>
      </c>
      <c r="E843" t="s">
        <v>98</v>
      </c>
      <c r="F843" t="s">
        <v>19</v>
      </c>
      <c r="G843" t="s">
        <v>35</v>
      </c>
      <c r="H843" t="s">
        <v>42</v>
      </c>
      <c r="I843">
        <v>19.899999999999999</v>
      </c>
      <c r="J843">
        <v>15.26</v>
      </c>
      <c r="K843">
        <v>12.96</v>
      </c>
      <c r="L843">
        <v>11.41</v>
      </c>
      <c r="M843" s="7">
        <v>0.93700000000000006</v>
      </c>
      <c r="N843">
        <v>110000</v>
      </c>
      <c r="O843" s="2">
        <v>45946</v>
      </c>
    </row>
    <row r="844" spans="4:15" x14ac:dyDescent="0.45">
      <c r="D844" t="s">
        <v>1166</v>
      </c>
      <c r="E844" t="s">
        <v>105</v>
      </c>
      <c r="F844" t="s">
        <v>19</v>
      </c>
      <c r="G844" t="s">
        <v>15</v>
      </c>
      <c r="H844" t="s">
        <v>42</v>
      </c>
      <c r="I844">
        <v>16.850000000000001</v>
      </c>
      <c r="J844">
        <v>15.28</v>
      </c>
      <c r="K844">
        <v>15.73</v>
      </c>
      <c r="L844">
        <v>14.82</v>
      </c>
      <c r="M844" s="7">
        <v>0.77559999999999996</v>
      </c>
      <c r="N844">
        <v>75000</v>
      </c>
      <c r="O844" s="2">
        <v>45863</v>
      </c>
    </row>
    <row r="845" spans="4:15" x14ac:dyDescent="0.45">
      <c r="D845" t="s">
        <v>1167</v>
      </c>
      <c r="E845" t="s">
        <v>366</v>
      </c>
      <c r="F845" t="s">
        <v>14</v>
      </c>
      <c r="G845" t="s">
        <v>32</v>
      </c>
      <c r="H845" t="s">
        <v>16</v>
      </c>
      <c r="I845">
        <v>11.57</v>
      </c>
      <c r="J845">
        <v>12.67</v>
      </c>
      <c r="K845">
        <v>11.27</v>
      </c>
      <c r="L845">
        <v>8.99</v>
      </c>
      <c r="M845" s="7">
        <v>0.63160000000000005</v>
      </c>
      <c r="N845">
        <v>90000</v>
      </c>
      <c r="O845" s="2">
        <v>45761</v>
      </c>
    </row>
    <row r="846" spans="4:15" x14ac:dyDescent="0.45">
      <c r="D846" t="s">
        <v>1168</v>
      </c>
      <c r="E846" t="s">
        <v>268</v>
      </c>
      <c r="F846" t="s">
        <v>14</v>
      </c>
      <c r="G846" t="s">
        <v>20</v>
      </c>
      <c r="H846" t="s">
        <v>42</v>
      </c>
      <c r="I846">
        <v>10.63</v>
      </c>
      <c r="J846">
        <v>7.61</v>
      </c>
      <c r="K846">
        <v>7.39</v>
      </c>
      <c r="L846">
        <v>10.99</v>
      </c>
      <c r="M846" s="7">
        <v>0.99750000000000005</v>
      </c>
      <c r="N846">
        <v>75000</v>
      </c>
      <c r="O846" s="2">
        <v>46181</v>
      </c>
    </row>
    <row r="847" spans="4:15" x14ac:dyDescent="0.45">
      <c r="D847" t="s">
        <v>1169</v>
      </c>
      <c r="E847" t="s">
        <v>419</v>
      </c>
      <c r="F847" t="s">
        <v>14</v>
      </c>
      <c r="G847" t="s">
        <v>47</v>
      </c>
      <c r="H847" t="s">
        <v>29</v>
      </c>
      <c r="I847">
        <v>15.08</v>
      </c>
      <c r="J847">
        <v>14.96</v>
      </c>
      <c r="K847">
        <v>13.08</v>
      </c>
      <c r="L847">
        <v>14.08</v>
      </c>
      <c r="M847" s="7">
        <v>0.91039999999999999</v>
      </c>
      <c r="N847">
        <v>130000</v>
      </c>
      <c r="O847" s="2">
        <v>46024</v>
      </c>
    </row>
    <row r="848" spans="4:15" x14ac:dyDescent="0.45">
      <c r="D848" t="s">
        <v>1170</v>
      </c>
      <c r="E848" t="s">
        <v>751</v>
      </c>
      <c r="F848" t="s">
        <v>14</v>
      </c>
      <c r="G848" t="s">
        <v>47</v>
      </c>
      <c r="H848" t="s">
        <v>16</v>
      </c>
      <c r="I848">
        <v>11.3</v>
      </c>
      <c r="J848">
        <v>12.81</v>
      </c>
      <c r="K848">
        <v>17.8</v>
      </c>
      <c r="L848">
        <v>14.6</v>
      </c>
      <c r="M848" s="7">
        <v>0.83069999999999999</v>
      </c>
      <c r="N848">
        <v>110000</v>
      </c>
      <c r="O848" s="2">
        <v>45669</v>
      </c>
    </row>
    <row r="849" spans="4:15" x14ac:dyDescent="0.45">
      <c r="D849" t="s">
        <v>1171</v>
      </c>
      <c r="E849" t="s">
        <v>351</v>
      </c>
      <c r="F849" t="s">
        <v>14</v>
      </c>
      <c r="G849" t="s">
        <v>28</v>
      </c>
      <c r="H849" t="s">
        <v>29</v>
      </c>
      <c r="I849">
        <v>16.309999999999999</v>
      </c>
      <c r="J849">
        <v>18.010000000000002</v>
      </c>
      <c r="K849">
        <v>14.07</v>
      </c>
      <c r="L849">
        <v>10.7</v>
      </c>
      <c r="M849" s="7">
        <v>0.86129999999999995</v>
      </c>
      <c r="N849">
        <v>90000</v>
      </c>
      <c r="O849" s="2">
        <v>46205</v>
      </c>
    </row>
    <row r="850" spans="4:15" x14ac:dyDescent="0.45">
      <c r="D850" t="s">
        <v>1172</v>
      </c>
      <c r="E850" t="s">
        <v>943</v>
      </c>
      <c r="F850" t="s">
        <v>19</v>
      </c>
      <c r="G850" t="s">
        <v>35</v>
      </c>
      <c r="H850" t="s">
        <v>29</v>
      </c>
      <c r="I850">
        <v>8.91</v>
      </c>
      <c r="J850">
        <v>12.38</v>
      </c>
      <c r="K850">
        <v>16.3</v>
      </c>
      <c r="L850">
        <v>12.65</v>
      </c>
      <c r="M850" s="7">
        <v>0.55000000000000004</v>
      </c>
      <c r="N850">
        <v>80000</v>
      </c>
      <c r="O850" s="2">
        <v>45577</v>
      </c>
    </row>
    <row r="851" spans="4:15" x14ac:dyDescent="0.45">
      <c r="D851" t="s">
        <v>1173</v>
      </c>
      <c r="E851" t="s">
        <v>742</v>
      </c>
      <c r="F851" t="s">
        <v>19</v>
      </c>
      <c r="G851" t="s">
        <v>32</v>
      </c>
      <c r="H851" t="s">
        <v>29</v>
      </c>
      <c r="I851">
        <v>18.88</v>
      </c>
      <c r="J851">
        <v>16.09</v>
      </c>
      <c r="K851">
        <v>12.48</v>
      </c>
      <c r="L851">
        <v>15.13</v>
      </c>
      <c r="M851" s="7">
        <v>0.55000000000000004</v>
      </c>
      <c r="N851">
        <v>85000</v>
      </c>
      <c r="O851" s="2">
        <v>45947</v>
      </c>
    </row>
    <row r="852" spans="4:15" x14ac:dyDescent="0.45">
      <c r="D852" t="s">
        <v>1174</v>
      </c>
      <c r="E852" t="s">
        <v>473</v>
      </c>
      <c r="F852" t="s">
        <v>19</v>
      </c>
      <c r="G852" t="s">
        <v>15</v>
      </c>
      <c r="H852" t="s">
        <v>29</v>
      </c>
      <c r="I852">
        <v>16.55</v>
      </c>
      <c r="J852">
        <v>19.16</v>
      </c>
      <c r="K852">
        <v>17.45</v>
      </c>
      <c r="L852">
        <v>18.72</v>
      </c>
      <c r="M852" s="7">
        <v>0.91310000000000002</v>
      </c>
      <c r="N852">
        <v>110000</v>
      </c>
      <c r="O852" s="2">
        <v>45669</v>
      </c>
    </row>
    <row r="853" spans="4:15" x14ac:dyDescent="0.45">
      <c r="D853" t="s">
        <v>1175</v>
      </c>
      <c r="E853" t="s">
        <v>231</v>
      </c>
      <c r="F853" t="s">
        <v>19</v>
      </c>
      <c r="G853" t="s">
        <v>32</v>
      </c>
      <c r="H853" t="s">
        <v>42</v>
      </c>
      <c r="I853">
        <v>9.02</v>
      </c>
      <c r="J853">
        <v>16.54</v>
      </c>
      <c r="K853">
        <v>19.61</v>
      </c>
      <c r="L853">
        <v>13.57</v>
      </c>
      <c r="M853" s="7">
        <v>0.95920000000000005</v>
      </c>
      <c r="N853">
        <v>75000</v>
      </c>
      <c r="O853" s="2">
        <v>46001</v>
      </c>
    </row>
    <row r="854" spans="4:15" x14ac:dyDescent="0.45">
      <c r="D854" t="s">
        <v>1176</v>
      </c>
      <c r="E854" t="s">
        <v>402</v>
      </c>
      <c r="F854" t="s">
        <v>19</v>
      </c>
      <c r="G854" t="s">
        <v>15</v>
      </c>
      <c r="H854" t="s">
        <v>29</v>
      </c>
      <c r="I854">
        <v>12.02</v>
      </c>
      <c r="J854">
        <v>13.05</v>
      </c>
      <c r="K854">
        <v>13.04</v>
      </c>
      <c r="L854">
        <v>12.14</v>
      </c>
      <c r="M854" s="7">
        <v>0.96989999999999998</v>
      </c>
      <c r="N854">
        <v>120000</v>
      </c>
      <c r="O854" s="2">
        <v>45824</v>
      </c>
    </row>
    <row r="855" spans="4:15" x14ac:dyDescent="0.45">
      <c r="D855" t="s">
        <v>1177</v>
      </c>
      <c r="E855" t="s">
        <v>1178</v>
      </c>
      <c r="F855" t="s">
        <v>14</v>
      </c>
      <c r="G855" t="s">
        <v>47</v>
      </c>
      <c r="H855" t="s">
        <v>29</v>
      </c>
      <c r="I855">
        <v>9.0399999999999991</v>
      </c>
      <c r="J855">
        <v>10.44</v>
      </c>
      <c r="K855">
        <v>7.22</v>
      </c>
      <c r="L855">
        <v>9.83</v>
      </c>
      <c r="M855" s="7">
        <v>0.86260000000000003</v>
      </c>
      <c r="N855">
        <v>75000</v>
      </c>
      <c r="O855" s="2">
        <v>45841</v>
      </c>
    </row>
    <row r="856" spans="4:15" x14ac:dyDescent="0.45">
      <c r="D856" t="s">
        <v>1179</v>
      </c>
      <c r="E856" t="s">
        <v>924</v>
      </c>
      <c r="F856" t="s">
        <v>14</v>
      </c>
      <c r="G856" t="s">
        <v>28</v>
      </c>
      <c r="H856" t="s">
        <v>21</v>
      </c>
      <c r="I856">
        <v>15.13</v>
      </c>
      <c r="J856">
        <v>20</v>
      </c>
      <c r="K856">
        <v>13.28</v>
      </c>
      <c r="L856">
        <v>15.35</v>
      </c>
      <c r="M856" s="7">
        <v>0.8266</v>
      </c>
      <c r="N856">
        <v>60000</v>
      </c>
      <c r="O856" s="2">
        <v>46006</v>
      </c>
    </row>
    <row r="857" spans="4:15" x14ac:dyDescent="0.45">
      <c r="D857" t="s">
        <v>1180</v>
      </c>
      <c r="E857" t="s">
        <v>906</v>
      </c>
      <c r="F857" t="s">
        <v>19</v>
      </c>
      <c r="G857" t="s">
        <v>28</v>
      </c>
      <c r="H857" t="s">
        <v>16</v>
      </c>
      <c r="I857">
        <v>18.489999999999998</v>
      </c>
      <c r="J857">
        <v>18.02</v>
      </c>
      <c r="K857">
        <v>19.5</v>
      </c>
      <c r="L857">
        <v>14.38</v>
      </c>
      <c r="M857" s="7">
        <v>0.88739999999999997</v>
      </c>
      <c r="N857">
        <v>110000</v>
      </c>
      <c r="O857" s="2">
        <v>46065</v>
      </c>
    </row>
    <row r="858" spans="4:15" x14ac:dyDescent="0.45">
      <c r="D858" t="s">
        <v>1181</v>
      </c>
      <c r="E858" t="s">
        <v>594</v>
      </c>
      <c r="F858" t="s">
        <v>14</v>
      </c>
      <c r="G858" t="s">
        <v>32</v>
      </c>
      <c r="H858" t="s">
        <v>29</v>
      </c>
      <c r="I858">
        <v>13.43</v>
      </c>
      <c r="J858">
        <v>15.96</v>
      </c>
      <c r="K858">
        <v>13.81</v>
      </c>
      <c r="L858">
        <v>20</v>
      </c>
      <c r="M858" s="7">
        <v>0.57750000000000001</v>
      </c>
      <c r="N858">
        <v>100000</v>
      </c>
      <c r="O858" s="2">
        <v>45802</v>
      </c>
    </row>
    <row r="859" spans="4:15" x14ac:dyDescent="0.45">
      <c r="D859" t="s">
        <v>1182</v>
      </c>
      <c r="E859" t="s">
        <v>673</v>
      </c>
      <c r="F859" t="s">
        <v>14</v>
      </c>
      <c r="G859" t="s">
        <v>32</v>
      </c>
      <c r="H859" t="s">
        <v>16</v>
      </c>
      <c r="I859">
        <v>8.16</v>
      </c>
      <c r="J859">
        <v>11.81</v>
      </c>
      <c r="K859">
        <v>11.03</v>
      </c>
      <c r="L859">
        <v>8.56</v>
      </c>
      <c r="M859" s="7">
        <v>0.82110000000000005</v>
      </c>
      <c r="N859">
        <v>75000</v>
      </c>
      <c r="O859" s="2">
        <v>46234</v>
      </c>
    </row>
    <row r="860" spans="4:15" x14ac:dyDescent="0.45">
      <c r="D860" t="s">
        <v>1183</v>
      </c>
      <c r="E860" t="s">
        <v>37</v>
      </c>
      <c r="F860" t="s">
        <v>19</v>
      </c>
      <c r="G860" t="s">
        <v>20</v>
      </c>
      <c r="H860" t="s">
        <v>21</v>
      </c>
      <c r="I860">
        <v>15.23</v>
      </c>
      <c r="J860">
        <v>18.670000000000002</v>
      </c>
      <c r="K860">
        <v>12.87</v>
      </c>
      <c r="L860">
        <v>15.14</v>
      </c>
      <c r="M860" s="7">
        <v>0.97829999999999995</v>
      </c>
      <c r="N860">
        <v>100000</v>
      </c>
      <c r="O860" s="2">
        <v>45884</v>
      </c>
    </row>
    <row r="861" spans="4:15" x14ac:dyDescent="0.45">
      <c r="D861" t="s">
        <v>1184</v>
      </c>
      <c r="E861" t="s">
        <v>46</v>
      </c>
      <c r="F861" t="s">
        <v>19</v>
      </c>
      <c r="G861" t="s">
        <v>32</v>
      </c>
      <c r="H861" t="s">
        <v>16</v>
      </c>
      <c r="I861">
        <v>15.98</v>
      </c>
      <c r="J861">
        <v>14.99</v>
      </c>
      <c r="K861">
        <v>19.53</v>
      </c>
      <c r="L861">
        <v>16.57</v>
      </c>
      <c r="M861" s="7">
        <v>0.85309999999999997</v>
      </c>
      <c r="N861">
        <v>110000</v>
      </c>
      <c r="O861" s="2">
        <v>45648</v>
      </c>
    </row>
    <row r="862" spans="4:15" x14ac:dyDescent="0.45">
      <c r="D862" t="s">
        <v>1185</v>
      </c>
      <c r="E862" t="s">
        <v>645</v>
      </c>
      <c r="F862" t="s">
        <v>19</v>
      </c>
      <c r="G862" t="s">
        <v>47</v>
      </c>
      <c r="H862" t="s">
        <v>21</v>
      </c>
      <c r="I862">
        <v>17.100000000000001</v>
      </c>
      <c r="J862">
        <v>17.649999999999999</v>
      </c>
      <c r="K862">
        <v>20</v>
      </c>
      <c r="L862">
        <v>18.350000000000001</v>
      </c>
      <c r="M862" s="7">
        <v>0.83660000000000001</v>
      </c>
      <c r="N862">
        <v>110000</v>
      </c>
      <c r="O862" s="2">
        <v>45540</v>
      </c>
    </row>
    <row r="863" spans="4:15" x14ac:dyDescent="0.45">
      <c r="D863" t="s">
        <v>1186</v>
      </c>
      <c r="E863" t="s">
        <v>336</v>
      </c>
      <c r="F863" t="s">
        <v>19</v>
      </c>
      <c r="G863" t="s">
        <v>47</v>
      </c>
      <c r="H863" t="s">
        <v>16</v>
      </c>
      <c r="I863">
        <v>13.75</v>
      </c>
      <c r="J863">
        <v>8.06</v>
      </c>
      <c r="K863">
        <v>11.18</v>
      </c>
      <c r="L863">
        <v>10.53</v>
      </c>
      <c r="M863" s="7">
        <v>0.8891</v>
      </c>
      <c r="N863">
        <v>130000</v>
      </c>
      <c r="O863" s="2">
        <v>45677</v>
      </c>
    </row>
    <row r="864" spans="4:15" x14ac:dyDescent="0.45">
      <c r="D864" t="s">
        <v>1187</v>
      </c>
      <c r="E864" t="s">
        <v>1068</v>
      </c>
      <c r="F864" t="s">
        <v>14</v>
      </c>
      <c r="G864" t="s">
        <v>35</v>
      </c>
      <c r="H864" t="s">
        <v>29</v>
      </c>
      <c r="I864">
        <v>11</v>
      </c>
      <c r="J864">
        <v>10.66</v>
      </c>
      <c r="K864">
        <v>10.53</v>
      </c>
      <c r="L864">
        <v>12.36</v>
      </c>
      <c r="M864" s="7">
        <v>0.99199999999999999</v>
      </c>
      <c r="N864">
        <v>120000</v>
      </c>
      <c r="O864" s="2">
        <v>46019</v>
      </c>
    </row>
    <row r="865" spans="4:15" x14ac:dyDescent="0.45">
      <c r="D865" t="s">
        <v>1188</v>
      </c>
      <c r="E865" t="s">
        <v>661</v>
      </c>
      <c r="F865" t="s">
        <v>19</v>
      </c>
      <c r="G865" t="s">
        <v>15</v>
      </c>
      <c r="H865" t="s">
        <v>42</v>
      </c>
      <c r="I865">
        <v>16.28</v>
      </c>
      <c r="J865">
        <v>14.85</v>
      </c>
      <c r="K865">
        <v>19.170000000000002</v>
      </c>
      <c r="L865">
        <v>14.98</v>
      </c>
      <c r="M865" s="7">
        <v>0.71740000000000004</v>
      </c>
      <c r="N865">
        <v>80000</v>
      </c>
      <c r="O865" s="2">
        <v>45913</v>
      </c>
    </row>
    <row r="866" spans="4:15" x14ac:dyDescent="0.45">
      <c r="D866" t="s">
        <v>1189</v>
      </c>
      <c r="E866" t="s">
        <v>71</v>
      </c>
      <c r="F866" t="s">
        <v>19</v>
      </c>
      <c r="G866" t="s">
        <v>47</v>
      </c>
      <c r="H866" t="s">
        <v>21</v>
      </c>
      <c r="I866">
        <v>13.81</v>
      </c>
      <c r="J866">
        <v>13.94</v>
      </c>
      <c r="K866">
        <v>13.06</v>
      </c>
      <c r="L866">
        <v>11.11</v>
      </c>
      <c r="M866" s="7">
        <v>0.81459999999999999</v>
      </c>
      <c r="N866">
        <v>70000</v>
      </c>
      <c r="O866" s="2">
        <v>45772</v>
      </c>
    </row>
    <row r="867" spans="4:15" x14ac:dyDescent="0.45">
      <c r="D867" t="s">
        <v>1190</v>
      </c>
      <c r="E867" t="s">
        <v>198</v>
      </c>
      <c r="F867" t="s">
        <v>19</v>
      </c>
      <c r="G867" t="s">
        <v>35</v>
      </c>
      <c r="H867" t="s">
        <v>16</v>
      </c>
      <c r="I867">
        <v>6.95</v>
      </c>
      <c r="J867">
        <v>14.66</v>
      </c>
      <c r="K867">
        <v>8.14</v>
      </c>
      <c r="L867">
        <v>15</v>
      </c>
      <c r="M867" s="7">
        <v>0.88529999999999998</v>
      </c>
      <c r="N867">
        <v>60000</v>
      </c>
      <c r="O867" s="2">
        <v>45872</v>
      </c>
    </row>
    <row r="868" spans="4:15" x14ac:dyDescent="0.45">
      <c r="D868" t="s">
        <v>1191</v>
      </c>
      <c r="E868" t="s">
        <v>409</v>
      </c>
      <c r="F868" t="s">
        <v>19</v>
      </c>
      <c r="G868" t="s">
        <v>47</v>
      </c>
      <c r="H868" t="s">
        <v>16</v>
      </c>
      <c r="I868">
        <v>11.76</v>
      </c>
      <c r="J868">
        <v>16.239999999999998</v>
      </c>
      <c r="K868">
        <v>10.98</v>
      </c>
      <c r="L868">
        <v>14.08</v>
      </c>
      <c r="M868" s="7">
        <v>0.9496</v>
      </c>
      <c r="N868">
        <v>90000</v>
      </c>
      <c r="O868" s="2">
        <v>46122</v>
      </c>
    </row>
    <row r="869" spans="4:15" x14ac:dyDescent="0.45">
      <c r="D869" t="s">
        <v>1192</v>
      </c>
      <c r="E869" t="s">
        <v>274</v>
      </c>
      <c r="F869" t="s">
        <v>19</v>
      </c>
      <c r="G869" t="s">
        <v>15</v>
      </c>
      <c r="H869" t="s">
        <v>21</v>
      </c>
      <c r="I869">
        <v>15.15</v>
      </c>
      <c r="J869">
        <v>13.51</v>
      </c>
      <c r="K869">
        <v>13.9</v>
      </c>
      <c r="L869">
        <v>16.329999999999998</v>
      </c>
      <c r="M869" s="7">
        <v>0.7762</v>
      </c>
      <c r="N869">
        <v>100000</v>
      </c>
      <c r="O869" s="2">
        <v>45936</v>
      </c>
    </row>
    <row r="870" spans="4:15" x14ac:dyDescent="0.45">
      <c r="D870" t="s">
        <v>1193</v>
      </c>
      <c r="E870" t="s">
        <v>486</v>
      </c>
      <c r="F870" t="s">
        <v>14</v>
      </c>
      <c r="G870" t="s">
        <v>47</v>
      </c>
      <c r="H870" t="s">
        <v>29</v>
      </c>
      <c r="I870">
        <v>18.100000000000001</v>
      </c>
      <c r="J870">
        <v>12.54</v>
      </c>
      <c r="K870">
        <v>10.75</v>
      </c>
      <c r="L870">
        <v>12.91</v>
      </c>
      <c r="M870" s="7">
        <v>0.78990000000000005</v>
      </c>
      <c r="N870">
        <v>100000</v>
      </c>
      <c r="O870" s="2">
        <v>45576</v>
      </c>
    </row>
    <row r="871" spans="4:15" x14ac:dyDescent="0.45">
      <c r="D871" t="s">
        <v>1194</v>
      </c>
      <c r="E871" t="s">
        <v>39</v>
      </c>
      <c r="F871" t="s">
        <v>14</v>
      </c>
      <c r="G871" t="s">
        <v>20</v>
      </c>
      <c r="H871" t="s">
        <v>16</v>
      </c>
      <c r="I871">
        <v>15.39</v>
      </c>
      <c r="J871">
        <v>17.54</v>
      </c>
      <c r="K871">
        <v>12.94</v>
      </c>
      <c r="L871">
        <v>13.23</v>
      </c>
      <c r="M871" s="7">
        <v>0.86750000000000005</v>
      </c>
      <c r="N871">
        <v>50000</v>
      </c>
      <c r="O871" s="2">
        <v>45570</v>
      </c>
    </row>
    <row r="872" spans="4:15" x14ac:dyDescent="0.45">
      <c r="D872" t="s">
        <v>1195</v>
      </c>
      <c r="E872" t="s">
        <v>558</v>
      </c>
      <c r="F872" t="s">
        <v>14</v>
      </c>
      <c r="G872" t="s">
        <v>20</v>
      </c>
      <c r="H872" t="s">
        <v>42</v>
      </c>
      <c r="I872">
        <v>8.98</v>
      </c>
      <c r="J872">
        <v>15.65</v>
      </c>
      <c r="K872">
        <v>14.61</v>
      </c>
      <c r="L872">
        <v>11.67</v>
      </c>
      <c r="M872" s="7">
        <v>0.97450000000000003</v>
      </c>
      <c r="N872">
        <v>100000</v>
      </c>
      <c r="O872" s="2">
        <v>45873</v>
      </c>
    </row>
    <row r="873" spans="4:15" x14ac:dyDescent="0.45">
      <c r="D873" t="s">
        <v>1196</v>
      </c>
      <c r="E873" t="s">
        <v>569</v>
      </c>
      <c r="F873" t="s">
        <v>14</v>
      </c>
      <c r="G873" t="s">
        <v>20</v>
      </c>
      <c r="H873" t="s">
        <v>16</v>
      </c>
      <c r="I873">
        <v>10.8</v>
      </c>
      <c r="J873">
        <v>18.100000000000001</v>
      </c>
      <c r="K873">
        <v>17.010000000000002</v>
      </c>
      <c r="L873">
        <v>14.13</v>
      </c>
      <c r="M873" s="7">
        <v>0.97970000000000002</v>
      </c>
      <c r="N873">
        <v>110000</v>
      </c>
      <c r="O873" s="2">
        <v>45818</v>
      </c>
    </row>
    <row r="874" spans="4:15" x14ac:dyDescent="0.45">
      <c r="D874" t="s">
        <v>1197</v>
      </c>
      <c r="E874" t="s">
        <v>1198</v>
      </c>
      <c r="F874" t="s">
        <v>14</v>
      </c>
      <c r="G874" t="s">
        <v>32</v>
      </c>
      <c r="H874" t="s">
        <v>21</v>
      </c>
      <c r="I874">
        <v>12.59</v>
      </c>
      <c r="J874">
        <v>10.4</v>
      </c>
      <c r="K874">
        <v>11.96</v>
      </c>
      <c r="L874">
        <v>10.52</v>
      </c>
      <c r="M874" s="7">
        <v>0.92959999999999998</v>
      </c>
      <c r="N874">
        <v>100000</v>
      </c>
      <c r="O874" s="2">
        <v>46131</v>
      </c>
    </row>
    <row r="875" spans="4:15" x14ac:dyDescent="0.45">
      <c r="D875" t="s">
        <v>1199</v>
      </c>
      <c r="E875" t="s">
        <v>731</v>
      </c>
      <c r="F875" t="s">
        <v>14</v>
      </c>
      <c r="G875" t="s">
        <v>32</v>
      </c>
      <c r="H875" t="s">
        <v>21</v>
      </c>
      <c r="I875">
        <v>11.64</v>
      </c>
      <c r="J875">
        <v>14.73</v>
      </c>
      <c r="K875">
        <v>10.46</v>
      </c>
      <c r="L875">
        <v>10.86</v>
      </c>
      <c r="M875" s="7">
        <v>0.6784</v>
      </c>
      <c r="N875">
        <v>85000</v>
      </c>
      <c r="O875" s="2">
        <v>45944</v>
      </c>
    </row>
    <row r="876" spans="4:15" x14ac:dyDescent="0.45">
      <c r="D876" t="s">
        <v>1200</v>
      </c>
      <c r="E876" t="s">
        <v>311</v>
      </c>
      <c r="F876" t="s">
        <v>19</v>
      </c>
      <c r="G876" t="s">
        <v>35</v>
      </c>
      <c r="H876" t="s">
        <v>21</v>
      </c>
      <c r="I876">
        <v>16.04</v>
      </c>
      <c r="J876">
        <v>11.75</v>
      </c>
      <c r="K876">
        <v>13.87</v>
      </c>
      <c r="L876">
        <v>16.010000000000002</v>
      </c>
      <c r="M876" s="7">
        <v>0.68859999999999999</v>
      </c>
      <c r="N876">
        <v>50000</v>
      </c>
      <c r="O876" s="2">
        <v>46065</v>
      </c>
    </row>
    <row r="877" spans="4:15" x14ac:dyDescent="0.45">
      <c r="D877" t="s">
        <v>1201</v>
      </c>
      <c r="E877" t="s">
        <v>771</v>
      </c>
      <c r="F877" t="s">
        <v>19</v>
      </c>
      <c r="G877" t="s">
        <v>20</v>
      </c>
      <c r="H877" t="s">
        <v>29</v>
      </c>
      <c r="I877">
        <v>14.02</v>
      </c>
      <c r="J877">
        <v>17.22</v>
      </c>
      <c r="K877">
        <v>20</v>
      </c>
      <c r="L877">
        <v>13.23</v>
      </c>
      <c r="M877" s="7">
        <v>0.92969999999999997</v>
      </c>
      <c r="N877">
        <v>85000</v>
      </c>
      <c r="O877" s="2">
        <v>45945</v>
      </c>
    </row>
    <row r="878" spans="4:15" x14ac:dyDescent="0.45">
      <c r="D878" t="s">
        <v>1202</v>
      </c>
      <c r="E878" t="s">
        <v>49</v>
      </c>
      <c r="F878" t="s">
        <v>19</v>
      </c>
      <c r="G878" t="s">
        <v>47</v>
      </c>
      <c r="H878" t="s">
        <v>16</v>
      </c>
      <c r="I878">
        <v>10.08</v>
      </c>
      <c r="J878">
        <v>14.71</v>
      </c>
      <c r="K878">
        <v>8.74</v>
      </c>
      <c r="L878">
        <v>7.94</v>
      </c>
      <c r="M878" s="7">
        <v>0.97289999999999999</v>
      </c>
      <c r="N878">
        <v>100000</v>
      </c>
      <c r="O878" s="2">
        <v>45777</v>
      </c>
    </row>
    <row r="879" spans="4:15" x14ac:dyDescent="0.45">
      <c r="D879" t="s">
        <v>1203</v>
      </c>
      <c r="E879" t="s">
        <v>436</v>
      </c>
      <c r="F879" t="s">
        <v>19</v>
      </c>
      <c r="G879" t="s">
        <v>20</v>
      </c>
      <c r="H879" t="s">
        <v>29</v>
      </c>
      <c r="I879">
        <v>11.69</v>
      </c>
      <c r="J879">
        <v>10.68</v>
      </c>
      <c r="K879">
        <v>10.88</v>
      </c>
      <c r="L879">
        <v>7.75</v>
      </c>
      <c r="M879" s="7">
        <v>0.82310000000000005</v>
      </c>
      <c r="N879">
        <v>90000</v>
      </c>
      <c r="O879" s="2">
        <v>45996</v>
      </c>
    </row>
    <row r="880" spans="4:15" x14ac:dyDescent="0.45">
      <c r="D880" t="s">
        <v>1204</v>
      </c>
      <c r="E880" t="s">
        <v>18</v>
      </c>
      <c r="F880" t="s">
        <v>19</v>
      </c>
      <c r="G880" t="s">
        <v>20</v>
      </c>
      <c r="H880" t="s">
        <v>29</v>
      </c>
      <c r="I880">
        <v>6.81</v>
      </c>
      <c r="J880">
        <v>6.49</v>
      </c>
      <c r="K880">
        <v>4.55</v>
      </c>
      <c r="L880">
        <v>10.87</v>
      </c>
      <c r="M880" s="7">
        <v>0.77610000000000001</v>
      </c>
      <c r="N880">
        <v>90000</v>
      </c>
      <c r="O880" s="2">
        <v>45971</v>
      </c>
    </row>
    <row r="881" spans="4:15" x14ac:dyDescent="0.45">
      <c r="D881" t="s">
        <v>1205</v>
      </c>
      <c r="E881" t="s">
        <v>121</v>
      </c>
      <c r="F881" t="s">
        <v>19</v>
      </c>
      <c r="G881" t="s">
        <v>28</v>
      </c>
      <c r="H881" t="s">
        <v>21</v>
      </c>
      <c r="I881">
        <v>12.65</v>
      </c>
      <c r="J881">
        <v>14.89</v>
      </c>
      <c r="K881">
        <v>17.14</v>
      </c>
      <c r="L881">
        <v>11.58</v>
      </c>
      <c r="M881" s="7">
        <v>0.94079999999999997</v>
      </c>
      <c r="N881">
        <v>85000</v>
      </c>
      <c r="O881" s="2">
        <v>46040</v>
      </c>
    </row>
    <row r="882" spans="4:15" x14ac:dyDescent="0.45">
      <c r="D882" t="s">
        <v>1206</v>
      </c>
      <c r="E882" t="s">
        <v>601</v>
      </c>
      <c r="F882" t="s">
        <v>14</v>
      </c>
      <c r="G882" t="s">
        <v>28</v>
      </c>
      <c r="H882" t="s">
        <v>42</v>
      </c>
      <c r="I882">
        <v>10.42</v>
      </c>
      <c r="J882">
        <v>9.73</v>
      </c>
      <c r="K882">
        <v>9.52</v>
      </c>
      <c r="L882">
        <v>11.51</v>
      </c>
      <c r="M882" s="7">
        <v>0.65229999999999999</v>
      </c>
      <c r="N882">
        <v>90000</v>
      </c>
      <c r="O882" s="2">
        <v>45668</v>
      </c>
    </row>
    <row r="883" spans="4:15" x14ac:dyDescent="0.45">
      <c r="D883" t="s">
        <v>1207</v>
      </c>
      <c r="E883" t="s">
        <v>79</v>
      </c>
      <c r="F883" t="s">
        <v>19</v>
      </c>
      <c r="G883" t="s">
        <v>47</v>
      </c>
      <c r="H883" t="s">
        <v>21</v>
      </c>
      <c r="I883">
        <v>13.62</v>
      </c>
      <c r="J883">
        <v>9.76</v>
      </c>
      <c r="K883">
        <v>14.93</v>
      </c>
      <c r="L883">
        <v>14.46</v>
      </c>
      <c r="M883" s="7">
        <v>0.55000000000000004</v>
      </c>
      <c r="N883">
        <v>75000</v>
      </c>
      <c r="O883" s="2">
        <v>45985</v>
      </c>
    </row>
    <row r="884" spans="4:15" x14ac:dyDescent="0.45">
      <c r="D884" t="s">
        <v>1208</v>
      </c>
      <c r="E884" t="s">
        <v>827</v>
      </c>
      <c r="F884" t="s">
        <v>14</v>
      </c>
      <c r="G884" t="s">
        <v>47</v>
      </c>
      <c r="H884" t="s">
        <v>21</v>
      </c>
      <c r="I884">
        <v>15.32</v>
      </c>
      <c r="J884">
        <v>17.29</v>
      </c>
      <c r="K884">
        <v>15.28</v>
      </c>
      <c r="L884">
        <v>14.93</v>
      </c>
      <c r="M884" s="7">
        <v>0.61939999999999995</v>
      </c>
      <c r="N884">
        <v>90000</v>
      </c>
      <c r="O884" s="2">
        <v>45735</v>
      </c>
    </row>
    <row r="885" spans="4:15" x14ac:dyDescent="0.45">
      <c r="D885" t="s">
        <v>1209</v>
      </c>
      <c r="E885" t="s">
        <v>366</v>
      </c>
      <c r="F885" t="s">
        <v>14</v>
      </c>
      <c r="G885" t="s">
        <v>47</v>
      </c>
      <c r="H885" t="s">
        <v>42</v>
      </c>
      <c r="I885">
        <v>13.85</v>
      </c>
      <c r="J885">
        <v>14.56</v>
      </c>
      <c r="K885">
        <v>13.25</v>
      </c>
      <c r="L885">
        <v>8.57</v>
      </c>
      <c r="M885" s="7">
        <v>0.72609999999999997</v>
      </c>
      <c r="N885">
        <v>75000</v>
      </c>
      <c r="O885" s="2">
        <v>46089</v>
      </c>
    </row>
    <row r="886" spans="4:15" x14ac:dyDescent="0.45">
      <c r="D886" t="s">
        <v>1210</v>
      </c>
      <c r="E886" t="s">
        <v>1028</v>
      </c>
      <c r="F886" t="s">
        <v>19</v>
      </c>
      <c r="G886" t="s">
        <v>47</v>
      </c>
      <c r="H886" t="s">
        <v>16</v>
      </c>
      <c r="I886">
        <v>13.13</v>
      </c>
      <c r="J886">
        <v>13.86</v>
      </c>
      <c r="K886">
        <v>15.82</v>
      </c>
      <c r="L886">
        <v>11.05</v>
      </c>
      <c r="M886" s="7">
        <v>0.76170000000000004</v>
      </c>
      <c r="N886">
        <v>85000</v>
      </c>
      <c r="O886" s="2">
        <v>46094</v>
      </c>
    </row>
    <row r="887" spans="4:15" x14ac:dyDescent="0.45">
      <c r="D887" t="s">
        <v>1211</v>
      </c>
      <c r="E887" t="s">
        <v>714</v>
      </c>
      <c r="F887" t="s">
        <v>19</v>
      </c>
      <c r="G887" t="s">
        <v>35</v>
      </c>
      <c r="H887" t="s">
        <v>16</v>
      </c>
      <c r="I887">
        <v>9.74</v>
      </c>
      <c r="J887">
        <v>12.23</v>
      </c>
      <c r="K887">
        <v>11.87</v>
      </c>
      <c r="L887">
        <v>14.45</v>
      </c>
      <c r="M887" s="7">
        <v>0.66259999999999997</v>
      </c>
      <c r="N887">
        <v>80000</v>
      </c>
      <c r="O887" s="2">
        <v>45973</v>
      </c>
    </row>
    <row r="888" spans="4:15" x14ac:dyDescent="0.45">
      <c r="D888" t="s">
        <v>1212</v>
      </c>
      <c r="E888" t="s">
        <v>556</v>
      </c>
      <c r="F888" t="s">
        <v>14</v>
      </c>
      <c r="G888" t="s">
        <v>28</v>
      </c>
      <c r="H888" t="s">
        <v>16</v>
      </c>
      <c r="I888">
        <v>19.73</v>
      </c>
      <c r="J888">
        <v>13.67</v>
      </c>
      <c r="K888">
        <v>17.98</v>
      </c>
      <c r="L888">
        <v>12.51</v>
      </c>
      <c r="M888" s="7">
        <v>0.90469999999999995</v>
      </c>
      <c r="N888">
        <v>100000</v>
      </c>
      <c r="O888" s="2">
        <v>46198</v>
      </c>
    </row>
    <row r="889" spans="4:15" x14ac:dyDescent="0.45">
      <c r="D889" t="s">
        <v>1213</v>
      </c>
      <c r="E889" t="s">
        <v>712</v>
      </c>
      <c r="F889" t="s">
        <v>14</v>
      </c>
      <c r="G889" t="s">
        <v>20</v>
      </c>
      <c r="H889" t="s">
        <v>42</v>
      </c>
      <c r="I889">
        <v>13.5</v>
      </c>
      <c r="J889">
        <v>14.9</v>
      </c>
      <c r="K889">
        <v>13.36</v>
      </c>
      <c r="L889">
        <v>15.59</v>
      </c>
      <c r="M889" s="7">
        <v>0.84689999999999999</v>
      </c>
      <c r="N889">
        <v>120000</v>
      </c>
      <c r="O889" s="2">
        <v>45912</v>
      </c>
    </row>
    <row r="890" spans="4:15" x14ac:dyDescent="0.45">
      <c r="D890" t="s">
        <v>1214</v>
      </c>
      <c r="E890" t="s">
        <v>319</v>
      </c>
      <c r="F890" t="s">
        <v>14</v>
      </c>
      <c r="G890" t="s">
        <v>32</v>
      </c>
      <c r="H890" t="s">
        <v>16</v>
      </c>
      <c r="I890">
        <v>10.31</v>
      </c>
      <c r="J890">
        <v>10.73</v>
      </c>
      <c r="K890">
        <v>13.47</v>
      </c>
      <c r="L890">
        <v>11.71</v>
      </c>
      <c r="M890" s="7">
        <v>0.82040000000000002</v>
      </c>
      <c r="N890">
        <v>90000</v>
      </c>
      <c r="O890" s="2">
        <v>45553</v>
      </c>
    </row>
    <row r="891" spans="4:15" x14ac:dyDescent="0.45">
      <c r="D891" t="s">
        <v>1215</v>
      </c>
      <c r="E891" t="s">
        <v>59</v>
      </c>
      <c r="F891" t="s">
        <v>14</v>
      </c>
      <c r="G891" t="s">
        <v>35</v>
      </c>
      <c r="H891" t="s">
        <v>21</v>
      </c>
      <c r="I891">
        <v>12.88</v>
      </c>
      <c r="J891">
        <v>11.2</v>
      </c>
      <c r="K891">
        <v>12.37</v>
      </c>
      <c r="L891">
        <v>13.76</v>
      </c>
      <c r="M891" s="7">
        <v>0.73619999999999997</v>
      </c>
      <c r="N891">
        <v>60000</v>
      </c>
      <c r="O891" s="2">
        <v>45960</v>
      </c>
    </row>
    <row r="892" spans="4:15" x14ac:dyDescent="0.45">
      <c r="D892" t="s">
        <v>1216</v>
      </c>
      <c r="E892" t="s">
        <v>172</v>
      </c>
      <c r="F892" t="s">
        <v>14</v>
      </c>
      <c r="G892" t="s">
        <v>32</v>
      </c>
      <c r="H892" t="s">
        <v>16</v>
      </c>
      <c r="I892">
        <v>16.57</v>
      </c>
      <c r="J892">
        <v>20</v>
      </c>
      <c r="K892">
        <v>17.39</v>
      </c>
      <c r="L892">
        <v>17.36</v>
      </c>
      <c r="M892" s="7">
        <v>0.80800000000000005</v>
      </c>
      <c r="N892">
        <v>100000</v>
      </c>
      <c r="O892" s="2">
        <v>46080</v>
      </c>
    </row>
    <row r="893" spans="4:15" x14ac:dyDescent="0.45">
      <c r="D893" t="s">
        <v>1217</v>
      </c>
      <c r="E893" t="s">
        <v>44</v>
      </c>
      <c r="F893" t="s">
        <v>19</v>
      </c>
      <c r="G893" t="s">
        <v>35</v>
      </c>
      <c r="H893" t="s">
        <v>21</v>
      </c>
      <c r="I893">
        <v>13.75</v>
      </c>
      <c r="J893">
        <v>16.03</v>
      </c>
      <c r="K893">
        <v>13.79</v>
      </c>
      <c r="L893">
        <v>12.45</v>
      </c>
      <c r="M893" s="7">
        <v>0.62170000000000003</v>
      </c>
      <c r="N893">
        <v>75000</v>
      </c>
      <c r="O893" s="2">
        <v>45606</v>
      </c>
    </row>
    <row r="894" spans="4:15" x14ac:dyDescent="0.45">
      <c r="D894" t="s">
        <v>1218</v>
      </c>
      <c r="E894" t="s">
        <v>254</v>
      </c>
      <c r="F894" t="s">
        <v>19</v>
      </c>
      <c r="G894" t="s">
        <v>47</v>
      </c>
      <c r="H894" t="s">
        <v>42</v>
      </c>
      <c r="I894">
        <v>9.5500000000000007</v>
      </c>
      <c r="J894">
        <v>11.25</v>
      </c>
      <c r="K894">
        <v>9.9</v>
      </c>
      <c r="L894">
        <v>7.34</v>
      </c>
      <c r="M894" s="7">
        <v>0.85919999999999996</v>
      </c>
      <c r="N894">
        <v>50000</v>
      </c>
      <c r="O894" s="2">
        <v>45609</v>
      </c>
    </row>
    <row r="895" spans="4:15" x14ac:dyDescent="0.45">
      <c r="D895" t="s">
        <v>1219</v>
      </c>
      <c r="E895" t="s">
        <v>46</v>
      </c>
      <c r="F895" t="s">
        <v>19</v>
      </c>
      <c r="G895" t="s">
        <v>47</v>
      </c>
      <c r="H895" t="s">
        <v>16</v>
      </c>
      <c r="I895">
        <v>15.25</v>
      </c>
      <c r="J895">
        <v>17.68</v>
      </c>
      <c r="K895">
        <v>13.17</v>
      </c>
      <c r="L895">
        <v>16.809999999999999</v>
      </c>
      <c r="M895" s="7">
        <v>0.87939999999999996</v>
      </c>
      <c r="N895">
        <v>70000</v>
      </c>
      <c r="O895" s="2">
        <v>45727</v>
      </c>
    </row>
    <row r="896" spans="4:15" x14ac:dyDescent="0.45">
      <c r="D896" t="s">
        <v>1220</v>
      </c>
      <c r="E896" t="s">
        <v>579</v>
      </c>
      <c r="F896" t="s">
        <v>19</v>
      </c>
      <c r="G896" t="s">
        <v>47</v>
      </c>
      <c r="H896" t="s">
        <v>16</v>
      </c>
      <c r="I896">
        <v>10.85</v>
      </c>
      <c r="J896">
        <v>12.56</v>
      </c>
      <c r="K896">
        <v>11.21</v>
      </c>
      <c r="L896">
        <v>8.98</v>
      </c>
      <c r="M896" s="7">
        <v>0.89259999999999995</v>
      </c>
      <c r="N896">
        <v>130000</v>
      </c>
      <c r="O896" s="2">
        <v>46126</v>
      </c>
    </row>
    <row r="897" spans="4:15" x14ac:dyDescent="0.45">
      <c r="D897" t="s">
        <v>1221</v>
      </c>
      <c r="E897" t="s">
        <v>617</v>
      </c>
      <c r="F897" t="s">
        <v>19</v>
      </c>
      <c r="G897" t="s">
        <v>20</v>
      </c>
      <c r="H897" t="s">
        <v>29</v>
      </c>
      <c r="I897">
        <v>12.27</v>
      </c>
      <c r="J897">
        <v>16.95</v>
      </c>
      <c r="K897">
        <v>17.75</v>
      </c>
      <c r="L897">
        <v>11.3</v>
      </c>
      <c r="M897" s="7">
        <v>0.78939999999999999</v>
      </c>
      <c r="N897">
        <v>80000</v>
      </c>
      <c r="O897" s="2">
        <v>45905</v>
      </c>
    </row>
    <row r="898" spans="4:15" x14ac:dyDescent="0.45">
      <c r="D898" t="s">
        <v>1222</v>
      </c>
      <c r="E898" t="s">
        <v>123</v>
      </c>
      <c r="F898" t="s">
        <v>19</v>
      </c>
      <c r="G898" t="s">
        <v>32</v>
      </c>
      <c r="H898" t="s">
        <v>29</v>
      </c>
      <c r="I898">
        <v>20</v>
      </c>
      <c r="J898">
        <v>17.37</v>
      </c>
      <c r="K898">
        <v>15.38</v>
      </c>
      <c r="L898">
        <v>17.690000000000001</v>
      </c>
      <c r="M898" s="7">
        <v>0.94220000000000004</v>
      </c>
      <c r="N898">
        <v>70000</v>
      </c>
      <c r="O898" s="2">
        <v>46219</v>
      </c>
    </row>
    <row r="899" spans="4:15" x14ac:dyDescent="0.45">
      <c r="D899" t="s">
        <v>1223</v>
      </c>
      <c r="E899" t="s">
        <v>69</v>
      </c>
      <c r="F899" t="s">
        <v>14</v>
      </c>
      <c r="G899" t="s">
        <v>15</v>
      </c>
      <c r="H899" t="s">
        <v>29</v>
      </c>
      <c r="I899">
        <v>13.99</v>
      </c>
      <c r="J899">
        <v>14.12</v>
      </c>
      <c r="K899">
        <v>14.39</v>
      </c>
      <c r="L899">
        <v>11.93</v>
      </c>
      <c r="M899" s="7">
        <v>0.90300000000000002</v>
      </c>
      <c r="N899">
        <v>60000</v>
      </c>
      <c r="O899" s="2">
        <v>46147</v>
      </c>
    </row>
    <row r="900" spans="4:15" x14ac:dyDescent="0.45">
      <c r="D900" t="s">
        <v>1224</v>
      </c>
      <c r="E900" t="s">
        <v>94</v>
      </c>
      <c r="F900" t="s">
        <v>14</v>
      </c>
      <c r="G900" t="s">
        <v>15</v>
      </c>
      <c r="H900" t="s">
        <v>42</v>
      </c>
      <c r="I900">
        <v>15.22</v>
      </c>
      <c r="J900">
        <v>15.3</v>
      </c>
      <c r="K900">
        <v>14.44</v>
      </c>
      <c r="L900">
        <v>14.87</v>
      </c>
      <c r="M900" s="7">
        <v>0.92100000000000004</v>
      </c>
      <c r="N900">
        <v>100000</v>
      </c>
      <c r="O900" s="2">
        <v>45924</v>
      </c>
    </row>
    <row r="901" spans="4:15" x14ac:dyDescent="0.45">
      <c r="D901" t="s">
        <v>1225</v>
      </c>
      <c r="E901" t="s">
        <v>1226</v>
      </c>
      <c r="F901" t="s">
        <v>19</v>
      </c>
      <c r="G901" t="s">
        <v>20</v>
      </c>
      <c r="H901" t="s">
        <v>16</v>
      </c>
      <c r="I901">
        <v>9.8800000000000008</v>
      </c>
      <c r="J901">
        <v>14.07</v>
      </c>
      <c r="K901">
        <v>11.76</v>
      </c>
      <c r="L901">
        <v>15.88</v>
      </c>
      <c r="M901" s="7">
        <v>0.85929999999999995</v>
      </c>
      <c r="N901">
        <v>110000</v>
      </c>
      <c r="O901" s="2">
        <v>46011</v>
      </c>
    </row>
    <row r="902" spans="4:15" x14ac:dyDescent="0.45">
      <c r="D902" t="s">
        <v>1227</v>
      </c>
      <c r="E902" t="s">
        <v>933</v>
      </c>
      <c r="F902" t="s">
        <v>14</v>
      </c>
      <c r="G902" t="s">
        <v>15</v>
      </c>
      <c r="H902" t="s">
        <v>16</v>
      </c>
      <c r="I902">
        <v>14.36</v>
      </c>
      <c r="J902">
        <v>14.96</v>
      </c>
      <c r="K902">
        <v>15.32</v>
      </c>
      <c r="L902">
        <v>15.34</v>
      </c>
      <c r="M902" s="7">
        <v>0.7581</v>
      </c>
      <c r="N902">
        <v>75000</v>
      </c>
      <c r="O902" s="2">
        <v>45767</v>
      </c>
    </row>
    <row r="903" spans="4:15" x14ac:dyDescent="0.45">
      <c r="D903" t="s">
        <v>1228</v>
      </c>
      <c r="E903" t="s">
        <v>314</v>
      </c>
      <c r="F903" t="s">
        <v>14</v>
      </c>
      <c r="G903" t="s">
        <v>47</v>
      </c>
      <c r="H903" t="s">
        <v>42</v>
      </c>
      <c r="I903">
        <v>10.98</v>
      </c>
      <c r="J903">
        <v>9.94</v>
      </c>
      <c r="K903">
        <v>10.45</v>
      </c>
      <c r="L903">
        <v>14.55</v>
      </c>
      <c r="M903" s="7">
        <v>0.92469999999999997</v>
      </c>
      <c r="N903">
        <v>60000</v>
      </c>
      <c r="O903" s="2">
        <v>45599</v>
      </c>
    </row>
    <row r="904" spans="4:15" x14ac:dyDescent="0.45">
      <c r="D904" t="s">
        <v>1229</v>
      </c>
      <c r="E904" t="s">
        <v>537</v>
      </c>
      <c r="F904" t="s">
        <v>14</v>
      </c>
      <c r="G904" t="s">
        <v>15</v>
      </c>
      <c r="H904" t="s">
        <v>21</v>
      </c>
      <c r="I904">
        <v>17.39</v>
      </c>
      <c r="J904">
        <v>14.88</v>
      </c>
      <c r="K904">
        <v>19.52</v>
      </c>
      <c r="L904">
        <v>14.4</v>
      </c>
      <c r="M904" s="7">
        <v>0.70069999999999999</v>
      </c>
      <c r="N904">
        <v>75000</v>
      </c>
      <c r="O904" s="2">
        <v>45815</v>
      </c>
    </row>
    <row r="905" spans="4:15" x14ac:dyDescent="0.45">
      <c r="D905" t="s">
        <v>1230</v>
      </c>
      <c r="E905" t="s">
        <v>787</v>
      </c>
      <c r="F905" t="s">
        <v>19</v>
      </c>
      <c r="G905" t="s">
        <v>32</v>
      </c>
      <c r="H905" t="s">
        <v>29</v>
      </c>
      <c r="I905">
        <v>14.65</v>
      </c>
      <c r="J905">
        <v>15.89</v>
      </c>
      <c r="K905">
        <v>18.47</v>
      </c>
      <c r="L905">
        <v>19.329999999999998</v>
      </c>
      <c r="M905" s="7">
        <v>0.77449999999999997</v>
      </c>
      <c r="N905">
        <v>100000</v>
      </c>
      <c r="O905" s="2">
        <v>45950</v>
      </c>
    </row>
    <row r="906" spans="4:15" x14ac:dyDescent="0.45">
      <c r="D906" t="s">
        <v>1231</v>
      </c>
      <c r="E906" t="s">
        <v>282</v>
      </c>
      <c r="F906" t="s">
        <v>14</v>
      </c>
      <c r="G906" t="s">
        <v>20</v>
      </c>
      <c r="H906" t="s">
        <v>21</v>
      </c>
      <c r="I906">
        <v>13.59</v>
      </c>
      <c r="J906">
        <v>8.17</v>
      </c>
      <c r="K906">
        <v>12.73</v>
      </c>
      <c r="L906">
        <v>9.49</v>
      </c>
      <c r="M906" s="7">
        <v>0.55000000000000004</v>
      </c>
      <c r="N906">
        <v>60000</v>
      </c>
      <c r="O906" s="2">
        <v>45663</v>
      </c>
    </row>
    <row r="907" spans="4:15" x14ac:dyDescent="0.45">
      <c r="D907" t="s">
        <v>1232</v>
      </c>
      <c r="E907" t="s">
        <v>465</v>
      </c>
      <c r="F907" t="s">
        <v>19</v>
      </c>
      <c r="G907" t="s">
        <v>20</v>
      </c>
      <c r="H907" t="s">
        <v>29</v>
      </c>
      <c r="I907">
        <v>10.34</v>
      </c>
      <c r="J907">
        <v>13.29</v>
      </c>
      <c r="K907">
        <v>14.55</v>
      </c>
      <c r="L907">
        <v>11.66</v>
      </c>
      <c r="M907" s="7">
        <v>0.84130000000000005</v>
      </c>
      <c r="N907">
        <v>70000</v>
      </c>
      <c r="O907" s="2">
        <v>45691</v>
      </c>
    </row>
    <row r="908" spans="4:15" x14ac:dyDescent="0.45">
      <c r="D908" t="s">
        <v>1233</v>
      </c>
      <c r="E908" t="s">
        <v>115</v>
      </c>
      <c r="F908" t="s">
        <v>14</v>
      </c>
      <c r="G908" t="s">
        <v>47</v>
      </c>
      <c r="H908" t="s">
        <v>29</v>
      </c>
      <c r="I908">
        <v>9.16</v>
      </c>
      <c r="J908">
        <v>12.68</v>
      </c>
      <c r="K908">
        <v>6</v>
      </c>
      <c r="L908">
        <v>11.54</v>
      </c>
      <c r="M908" s="7">
        <v>0.92610000000000003</v>
      </c>
      <c r="N908">
        <v>50000</v>
      </c>
      <c r="O908" s="2">
        <v>45546</v>
      </c>
    </row>
    <row r="909" spans="4:15" x14ac:dyDescent="0.45">
      <c r="D909" t="s">
        <v>1234</v>
      </c>
      <c r="E909" t="s">
        <v>172</v>
      </c>
      <c r="F909" t="s">
        <v>14</v>
      </c>
      <c r="G909" t="s">
        <v>20</v>
      </c>
      <c r="H909" t="s">
        <v>16</v>
      </c>
      <c r="I909">
        <v>9.98</v>
      </c>
      <c r="J909">
        <v>16.48</v>
      </c>
      <c r="K909">
        <v>5.09</v>
      </c>
      <c r="L909">
        <v>10</v>
      </c>
      <c r="M909" s="7">
        <v>0.91759999999999997</v>
      </c>
      <c r="N909">
        <v>85000</v>
      </c>
      <c r="O909" s="2">
        <v>46049</v>
      </c>
    </row>
    <row r="910" spans="4:15" x14ac:dyDescent="0.45">
      <c r="D910" t="s">
        <v>1235</v>
      </c>
      <c r="E910" t="s">
        <v>67</v>
      </c>
      <c r="F910" t="s">
        <v>14</v>
      </c>
      <c r="G910" t="s">
        <v>47</v>
      </c>
      <c r="H910" t="s">
        <v>29</v>
      </c>
      <c r="I910">
        <v>11.2</v>
      </c>
      <c r="J910">
        <v>7.92</v>
      </c>
      <c r="K910">
        <v>7.7</v>
      </c>
      <c r="L910">
        <v>10.82</v>
      </c>
      <c r="M910" s="7">
        <v>0.64249999999999996</v>
      </c>
      <c r="N910">
        <v>60000</v>
      </c>
      <c r="O910" s="2">
        <v>46165</v>
      </c>
    </row>
    <row r="911" spans="4:15" x14ac:dyDescent="0.45">
      <c r="D911" t="s">
        <v>1236</v>
      </c>
      <c r="E911" t="s">
        <v>643</v>
      </c>
      <c r="F911" t="s">
        <v>14</v>
      </c>
      <c r="G911" t="s">
        <v>28</v>
      </c>
      <c r="H911" t="s">
        <v>29</v>
      </c>
      <c r="I911">
        <v>11.39</v>
      </c>
      <c r="J911">
        <v>14.76</v>
      </c>
      <c r="K911">
        <v>12.71</v>
      </c>
      <c r="L911">
        <v>14.49</v>
      </c>
      <c r="M911" s="7">
        <v>0.88639999999999997</v>
      </c>
      <c r="N911">
        <v>70000</v>
      </c>
      <c r="O911" s="2">
        <v>46115</v>
      </c>
    </row>
    <row r="912" spans="4:15" x14ac:dyDescent="0.45">
      <c r="D912" t="s">
        <v>1237</v>
      </c>
      <c r="E912" t="s">
        <v>605</v>
      </c>
      <c r="F912" t="s">
        <v>19</v>
      </c>
      <c r="G912" t="s">
        <v>15</v>
      </c>
      <c r="H912" t="s">
        <v>42</v>
      </c>
      <c r="I912">
        <v>15.67</v>
      </c>
      <c r="J912">
        <v>16.52</v>
      </c>
      <c r="K912">
        <v>18.239999999999998</v>
      </c>
      <c r="L912">
        <v>20</v>
      </c>
      <c r="M912" s="7">
        <v>0.95789999999999997</v>
      </c>
      <c r="N912">
        <v>60000</v>
      </c>
      <c r="O912" s="2">
        <v>45801</v>
      </c>
    </row>
    <row r="913" spans="4:15" x14ac:dyDescent="0.45">
      <c r="D913" t="s">
        <v>1238</v>
      </c>
      <c r="E913" t="s">
        <v>1239</v>
      </c>
      <c r="F913" t="s">
        <v>14</v>
      </c>
      <c r="G913" t="s">
        <v>32</v>
      </c>
      <c r="H913" t="s">
        <v>16</v>
      </c>
      <c r="I913">
        <v>13.21</v>
      </c>
      <c r="J913">
        <v>18.350000000000001</v>
      </c>
      <c r="K913">
        <v>18.14</v>
      </c>
      <c r="L913">
        <v>20</v>
      </c>
      <c r="M913" s="7">
        <v>0.85370000000000001</v>
      </c>
      <c r="N913">
        <v>110000</v>
      </c>
      <c r="O913" s="2">
        <v>45951</v>
      </c>
    </row>
    <row r="914" spans="4:15" x14ac:dyDescent="0.45">
      <c r="D914" t="s">
        <v>1240</v>
      </c>
      <c r="E914" t="s">
        <v>486</v>
      </c>
      <c r="F914" t="s">
        <v>14</v>
      </c>
      <c r="G914" t="s">
        <v>15</v>
      </c>
      <c r="H914" t="s">
        <v>16</v>
      </c>
      <c r="I914">
        <v>6.55</v>
      </c>
      <c r="J914">
        <v>9.7899999999999991</v>
      </c>
      <c r="K914">
        <v>11.17</v>
      </c>
      <c r="L914">
        <v>9.4700000000000006</v>
      </c>
      <c r="M914" s="7">
        <v>0.82720000000000005</v>
      </c>
      <c r="N914">
        <v>85000</v>
      </c>
      <c r="O914" s="2">
        <v>46208</v>
      </c>
    </row>
    <row r="915" spans="4:15" x14ac:dyDescent="0.45">
      <c r="D915" t="s">
        <v>1241</v>
      </c>
      <c r="E915" t="s">
        <v>207</v>
      </c>
      <c r="F915" t="s">
        <v>19</v>
      </c>
      <c r="G915" t="s">
        <v>32</v>
      </c>
      <c r="H915" t="s">
        <v>29</v>
      </c>
      <c r="I915">
        <v>13.74</v>
      </c>
      <c r="J915">
        <v>14.14</v>
      </c>
      <c r="K915">
        <v>13.23</v>
      </c>
      <c r="L915">
        <v>16.649999999999999</v>
      </c>
      <c r="M915" s="7">
        <v>0.90839999999999999</v>
      </c>
      <c r="N915">
        <v>130000</v>
      </c>
      <c r="O915" s="2">
        <v>45949</v>
      </c>
    </row>
    <row r="916" spans="4:15" x14ac:dyDescent="0.45">
      <c r="D916" t="s">
        <v>1242</v>
      </c>
      <c r="E916" t="s">
        <v>1226</v>
      </c>
      <c r="F916" t="s">
        <v>19</v>
      </c>
      <c r="G916" t="s">
        <v>20</v>
      </c>
      <c r="H916" t="s">
        <v>16</v>
      </c>
      <c r="I916">
        <v>13.93</v>
      </c>
      <c r="J916">
        <v>17.5</v>
      </c>
      <c r="K916">
        <v>18.559999999999999</v>
      </c>
      <c r="L916">
        <v>20</v>
      </c>
      <c r="M916" s="7">
        <v>0.81840000000000002</v>
      </c>
      <c r="N916">
        <v>80000</v>
      </c>
      <c r="O916" s="2">
        <v>45743</v>
      </c>
    </row>
    <row r="917" spans="4:15" x14ac:dyDescent="0.45">
      <c r="D917" t="s">
        <v>1243</v>
      </c>
      <c r="E917" t="s">
        <v>41</v>
      </c>
      <c r="F917" t="s">
        <v>14</v>
      </c>
      <c r="G917" t="s">
        <v>35</v>
      </c>
      <c r="H917" t="s">
        <v>16</v>
      </c>
      <c r="I917">
        <v>10.61</v>
      </c>
      <c r="J917">
        <v>8.27</v>
      </c>
      <c r="K917">
        <v>12.45</v>
      </c>
      <c r="L917">
        <v>9.51</v>
      </c>
      <c r="M917" s="7">
        <v>0.65190000000000003</v>
      </c>
      <c r="N917">
        <v>70000</v>
      </c>
      <c r="O917" s="2">
        <v>45773</v>
      </c>
    </row>
    <row r="918" spans="4:15" x14ac:dyDescent="0.45">
      <c r="D918" t="s">
        <v>1244</v>
      </c>
      <c r="E918" t="s">
        <v>465</v>
      </c>
      <c r="F918" t="s">
        <v>19</v>
      </c>
      <c r="G918" t="s">
        <v>20</v>
      </c>
      <c r="H918" t="s">
        <v>42</v>
      </c>
      <c r="I918">
        <v>9.35</v>
      </c>
      <c r="J918">
        <v>16.22</v>
      </c>
      <c r="K918">
        <v>14.75</v>
      </c>
      <c r="L918">
        <v>10.8</v>
      </c>
      <c r="M918" s="7">
        <v>0.93179999999999996</v>
      </c>
      <c r="N918">
        <v>70000</v>
      </c>
      <c r="O918" s="2">
        <v>46044</v>
      </c>
    </row>
    <row r="919" spans="4:15" x14ac:dyDescent="0.45">
      <c r="D919" t="s">
        <v>1245</v>
      </c>
      <c r="E919" t="s">
        <v>370</v>
      </c>
      <c r="F919" t="s">
        <v>19</v>
      </c>
      <c r="G919" t="s">
        <v>15</v>
      </c>
      <c r="H919" t="s">
        <v>21</v>
      </c>
      <c r="I919">
        <v>5.64</v>
      </c>
      <c r="J919">
        <v>6.58</v>
      </c>
      <c r="K919">
        <v>6.93</v>
      </c>
      <c r="L919">
        <v>10.54</v>
      </c>
      <c r="M919" s="7">
        <v>0.89249999999999996</v>
      </c>
      <c r="N919">
        <v>130000</v>
      </c>
      <c r="O919" s="2">
        <v>45848</v>
      </c>
    </row>
    <row r="920" spans="4:15" x14ac:dyDescent="0.45">
      <c r="D920" t="s">
        <v>1246</v>
      </c>
      <c r="E920" t="s">
        <v>443</v>
      </c>
      <c r="F920" t="s">
        <v>14</v>
      </c>
      <c r="G920" t="s">
        <v>28</v>
      </c>
      <c r="H920" t="s">
        <v>42</v>
      </c>
      <c r="I920">
        <v>16.89</v>
      </c>
      <c r="J920">
        <v>14.57</v>
      </c>
      <c r="K920">
        <v>17.489999999999998</v>
      </c>
      <c r="L920">
        <v>14.75</v>
      </c>
      <c r="M920" s="7">
        <v>0.91790000000000005</v>
      </c>
      <c r="N920">
        <v>90000</v>
      </c>
      <c r="O920" s="2">
        <v>46122</v>
      </c>
    </row>
    <row r="921" spans="4:15" x14ac:dyDescent="0.45">
      <c r="D921" t="s">
        <v>1247</v>
      </c>
      <c r="E921" t="s">
        <v>649</v>
      </c>
      <c r="F921" t="s">
        <v>19</v>
      </c>
      <c r="G921" t="s">
        <v>15</v>
      </c>
      <c r="H921" t="s">
        <v>16</v>
      </c>
      <c r="I921">
        <v>11.41</v>
      </c>
      <c r="J921">
        <v>7.78</v>
      </c>
      <c r="K921">
        <v>10.49</v>
      </c>
      <c r="L921">
        <v>9.92</v>
      </c>
      <c r="M921" s="7">
        <v>0.76900000000000002</v>
      </c>
      <c r="N921">
        <v>75000</v>
      </c>
      <c r="O921" s="2">
        <v>46140</v>
      </c>
    </row>
    <row r="922" spans="4:15" x14ac:dyDescent="0.45">
      <c r="D922" t="s">
        <v>1248</v>
      </c>
      <c r="E922" t="s">
        <v>640</v>
      </c>
      <c r="F922" t="s">
        <v>19</v>
      </c>
      <c r="G922" t="s">
        <v>20</v>
      </c>
      <c r="H922" t="s">
        <v>21</v>
      </c>
      <c r="I922">
        <v>14.47</v>
      </c>
      <c r="J922">
        <v>13.18</v>
      </c>
      <c r="K922">
        <v>18.16</v>
      </c>
      <c r="L922">
        <v>13.98</v>
      </c>
      <c r="M922" s="7">
        <v>0.90559999999999996</v>
      </c>
      <c r="N922">
        <v>100000</v>
      </c>
      <c r="O922" s="2">
        <v>45561</v>
      </c>
    </row>
    <row r="923" spans="4:15" x14ac:dyDescent="0.45">
      <c r="D923" t="s">
        <v>1249</v>
      </c>
      <c r="E923" t="s">
        <v>123</v>
      </c>
      <c r="F923" t="s">
        <v>19</v>
      </c>
      <c r="G923" t="s">
        <v>28</v>
      </c>
      <c r="H923" t="s">
        <v>42</v>
      </c>
      <c r="I923">
        <v>6.92</v>
      </c>
      <c r="J923">
        <v>8.91</v>
      </c>
      <c r="K923">
        <v>7.59</v>
      </c>
      <c r="L923">
        <v>3.78</v>
      </c>
      <c r="M923" s="7">
        <v>0.89639999999999997</v>
      </c>
      <c r="N923">
        <v>90000</v>
      </c>
      <c r="O923" s="2">
        <v>46042</v>
      </c>
    </row>
    <row r="924" spans="4:15" x14ac:dyDescent="0.45">
      <c r="D924" t="s">
        <v>1250</v>
      </c>
      <c r="E924" t="s">
        <v>1239</v>
      </c>
      <c r="F924" t="s">
        <v>14</v>
      </c>
      <c r="G924" t="s">
        <v>15</v>
      </c>
      <c r="H924" t="s">
        <v>42</v>
      </c>
      <c r="I924">
        <v>11.64</v>
      </c>
      <c r="J924">
        <v>15.4</v>
      </c>
      <c r="K924">
        <v>16.850000000000001</v>
      </c>
      <c r="L924">
        <v>14.5</v>
      </c>
      <c r="M924" s="7">
        <v>0.89459999999999995</v>
      </c>
      <c r="N924">
        <v>60000</v>
      </c>
      <c r="O924" s="2">
        <v>45794</v>
      </c>
    </row>
    <row r="925" spans="4:15" x14ac:dyDescent="0.45">
      <c r="D925" t="s">
        <v>1251</v>
      </c>
      <c r="E925" t="s">
        <v>1032</v>
      </c>
      <c r="F925" t="s">
        <v>14</v>
      </c>
      <c r="G925" t="s">
        <v>15</v>
      </c>
      <c r="H925" t="s">
        <v>16</v>
      </c>
      <c r="I925">
        <v>13.86</v>
      </c>
      <c r="J925">
        <v>17.82</v>
      </c>
      <c r="K925">
        <v>16.440000000000001</v>
      </c>
      <c r="L925">
        <v>14.61</v>
      </c>
      <c r="M925" s="7">
        <v>0.76690000000000003</v>
      </c>
      <c r="N925">
        <v>100000</v>
      </c>
      <c r="O925" s="2">
        <v>45899</v>
      </c>
    </row>
    <row r="926" spans="4:15" x14ac:dyDescent="0.45">
      <c r="D926" t="s">
        <v>1252</v>
      </c>
      <c r="E926" t="s">
        <v>82</v>
      </c>
      <c r="F926" t="s">
        <v>14</v>
      </c>
      <c r="G926" t="s">
        <v>15</v>
      </c>
      <c r="H926" t="s">
        <v>42</v>
      </c>
      <c r="I926">
        <v>11.21</v>
      </c>
      <c r="J926">
        <v>14.87</v>
      </c>
      <c r="K926">
        <v>10.79</v>
      </c>
      <c r="L926">
        <v>13.23</v>
      </c>
      <c r="M926" s="7">
        <v>0.80840000000000001</v>
      </c>
      <c r="N926">
        <v>60000</v>
      </c>
      <c r="O926" s="2">
        <v>45721</v>
      </c>
    </row>
    <row r="927" spans="4:15" x14ac:dyDescent="0.45">
      <c r="D927" t="s">
        <v>1253</v>
      </c>
      <c r="E927" t="s">
        <v>714</v>
      </c>
      <c r="F927" t="s">
        <v>19</v>
      </c>
      <c r="G927" t="s">
        <v>28</v>
      </c>
      <c r="H927" t="s">
        <v>16</v>
      </c>
      <c r="I927">
        <v>12.23</v>
      </c>
      <c r="J927">
        <v>12.33</v>
      </c>
      <c r="K927">
        <v>11.91</v>
      </c>
      <c r="L927">
        <v>12.41</v>
      </c>
      <c r="M927" s="7">
        <v>0.85250000000000004</v>
      </c>
      <c r="N927">
        <v>70000</v>
      </c>
      <c r="O927" s="2">
        <v>45793</v>
      </c>
    </row>
    <row r="928" spans="4:15" x14ac:dyDescent="0.45">
      <c r="D928" t="s">
        <v>1254</v>
      </c>
      <c r="E928" t="s">
        <v>140</v>
      </c>
      <c r="F928" t="s">
        <v>19</v>
      </c>
      <c r="G928" t="s">
        <v>20</v>
      </c>
      <c r="H928" t="s">
        <v>42</v>
      </c>
      <c r="I928">
        <v>9.4499999999999993</v>
      </c>
      <c r="J928">
        <v>9.98</v>
      </c>
      <c r="K928">
        <v>7</v>
      </c>
      <c r="L928">
        <v>8.6300000000000008</v>
      </c>
      <c r="M928" s="7">
        <v>0.95640000000000003</v>
      </c>
      <c r="N928">
        <v>100000</v>
      </c>
      <c r="O928" s="2">
        <v>45767</v>
      </c>
    </row>
    <row r="929" spans="4:15" x14ac:dyDescent="0.45">
      <c r="D929" t="s">
        <v>1255</v>
      </c>
      <c r="E929" t="s">
        <v>146</v>
      </c>
      <c r="F929" t="s">
        <v>14</v>
      </c>
      <c r="G929" t="s">
        <v>15</v>
      </c>
      <c r="H929" t="s">
        <v>16</v>
      </c>
      <c r="I929">
        <v>14.14</v>
      </c>
      <c r="J929">
        <v>16.34</v>
      </c>
      <c r="K929">
        <v>7.1</v>
      </c>
      <c r="L929">
        <v>13.52</v>
      </c>
      <c r="M929" s="7">
        <v>0.97670000000000001</v>
      </c>
      <c r="N929">
        <v>80000</v>
      </c>
      <c r="O929" s="2">
        <v>45571</v>
      </c>
    </row>
    <row r="930" spans="4:15" x14ac:dyDescent="0.45">
      <c r="D930" t="s">
        <v>1256</v>
      </c>
      <c r="E930" t="s">
        <v>1178</v>
      </c>
      <c r="F930" t="s">
        <v>14</v>
      </c>
      <c r="G930" t="s">
        <v>20</v>
      </c>
      <c r="H930" t="s">
        <v>21</v>
      </c>
      <c r="I930">
        <v>10.25</v>
      </c>
      <c r="J930">
        <v>13.52</v>
      </c>
      <c r="K930">
        <v>5.33</v>
      </c>
      <c r="L930">
        <v>8.48</v>
      </c>
      <c r="M930" s="7">
        <v>0.79890000000000005</v>
      </c>
      <c r="N930">
        <v>70000</v>
      </c>
      <c r="O930" s="2">
        <v>46083</v>
      </c>
    </row>
    <row r="931" spans="4:15" x14ac:dyDescent="0.45">
      <c r="D931" t="s">
        <v>1257</v>
      </c>
      <c r="E931" t="s">
        <v>819</v>
      </c>
      <c r="F931" t="s">
        <v>19</v>
      </c>
      <c r="G931" t="s">
        <v>20</v>
      </c>
      <c r="H931" t="s">
        <v>16</v>
      </c>
      <c r="I931">
        <v>9.2100000000000009</v>
      </c>
      <c r="J931">
        <v>9.48</v>
      </c>
      <c r="K931">
        <v>12.16</v>
      </c>
      <c r="L931">
        <v>10.36</v>
      </c>
      <c r="M931" s="7">
        <v>0.98309999999999997</v>
      </c>
      <c r="N931">
        <v>50000</v>
      </c>
      <c r="O931" s="2">
        <v>45636</v>
      </c>
    </row>
    <row r="932" spans="4:15" x14ac:dyDescent="0.45">
      <c r="D932" t="s">
        <v>1258</v>
      </c>
      <c r="E932" t="s">
        <v>338</v>
      </c>
      <c r="F932" t="s">
        <v>19</v>
      </c>
      <c r="G932" t="s">
        <v>15</v>
      </c>
      <c r="H932" t="s">
        <v>42</v>
      </c>
      <c r="I932">
        <v>14.06</v>
      </c>
      <c r="J932">
        <v>17.39</v>
      </c>
      <c r="K932">
        <v>17.68</v>
      </c>
      <c r="L932">
        <v>16.05</v>
      </c>
      <c r="M932" s="7">
        <v>0.60460000000000003</v>
      </c>
      <c r="N932">
        <v>90000</v>
      </c>
      <c r="O932" s="2">
        <v>45799</v>
      </c>
    </row>
    <row r="933" spans="4:15" x14ac:dyDescent="0.45">
      <c r="D933" t="s">
        <v>1259</v>
      </c>
      <c r="E933" t="s">
        <v>775</v>
      </c>
      <c r="F933" t="s">
        <v>19</v>
      </c>
      <c r="G933" t="s">
        <v>35</v>
      </c>
      <c r="H933" t="s">
        <v>16</v>
      </c>
      <c r="I933">
        <v>11.8</v>
      </c>
      <c r="J933">
        <v>15</v>
      </c>
      <c r="K933">
        <v>16.59</v>
      </c>
      <c r="L933">
        <v>14.88</v>
      </c>
      <c r="M933" s="7">
        <v>0.55000000000000004</v>
      </c>
      <c r="N933">
        <v>100000</v>
      </c>
      <c r="O933" s="2">
        <v>45671</v>
      </c>
    </row>
    <row r="934" spans="4:15" x14ac:dyDescent="0.45">
      <c r="D934" t="s">
        <v>1260</v>
      </c>
      <c r="E934" t="s">
        <v>285</v>
      </c>
      <c r="F934" t="s">
        <v>14</v>
      </c>
      <c r="G934" t="s">
        <v>32</v>
      </c>
      <c r="H934" t="s">
        <v>42</v>
      </c>
      <c r="I934">
        <v>14.97</v>
      </c>
      <c r="J934">
        <v>12.31</v>
      </c>
      <c r="K934">
        <v>10.65</v>
      </c>
      <c r="L934">
        <v>15.05</v>
      </c>
      <c r="M934" s="7">
        <v>0.81569999999999998</v>
      </c>
      <c r="N934">
        <v>70000</v>
      </c>
      <c r="O934" s="2">
        <v>45648</v>
      </c>
    </row>
    <row r="935" spans="4:15" x14ac:dyDescent="0.45">
      <c r="D935" t="s">
        <v>1261</v>
      </c>
      <c r="E935" t="s">
        <v>693</v>
      </c>
      <c r="F935" t="s">
        <v>19</v>
      </c>
      <c r="G935" t="s">
        <v>35</v>
      </c>
      <c r="H935" t="s">
        <v>29</v>
      </c>
      <c r="I935">
        <v>8.07</v>
      </c>
      <c r="J935">
        <v>9.15</v>
      </c>
      <c r="K935">
        <v>9.3000000000000007</v>
      </c>
      <c r="L935">
        <v>8.1199999999999992</v>
      </c>
      <c r="M935" s="7">
        <v>0.91720000000000002</v>
      </c>
      <c r="N935">
        <v>80000</v>
      </c>
      <c r="O935" s="2">
        <v>45797</v>
      </c>
    </row>
    <row r="936" spans="4:15" x14ac:dyDescent="0.45">
      <c r="D936" t="s">
        <v>1262</v>
      </c>
      <c r="E936" t="s">
        <v>63</v>
      </c>
      <c r="F936" t="s">
        <v>14</v>
      </c>
      <c r="G936" t="s">
        <v>32</v>
      </c>
      <c r="H936" t="s">
        <v>21</v>
      </c>
      <c r="I936">
        <v>15.98</v>
      </c>
      <c r="J936">
        <v>15.05</v>
      </c>
      <c r="K936">
        <v>15.78</v>
      </c>
      <c r="L936">
        <v>15.55</v>
      </c>
      <c r="M936" s="7">
        <v>0.82989999999999997</v>
      </c>
      <c r="N936">
        <v>75000</v>
      </c>
      <c r="O936" s="2">
        <v>46179</v>
      </c>
    </row>
    <row r="937" spans="4:15" x14ac:dyDescent="0.45">
      <c r="D937" t="s">
        <v>1263</v>
      </c>
      <c r="E937" t="s">
        <v>771</v>
      </c>
      <c r="F937" t="s">
        <v>19</v>
      </c>
      <c r="G937" t="s">
        <v>28</v>
      </c>
      <c r="H937" t="s">
        <v>42</v>
      </c>
      <c r="I937">
        <v>17.850000000000001</v>
      </c>
      <c r="J937">
        <v>14.98</v>
      </c>
      <c r="K937">
        <v>15.41</v>
      </c>
      <c r="L937">
        <v>13.46</v>
      </c>
      <c r="M937" s="7">
        <v>0.95130000000000003</v>
      </c>
      <c r="N937">
        <v>120000</v>
      </c>
      <c r="O937" s="2">
        <v>46196</v>
      </c>
    </row>
    <row r="938" spans="4:15" x14ac:dyDescent="0.45">
      <c r="D938" t="s">
        <v>1264</v>
      </c>
      <c r="E938" t="s">
        <v>594</v>
      </c>
      <c r="F938" t="s">
        <v>14</v>
      </c>
      <c r="G938" t="s">
        <v>32</v>
      </c>
      <c r="H938" t="s">
        <v>29</v>
      </c>
      <c r="I938">
        <v>9.91</v>
      </c>
      <c r="J938">
        <v>15.25</v>
      </c>
      <c r="K938">
        <v>11.12</v>
      </c>
      <c r="L938">
        <v>13.42</v>
      </c>
      <c r="M938" s="7">
        <v>0.55000000000000004</v>
      </c>
      <c r="N938">
        <v>110000</v>
      </c>
      <c r="O938" s="2">
        <v>45803</v>
      </c>
    </row>
    <row r="939" spans="4:15" x14ac:dyDescent="0.45">
      <c r="D939" t="s">
        <v>1265</v>
      </c>
      <c r="E939" t="s">
        <v>289</v>
      </c>
      <c r="F939" t="s">
        <v>14</v>
      </c>
      <c r="G939" t="s">
        <v>15</v>
      </c>
      <c r="H939" t="s">
        <v>16</v>
      </c>
      <c r="I939">
        <v>13.82</v>
      </c>
      <c r="J939">
        <v>15.59</v>
      </c>
      <c r="K939">
        <v>19.059999999999999</v>
      </c>
      <c r="L939">
        <v>15.16</v>
      </c>
      <c r="M939" s="7">
        <v>0.85319999999999996</v>
      </c>
      <c r="N939">
        <v>75000</v>
      </c>
      <c r="O939" s="2">
        <v>45889</v>
      </c>
    </row>
    <row r="940" spans="4:15" x14ac:dyDescent="0.45">
      <c r="D940" t="s">
        <v>1266</v>
      </c>
      <c r="E940" t="s">
        <v>619</v>
      </c>
      <c r="F940" t="s">
        <v>14</v>
      </c>
      <c r="G940" t="s">
        <v>15</v>
      </c>
      <c r="H940" t="s">
        <v>42</v>
      </c>
      <c r="I940">
        <v>9.09</v>
      </c>
      <c r="J940">
        <v>13.15</v>
      </c>
      <c r="K940">
        <v>15.38</v>
      </c>
      <c r="L940">
        <v>9.6300000000000008</v>
      </c>
      <c r="M940" s="7">
        <v>0.71779999999999999</v>
      </c>
      <c r="N940">
        <v>85000</v>
      </c>
      <c r="O940" s="2">
        <v>46225</v>
      </c>
    </row>
    <row r="941" spans="4:15" x14ac:dyDescent="0.45">
      <c r="D941" t="s">
        <v>1267</v>
      </c>
      <c r="E941" t="s">
        <v>465</v>
      </c>
      <c r="F941" t="s">
        <v>19</v>
      </c>
      <c r="G941" t="s">
        <v>20</v>
      </c>
      <c r="H941" t="s">
        <v>29</v>
      </c>
      <c r="I941">
        <v>13.1</v>
      </c>
      <c r="J941">
        <v>16.88</v>
      </c>
      <c r="K941">
        <v>14.84</v>
      </c>
      <c r="L941">
        <v>15.75</v>
      </c>
      <c r="M941" s="7">
        <v>0.9123</v>
      </c>
      <c r="N941">
        <v>130000</v>
      </c>
      <c r="O941" s="2">
        <v>45700</v>
      </c>
    </row>
    <row r="942" spans="4:15" x14ac:dyDescent="0.45">
      <c r="D942" t="s">
        <v>1268</v>
      </c>
      <c r="E942" t="s">
        <v>409</v>
      </c>
      <c r="F942" t="s">
        <v>19</v>
      </c>
      <c r="G942" t="s">
        <v>47</v>
      </c>
      <c r="H942" t="s">
        <v>16</v>
      </c>
      <c r="I942">
        <v>10.4</v>
      </c>
      <c r="J942">
        <v>16.95</v>
      </c>
      <c r="K942">
        <v>14.09</v>
      </c>
      <c r="L942">
        <v>11.39</v>
      </c>
      <c r="M942" s="7">
        <v>0.82010000000000005</v>
      </c>
      <c r="N942">
        <v>75000</v>
      </c>
      <c r="O942" s="2">
        <v>46197</v>
      </c>
    </row>
    <row r="943" spans="4:15" x14ac:dyDescent="0.45">
      <c r="D943" t="s">
        <v>1269</v>
      </c>
      <c r="E943" t="s">
        <v>764</v>
      </c>
      <c r="F943" t="s">
        <v>14</v>
      </c>
      <c r="G943" t="s">
        <v>35</v>
      </c>
      <c r="H943" t="s">
        <v>42</v>
      </c>
      <c r="I943">
        <v>13.49</v>
      </c>
      <c r="J943">
        <v>15.24</v>
      </c>
      <c r="K943">
        <v>9.5399999999999991</v>
      </c>
      <c r="L943">
        <v>9.7899999999999991</v>
      </c>
      <c r="M943" s="7">
        <v>0.88200000000000001</v>
      </c>
      <c r="N943">
        <v>60000</v>
      </c>
      <c r="O943" s="2">
        <v>45610</v>
      </c>
    </row>
    <row r="944" spans="4:15" x14ac:dyDescent="0.45">
      <c r="D944" t="s">
        <v>1270</v>
      </c>
      <c r="E944" t="s">
        <v>105</v>
      </c>
      <c r="F944" t="s">
        <v>19</v>
      </c>
      <c r="G944" t="s">
        <v>35</v>
      </c>
      <c r="H944" t="s">
        <v>16</v>
      </c>
      <c r="I944">
        <v>16.190000000000001</v>
      </c>
      <c r="J944">
        <v>12.84</v>
      </c>
      <c r="K944">
        <v>18.32</v>
      </c>
      <c r="L944">
        <v>12.37</v>
      </c>
      <c r="M944" s="7">
        <v>0.9002</v>
      </c>
      <c r="N944">
        <v>75000</v>
      </c>
      <c r="O944" s="2">
        <v>45694</v>
      </c>
    </row>
    <row r="945" spans="4:15" x14ac:dyDescent="0.45">
      <c r="D945" t="s">
        <v>1271</v>
      </c>
      <c r="E945" t="s">
        <v>353</v>
      </c>
      <c r="F945" t="s">
        <v>14</v>
      </c>
      <c r="G945" t="s">
        <v>28</v>
      </c>
      <c r="H945" t="s">
        <v>16</v>
      </c>
      <c r="I945">
        <v>12.43</v>
      </c>
      <c r="J945">
        <v>12.78</v>
      </c>
      <c r="K945">
        <v>11.68</v>
      </c>
      <c r="L945">
        <v>10.42</v>
      </c>
      <c r="M945" s="7">
        <v>0.78869999999999996</v>
      </c>
      <c r="N945">
        <v>90000</v>
      </c>
      <c r="O945" s="2">
        <v>45772</v>
      </c>
    </row>
    <row r="946" spans="4:15" x14ac:dyDescent="0.45">
      <c r="D946" t="s">
        <v>1272</v>
      </c>
      <c r="E946" t="s">
        <v>601</v>
      </c>
      <c r="F946" t="s">
        <v>14</v>
      </c>
      <c r="G946" t="s">
        <v>28</v>
      </c>
      <c r="H946" t="s">
        <v>16</v>
      </c>
      <c r="I946">
        <v>13.01</v>
      </c>
      <c r="J946">
        <v>13.99</v>
      </c>
      <c r="K946">
        <v>14.49</v>
      </c>
      <c r="L946">
        <v>12.12</v>
      </c>
      <c r="M946" s="7">
        <v>0.65469999999999995</v>
      </c>
      <c r="N946">
        <v>130000</v>
      </c>
      <c r="O946" s="2">
        <v>45561</v>
      </c>
    </row>
    <row r="947" spans="4:15" x14ac:dyDescent="0.45">
      <c r="D947" t="s">
        <v>1273</v>
      </c>
      <c r="E947" t="s">
        <v>348</v>
      </c>
      <c r="F947" t="s">
        <v>14</v>
      </c>
      <c r="G947" t="s">
        <v>20</v>
      </c>
      <c r="H947" t="s">
        <v>29</v>
      </c>
      <c r="I947">
        <v>15.24</v>
      </c>
      <c r="J947">
        <v>11.82</v>
      </c>
      <c r="K947">
        <v>16.3</v>
      </c>
      <c r="L947">
        <v>14.84</v>
      </c>
      <c r="M947" s="7">
        <v>0.79479999999999995</v>
      </c>
      <c r="N947">
        <v>75000</v>
      </c>
      <c r="O947" s="2">
        <v>46107</v>
      </c>
    </row>
    <row r="948" spans="4:15" x14ac:dyDescent="0.45">
      <c r="D948" t="s">
        <v>1274</v>
      </c>
      <c r="E948" t="s">
        <v>409</v>
      </c>
      <c r="F948" t="s">
        <v>19</v>
      </c>
      <c r="G948" t="s">
        <v>32</v>
      </c>
      <c r="H948" t="s">
        <v>16</v>
      </c>
      <c r="I948">
        <v>3.35</v>
      </c>
      <c r="J948">
        <v>5.0999999999999996</v>
      </c>
      <c r="K948">
        <v>4.24</v>
      </c>
      <c r="L948">
        <v>4.87</v>
      </c>
      <c r="M948" s="7">
        <v>0.61209999999999998</v>
      </c>
      <c r="N948">
        <v>50000</v>
      </c>
      <c r="O948" s="2">
        <v>46134</v>
      </c>
    </row>
    <row r="949" spans="4:15" x14ac:dyDescent="0.45">
      <c r="D949" t="s">
        <v>1275</v>
      </c>
      <c r="E949" t="s">
        <v>1276</v>
      </c>
      <c r="F949" t="s">
        <v>14</v>
      </c>
      <c r="G949" t="s">
        <v>20</v>
      </c>
      <c r="H949" t="s">
        <v>16</v>
      </c>
      <c r="I949">
        <v>16.100000000000001</v>
      </c>
      <c r="J949">
        <v>20</v>
      </c>
      <c r="K949">
        <v>17.36</v>
      </c>
      <c r="L949">
        <v>15</v>
      </c>
      <c r="M949" s="7">
        <v>0.97350000000000003</v>
      </c>
      <c r="N949">
        <v>60000</v>
      </c>
      <c r="O949" s="2">
        <v>45804</v>
      </c>
    </row>
    <row r="950" spans="4:15" x14ac:dyDescent="0.45">
      <c r="D950" t="s">
        <v>1277</v>
      </c>
      <c r="E950" t="s">
        <v>427</v>
      </c>
      <c r="F950" t="s">
        <v>19</v>
      </c>
      <c r="G950" t="s">
        <v>32</v>
      </c>
      <c r="H950" t="s">
        <v>29</v>
      </c>
      <c r="I950">
        <v>9.6999999999999993</v>
      </c>
      <c r="J950">
        <v>6.38</v>
      </c>
      <c r="K950">
        <v>1.99</v>
      </c>
      <c r="L950">
        <v>6.79</v>
      </c>
      <c r="M950" s="7">
        <v>0.84860000000000002</v>
      </c>
      <c r="N950">
        <v>80000</v>
      </c>
      <c r="O950" s="2">
        <v>46121</v>
      </c>
    </row>
    <row r="951" spans="4:15" x14ac:dyDescent="0.45">
      <c r="D951" t="s">
        <v>1278</v>
      </c>
      <c r="E951" t="s">
        <v>109</v>
      </c>
      <c r="F951" t="s">
        <v>14</v>
      </c>
      <c r="G951" t="s">
        <v>20</v>
      </c>
      <c r="H951" t="s">
        <v>16</v>
      </c>
      <c r="I951">
        <v>11.99</v>
      </c>
      <c r="J951">
        <v>16.61</v>
      </c>
      <c r="K951">
        <v>14.37</v>
      </c>
      <c r="L951">
        <v>11.54</v>
      </c>
      <c r="M951" s="7">
        <v>0.73440000000000005</v>
      </c>
      <c r="N951">
        <v>60000</v>
      </c>
      <c r="O951" s="2">
        <v>46076</v>
      </c>
    </row>
    <row r="952" spans="4:15" x14ac:dyDescent="0.45">
      <c r="D952" t="s">
        <v>1279</v>
      </c>
      <c r="E952" t="s">
        <v>731</v>
      </c>
      <c r="F952" t="s">
        <v>14</v>
      </c>
      <c r="G952" t="s">
        <v>32</v>
      </c>
      <c r="H952" t="s">
        <v>16</v>
      </c>
      <c r="I952">
        <v>13.76</v>
      </c>
      <c r="J952">
        <v>17.16</v>
      </c>
      <c r="K952">
        <v>16.34</v>
      </c>
      <c r="L952">
        <v>18.61</v>
      </c>
      <c r="M952" s="7">
        <v>0.55000000000000004</v>
      </c>
      <c r="N952">
        <v>50000</v>
      </c>
      <c r="O952" s="2">
        <v>46096</v>
      </c>
    </row>
    <row r="953" spans="4:15" x14ac:dyDescent="0.45">
      <c r="D953" t="s">
        <v>1280</v>
      </c>
      <c r="E953" t="s">
        <v>969</v>
      </c>
      <c r="F953" t="s">
        <v>14</v>
      </c>
      <c r="G953" t="s">
        <v>20</v>
      </c>
      <c r="H953" t="s">
        <v>29</v>
      </c>
      <c r="I953">
        <v>13.01</v>
      </c>
      <c r="J953">
        <v>18.399999999999999</v>
      </c>
      <c r="K953">
        <v>15.36</v>
      </c>
      <c r="L953">
        <v>12.08</v>
      </c>
      <c r="M953" s="7">
        <v>0.89159999999999995</v>
      </c>
      <c r="N953">
        <v>100000</v>
      </c>
      <c r="O953" s="2">
        <v>46097</v>
      </c>
    </row>
    <row r="954" spans="4:15" x14ac:dyDescent="0.45">
      <c r="D954" t="s">
        <v>1281</v>
      </c>
      <c r="E954" t="s">
        <v>75</v>
      </c>
      <c r="F954" t="s">
        <v>19</v>
      </c>
      <c r="G954" t="s">
        <v>20</v>
      </c>
      <c r="H954" t="s">
        <v>16</v>
      </c>
      <c r="I954">
        <v>6.42</v>
      </c>
      <c r="J954">
        <v>10.19</v>
      </c>
      <c r="K954">
        <v>9.15</v>
      </c>
      <c r="L954">
        <v>9.24</v>
      </c>
      <c r="M954" s="7">
        <v>0.79420000000000002</v>
      </c>
      <c r="N954">
        <v>120000</v>
      </c>
      <c r="O954" s="2">
        <v>45937</v>
      </c>
    </row>
    <row r="955" spans="4:15" x14ac:dyDescent="0.45">
      <c r="D955" t="s">
        <v>1282</v>
      </c>
      <c r="E955" t="s">
        <v>59</v>
      </c>
      <c r="F955" t="s">
        <v>14</v>
      </c>
      <c r="G955" t="s">
        <v>32</v>
      </c>
      <c r="H955" t="s">
        <v>21</v>
      </c>
      <c r="I955">
        <v>7.8</v>
      </c>
      <c r="J955">
        <v>10.89</v>
      </c>
      <c r="K955">
        <v>10.34</v>
      </c>
      <c r="L955">
        <v>9.1</v>
      </c>
      <c r="M955" s="7">
        <v>0.91359999999999997</v>
      </c>
      <c r="N955">
        <v>70000</v>
      </c>
      <c r="O955" s="2">
        <v>45613</v>
      </c>
    </row>
    <row r="956" spans="4:15" x14ac:dyDescent="0.45">
      <c r="D956" t="s">
        <v>1283</v>
      </c>
      <c r="E956" t="s">
        <v>31</v>
      </c>
      <c r="F956" t="s">
        <v>19</v>
      </c>
      <c r="G956" t="s">
        <v>28</v>
      </c>
      <c r="H956" t="s">
        <v>29</v>
      </c>
      <c r="I956">
        <v>14.08</v>
      </c>
      <c r="J956">
        <v>13.96</v>
      </c>
      <c r="K956">
        <v>13.91</v>
      </c>
      <c r="L956">
        <v>16.260000000000002</v>
      </c>
      <c r="M956" s="7">
        <v>0.69810000000000005</v>
      </c>
      <c r="N956">
        <v>85000</v>
      </c>
      <c r="O956" s="2">
        <v>46182</v>
      </c>
    </row>
    <row r="957" spans="4:15" x14ac:dyDescent="0.45">
      <c r="D957" t="s">
        <v>1284</v>
      </c>
      <c r="E957" t="s">
        <v>544</v>
      </c>
      <c r="F957" t="s">
        <v>19</v>
      </c>
      <c r="G957" t="s">
        <v>15</v>
      </c>
      <c r="H957" t="s">
        <v>21</v>
      </c>
      <c r="I957">
        <v>7.14</v>
      </c>
      <c r="J957">
        <v>10.96</v>
      </c>
      <c r="K957">
        <v>9.99</v>
      </c>
      <c r="L957">
        <v>9.59</v>
      </c>
      <c r="M957" s="7">
        <v>0.75960000000000005</v>
      </c>
      <c r="N957">
        <v>90000</v>
      </c>
      <c r="O957" s="2">
        <v>45962</v>
      </c>
    </row>
    <row r="958" spans="4:15" x14ac:dyDescent="0.45">
      <c r="D958" t="s">
        <v>1285</v>
      </c>
      <c r="E958" t="s">
        <v>289</v>
      </c>
      <c r="F958" t="s">
        <v>14</v>
      </c>
      <c r="G958" t="s">
        <v>32</v>
      </c>
      <c r="H958" t="s">
        <v>21</v>
      </c>
      <c r="I958">
        <v>18.72</v>
      </c>
      <c r="J958">
        <v>15.96</v>
      </c>
      <c r="K958">
        <v>14.93</v>
      </c>
      <c r="L958">
        <v>15.66</v>
      </c>
      <c r="M958" s="7">
        <v>0.82430000000000003</v>
      </c>
      <c r="N958">
        <v>100000</v>
      </c>
      <c r="O958" s="2">
        <v>46166</v>
      </c>
    </row>
    <row r="959" spans="4:15" x14ac:dyDescent="0.45">
      <c r="D959" t="s">
        <v>1286</v>
      </c>
      <c r="E959" t="s">
        <v>309</v>
      </c>
      <c r="F959" t="s">
        <v>19</v>
      </c>
      <c r="G959" t="s">
        <v>28</v>
      </c>
      <c r="H959" t="s">
        <v>21</v>
      </c>
      <c r="I959">
        <v>14.62</v>
      </c>
      <c r="J959">
        <v>12.32</v>
      </c>
      <c r="K959">
        <v>12.48</v>
      </c>
      <c r="L959">
        <v>14.39</v>
      </c>
      <c r="M959" s="7">
        <v>0.89080000000000004</v>
      </c>
      <c r="N959">
        <v>130000</v>
      </c>
      <c r="O959" s="2">
        <v>46207</v>
      </c>
    </row>
    <row r="960" spans="4:15" x14ac:dyDescent="0.45">
      <c r="D960" t="s">
        <v>1287</v>
      </c>
      <c r="E960" t="s">
        <v>1100</v>
      </c>
      <c r="F960" t="s">
        <v>19</v>
      </c>
      <c r="G960" t="s">
        <v>35</v>
      </c>
      <c r="H960" t="s">
        <v>42</v>
      </c>
      <c r="I960">
        <v>11.31</v>
      </c>
      <c r="J960">
        <v>13.38</v>
      </c>
      <c r="K960">
        <v>10.36</v>
      </c>
      <c r="L960">
        <v>8.27</v>
      </c>
      <c r="M960" s="7">
        <v>0.9284</v>
      </c>
      <c r="N960">
        <v>120000</v>
      </c>
      <c r="O960" s="2">
        <v>45667</v>
      </c>
    </row>
    <row r="961" spans="4:15" x14ac:dyDescent="0.45">
      <c r="D961" t="s">
        <v>1288</v>
      </c>
      <c r="E961" t="s">
        <v>146</v>
      </c>
      <c r="F961" t="s">
        <v>14</v>
      </c>
      <c r="G961" t="s">
        <v>47</v>
      </c>
      <c r="H961" t="s">
        <v>29</v>
      </c>
      <c r="I961">
        <v>9.4499999999999993</v>
      </c>
      <c r="J961">
        <v>14.82</v>
      </c>
      <c r="K961">
        <v>12.33</v>
      </c>
      <c r="L961">
        <v>13.44</v>
      </c>
      <c r="M961" s="7">
        <v>0.94369999999999998</v>
      </c>
      <c r="N961">
        <v>75000</v>
      </c>
      <c r="O961" s="2">
        <v>45817</v>
      </c>
    </row>
    <row r="962" spans="4:15" x14ac:dyDescent="0.45">
      <c r="D962" t="s">
        <v>1289</v>
      </c>
      <c r="E962" t="s">
        <v>258</v>
      </c>
      <c r="F962" t="s">
        <v>14</v>
      </c>
      <c r="G962" t="s">
        <v>35</v>
      </c>
      <c r="H962" t="s">
        <v>42</v>
      </c>
      <c r="I962">
        <v>9.4600000000000009</v>
      </c>
      <c r="J962">
        <v>13.54</v>
      </c>
      <c r="K962">
        <v>7.1</v>
      </c>
      <c r="L962">
        <v>9.2799999999999994</v>
      </c>
      <c r="M962" s="7">
        <v>0.94099999999999995</v>
      </c>
      <c r="N962">
        <v>130000</v>
      </c>
      <c r="O962" s="2">
        <v>45670</v>
      </c>
    </row>
    <row r="963" spans="4:15" x14ac:dyDescent="0.45">
      <c r="D963" t="s">
        <v>1290</v>
      </c>
      <c r="E963" t="s">
        <v>372</v>
      </c>
      <c r="F963" t="s">
        <v>14</v>
      </c>
      <c r="G963" t="s">
        <v>35</v>
      </c>
      <c r="H963" t="s">
        <v>16</v>
      </c>
      <c r="I963">
        <v>16.52</v>
      </c>
      <c r="J963">
        <v>15.53</v>
      </c>
      <c r="K963">
        <v>15.62</v>
      </c>
      <c r="L963">
        <v>17.7</v>
      </c>
      <c r="M963" s="7">
        <v>0.93889999999999996</v>
      </c>
      <c r="N963">
        <v>50000</v>
      </c>
      <c r="O963" s="2">
        <v>45571</v>
      </c>
    </row>
    <row r="964" spans="4:15" x14ac:dyDescent="0.45">
      <c r="D964" t="s">
        <v>1291</v>
      </c>
      <c r="E964" t="s">
        <v>771</v>
      </c>
      <c r="F964" t="s">
        <v>19</v>
      </c>
      <c r="G964" t="s">
        <v>28</v>
      </c>
      <c r="H964" t="s">
        <v>21</v>
      </c>
      <c r="I964">
        <v>14.17</v>
      </c>
      <c r="J964">
        <v>15.84</v>
      </c>
      <c r="K964">
        <v>17.5</v>
      </c>
      <c r="L964">
        <v>15.58</v>
      </c>
      <c r="M964" s="7">
        <v>0.87539999999999996</v>
      </c>
      <c r="N964">
        <v>130000</v>
      </c>
      <c r="O964" s="2">
        <v>46212</v>
      </c>
    </row>
    <row r="965" spans="4:15" x14ac:dyDescent="0.45">
      <c r="D965" t="s">
        <v>1292</v>
      </c>
      <c r="E965" t="s">
        <v>188</v>
      </c>
      <c r="F965" t="s">
        <v>14</v>
      </c>
      <c r="G965" t="s">
        <v>28</v>
      </c>
      <c r="H965" t="s">
        <v>29</v>
      </c>
      <c r="I965">
        <v>8.07</v>
      </c>
      <c r="J965">
        <v>8.9499999999999993</v>
      </c>
      <c r="K965">
        <v>8.0500000000000007</v>
      </c>
      <c r="L965">
        <v>11.93</v>
      </c>
      <c r="M965" s="7">
        <v>0.92620000000000002</v>
      </c>
      <c r="N965">
        <v>60000</v>
      </c>
      <c r="O965" s="2">
        <v>46182</v>
      </c>
    </row>
    <row r="966" spans="4:15" x14ac:dyDescent="0.45">
      <c r="D966" t="s">
        <v>1293</v>
      </c>
      <c r="E966" t="s">
        <v>463</v>
      </c>
      <c r="F966" t="s">
        <v>19</v>
      </c>
      <c r="G966" t="s">
        <v>15</v>
      </c>
      <c r="H966" t="s">
        <v>16</v>
      </c>
      <c r="I966">
        <v>13.34</v>
      </c>
      <c r="J966">
        <v>14.49</v>
      </c>
      <c r="K966">
        <v>12.08</v>
      </c>
      <c r="L966">
        <v>9.73</v>
      </c>
      <c r="M966" s="7">
        <v>0.79010000000000002</v>
      </c>
      <c r="N966">
        <v>60000</v>
      </c>
      <c r="O966" s="2">
        <v>46188</v>
      </c>
    </row>
    <row r="967" spans="4:15" x14ac:dyDescent="0.45">
      <c r="D967" t="s">
        <v>1294</v>
      </c>
      <c r="E967" t="s">
        <v>207</v>
      </c>
      <c r="F967" t="s">
        <v>19</v>
      </c>
      <c r="G967" t="s">
        <v>47</v>
      </c>
      <c r="H967" t="s">
        <v>16</v>
      </c>
      <c r="I967">
        <v>10.32</v>
      </c>
      <c r="J967">
        <v>14.9</v>
      </c>
      <c r="K967">
        <v>11.64</v>
      </c>
      <c r="L967">
        <v>7.74</v>
      </c>
      <c r="M967" s="7">
        <v>0.98</v>
      </c>
      <c r="N967">
        <v>60000</v>
      </c>
      <c r="O967" s="2">
        <v>46154</v>
      </c>
    </row>
    <row r="968" spans="4:15" x14ac:dyDescent="0.45">
      <c r="D968" t="s">
        <v>1295</v>
      </c>
      <c r="E968" t="s">
        <v>612</v>
      </c>
      <c r="F968" t="s">
        <v>19</v>
      </c>
      <c r="G968" t="s">
        <v>28</v>
      </c>
      <c r="H968" t="s">
        <v>16</v>
      </c>
      <c r="I968">
        <v>17.62</v>
      </c>
      <c r="J968">
        <v>18.329999999999998</v>
      </c>
      <c r="K968">
        <v>17.04</v>
      </c>
      <c r="L968">
        <v>15.67</v>
      </c>
      <c r="M968" s="7">
        <v>0.81389999999999996</v>
      </c>
      <c r="N968">
        <v>60000</v>
      </c>
      <c r="O968" s="2">
        <v>45990</v>
      </c>
    </row>
    <row r="969" spans="4:15" x14ac:dyDescent="0.45">
      <c r="D969" t="s">
        <v>1296</v>
      </c>
      <c r="E969" t="s">
        <v>345</v>
      </c>
      <c r="F969" t="s">
        <v>14</v>
      </c>
      <c r="G969" t="s">
        <v>20</v>
      </c>
      <c r="H969" t="s">
        <v>16</v>
      </c>
      <c r="I969">
        <v>13.22</v>
      </c>
      <c r="J969">
        <v>14.46</v>
      </c>
      <c r="K969">
        <v>7.65</v>
      </c>
      <c r="L969">
        <v>6.57</v>
      </c>
      <c r="M969" s="7">
        <v>0.9506</v>
      </c>
      <c r="N969">
        <v>85000</v>
      </c>
      <c r="O969" s="2">
        <v>45901</v>
      </c>
    </row>
    <row r="970" spans="4:15" x14ac:dyDescent="0.45">
      <c r="D970" t="s">
        <v>1297</v>
      </c>
      <c r="E970" t="s">
        <v>463</v>
      </c>
      <c r="F970" t="s">
        <v>19</v>
      </c>
      <c r="G970" t="s">
        <v>32</v>
      </c>
      <c r="H970" t="s">
        <v>42</v>
      </c>
      <c r="I970">
        <v>17.61</v>
      </c>
      <c r="J970">
        <v>20</v>
      </c>
      <c r="K970">
        <v>18.11</v>
      </c>
      <c r="L970">
        <v>14.85</v>
      </c>
      <c r="M970" s="7">
        <v>0.80110000000000003</v>
      </c>
      <c r="N970">
        <v>100000</v>
      </c>
      <c r="O970" s="2">
        <v>46230</v>
      </c>
    </row>
    <row r="971" spans="4:15" x14ac:dyDescent="0.45">
      <c r="D971" t="s">
        <v>1298</v>
      </c>
      <c r="E971" t="s">
        <v>924</v>
      </c>
      <c r="F971" t="s">
        <v>14</v>
      </c>
      <c r="G971" t="s">
        <v>20</v>
      </c>
      <c r="H971" t="s">
        <v>16</v>
      </c>
      <c r="I971">
        <v>16</v>
      </c>
      <c r="J971">
        <v>13.29</v>
      </c>
      <c r="K971">
        <v>15.79</v>
      </c>
      <c r="L971">
        <v>14.67</v>
      </c>
      <c r="M971" s="7">
        <v>0.87490000000000001</v>
      </c>
      <c r="N971">
        <v>110000</v>
      </c>
      <c r="O971" s="2">
        <v>45922</v>
      </c>
    </row>
    <row r="972" spans="4:15" x14ac:dyDescent="0.45">
      <c r="D972" t="s">
        <v>1299</v>
      </c>
      <c r="E972" t="s">
        <v>258</v>
      </c>
      <c r="F972" t="s">
        <v>14</v>
      </c>
      <c r="G972" t="s">
        <v>20</v>
      </c>
      <c r="H972" t="s">
        <v>21</v>
      </c>
      <c r="I972">
        <v>11.48</v>
      </c>
      <c r="J972">
        <v>12.47</v>
      </c>
      <c r="K972">
        <v>8.1300000000000008</v>
      </c>
      <c r="L972">
        <v>10.14</v>
      </c>
      <c r="M972" s="7">
        <v>0.94620000000000004</v>
      </c>
      <c r="N972">
        <v>50000</v>
      </c>
      <c r="O972" s="2">
        <v>45985</v>
      </c>
    </row>
    <row r="973" spans="4:15" x14ac:dyDescent="0.45">
      <c r="D973" t="s">
        <v>1300</v>
      </c>
      <c r="E973" t="s">
        <v>1276</v>
      </c>
      <c r="F973" t="s">
        <v>14</v>
      </c>
      <c r="G973" t="s">
        <v>20</v>
      </c>
      <c r="H973" t="s">
        <v>29</v>
      </c>
      <c r="I973">
        <v>8.3800000000000008</v>
      </c>
      <c r="J973">
        <v>15.76</v>
      </c>
      <c r="K973">
        <v>10.98</v>
      </c>
      <c r="L973">
        <v>10.45</v>
      </c>
      <c r="M973" s="7">
        <v>0.82310000000000005</v>
      </c>
      <c r="N973">
        <v>75000</v>
      </c>
      <c r="O973" s="2">
        <v>45684</v>
      </c>
    </row>
    <row r="974" spans="4:15" x14ac:dyDescent="0.45">
      <c r="D974" t="s">
        <v>1301</v>
      </c>
      <c r="E974" t="s">
        <v>515</v>
      </c>
      <c r="F974" t="s">
        <v>14</v>
      </c>
      <c r="G974" t="s">
        <v>15</v>
      </c>
      <c r="H974" t="s">
        <v>42</v>
      </c>
      <c r="I974">
        <v>8.83</v>
      </c>
      <c r="J974">
        <v>16.05</v>
      </c>
      <c r="K974">
        <v>8.42</v>
      </c>
      <c r="L974">
        <v>10.3</v>
      </c>
      <c r="M974" s="7">
        <v>0.73939999999999995</v>
      </c>
      <c r="N974">
        <v>60000</v>
      </c>
      <c r="O974" s="2">
        <v>46058</v>
      </c>
    </row>
    <row r="975" spans="4:15" x14ac:dyDescent="0.45">
      <c r="D975" t="s">
        <v>1302</v>
      </c>
      <c r="E975" t="s">
        <v>331</v>
      </c>
      <c r="F975" t="s">
        <v>14</v>
      </c>
      <c r="G975" t="s">
        <v>15</v>
      </c>
      <c r="H975" t="s">
        <v>29</v>
      </c>
      <c r="I975">
        <v>8.1</v>
      </c>
      <c r="J975">
        <v>12.94</v>
      </c>
      <c r="K975">
        <v>12.2</v>
      </c>
      <c r="L975">
        <v>8.52</v>
      </c>
      <c r="M975" s="7">
        <v>0.55000000000000004</v>
      </c>
      <c r="N975">
        <v>60000</v>
      </c>
      <c r="O975" s="2">
        <v>46109</v>
      </c>
    </row>
    <row r="976" spans="4:15" x14ac:dyDescent="0.45">
      <c r="D976" t="s">
        <v>1303</v>
      </c>
      <c r="E976" t="s">
        <v>1304</v>
      </c>
      <c r="F976" t="s">
        <v>14</v>
      </c>
      <c r="G976" t="s">
        <v>15</v>
      </c>
      <c r="H976" t="s">
        <v>16</v>
      </c>
      <c r="I976">
        <v>11.88</v>
      </c>
      <c r="J976">
        <v>14.22</v>
      </c>
      <c r="K976">
        <v>13.76</v>
      </c>
      <c r="L976">
        <v>17.3</v>
      </c>
      <c r="M976" s="7">
        <v>0.64019999999999999</v>
      </c>
      <c r="N976">
        <v>110000</v>
      </c>
      <c r="O976" s="2">
        <v>46010</v>
      </c>
    </row>
    <row r="977" spans="4:15" x14ac:dyDescent="0.45">
      <c r="D977" t="s">
        <v>1305</v>
      </c>
      <c r="E977" t="s">
        <v>508</v>
      </c>
      <c r="F977" t="s">
        <v>14</v>
      </c>
      <c r="G977" t="s">
        <v>35</v>
      </c>
      <c r="H977" t="s">
        <v>16</v>
      </c>
      <c r="I977">
        <v>9.86</v>
      </c>
      <c r="J977">
        <v>9.99</v>
      </c>
      <c r="K977">
        <v>8.39</v>
      </c>
      <c r="L977">
        <v>8.34</v>
      </c>
      <c r="M977" s="7">
        <v>0.87709999999999999</v>
      </c>
      <c r="N977">
        <v>100000</v>
      </c>
      <c r="O977" s="2">
        <v>45885</v>
      </c>
    </row>
    <row r="978" spans="4:15" x14ac:dyDescent="0.45">
      <c r="D978" t="s">
        <v>1306</v>
      </c>
      <c r="E978" t="s">
        <v>404</v>
      </c>
      <c r="F978" t="s">
        <v>14</v>
      </c>
      <c r="G978" t="s">
        <v>35</v>
      </c>
      <c r="H978" t="s">
        <v>42</v>
      </c>
      <c r="I978">
        <v>8.75</v>
      </c>
      <c r="J978">
        <v>9.06</v>
      </c>
      <c r="K978">
        <v>7.8</v>
      </c>
      <c r="L978">
        <v>4.3899999999999997</v>
      </c>
      <c r="M978" s="7">
        <v>0.96530000000000005</v>
      </c>
      <c r="N978">
        <v>70000</v>
      </c>
      <c r="O978" s="2">
        <v>45674</v>
      </c>
    </row>
    <row r="979" spans="4:15" x14ac:dyDescent="0.45">
      <c r="D979" t="s">
        <v>1307</v>
      </c>
      <c r="E979" t="s">
        <v>90</v>
      </c>
      <c r="F979" t="s">
        <v>19</v>
      </c>
      <c r="G979" t="s">
        <v>15</v>
      </c>
      <c r="H979" t="s">
        <v>42</v>
      </c>
      <c r="I979">
        <v>15.2</v>
      </c>
      <c r="J979">
        <v>16.52</v>
      </c>
      <c r="K979">
        <v>9.99</v>
      </c>
      <c r="L979">
        <v>14.09</v>
      </c>
      <c r="M979" s="7">
        <v>0.69869999999999999</v>
      </c>
      <c r="N979">
        <v>75000</v>
      </c>
      <c r="O979" s="2">
        <v>45559</v>
      </c>
    </row>
    <row r="980" spans="4:15" x14ac:dyDescent="0.45">
      <c r="D980" t="s">
        <v>1308</v>
      </c>
      <c r="E980" t="s">
        <v>247</v>
      </c>
      <c r="F980" t="s">
        <v>14</v>
      </c>
      <c r="G980" t="s">
        <v>35</v>
      </c>
      <c r="H980" t="s">
        <v>29</v>
      </c>
      <c r="I980">
        <v>9.1300000000000008</v>
      </c>
      <c r="J980">
        <v>9.81</v>
      </c>
      <c r="K980">
        <v>6.38</v>
      </c>
      <c r="L980">
        <v>7.88</v>
      </c>
      <c r="M980" s="7">
        <v>0.69350000000000001</v>
      </c>
      <c r="N980">
        <v>130000</v>
      </c>
      <c r="O980" s="2">
        <v>45975</v>
      </c>
    </row>
    <row r="981" spans="4:15" x14ac:dyDescent="0.45">
      <c r="D981" t="s">
        <v>1309</v>
      </c>
      <c r="E981" t="s">
        <v>207</v>
      </c>
      <c r="F981" t="s">
        <v>19</v>
      </c>
      <c r="G981" t="s">
        <v>28</v>
      </c>
      <c r="H981" t="s">
        <v>29</v>
      </c>
      <c r="I981">
        <v>10.41</v>
      </c>
      <c r="J981">
        <v>12.79</v>
      </c>
      <c r="K981">
        <v>8.3800000000000008</v>
      </c>
      <c r="L981">
        <v>15.78</v>
      </c>
      <c r="M981" s="7">
        <v>0.8115</v>
      </c>
      <c r="N981">
        <v>90000</v>
      </c>
      <c r="O981" s="2">
        <v>46014</v>
      </c>
    </row>
    <row r="982" spans="4:15" x14ac:dyDescent="0.45">
      <c r="D982" t="s">
        <v>1310</v>
      </c>
      <c r="E982" t="s">
        <v>160</v>
      </c>
      <c r="F982" t="s">
        <v>19</v>
      </c>
      <c r="G982" t="s">
        <v>15</v>
      </c>
      <c r="H982" t="s">
        <v>21</v>
      </c>
      <c r="I982">
        <v>6.37</v>
      </c>
      <c r="J982">
        <v>11.47</v>
      </c>
      <c r="K982">
        <v>8.81</v>
      </c>
      <c r="L982">
        <v>9.6999999999999993</v>
      </c>
      <c r="M982" s="7">
        <v>0.72199999999999998</v>
      </c>
      <c r="N982">
        <v>70000</v>
      </c>
      <c r="O982" s="2">
        <v>46076</v>
      </c>
    </row>
    <row r="983" spans="4:15" x14ac:dyDescent="0.45">
      <c r="D983" t="s">
        <v>1311</v>
      </c>
      <c r="E983" t="s">
        <v>1003</v>
      </c>
      <c r="F983" t="s">
        <v>19</v>
      </c>
      <c r="G983" t="s">
        <v>47</v>
      </c>
      <c r="H983" t="s">
        <v>21</v>
      </c>
      <c r="I983">
        <v>11.22</v>
      </c>
      <c r="J983">
        <v>10.74</v>
      </c>
      <c r="K983">
        <v>14.25</v>
      </c>
      <c r="L983">
        <v>12.82</v>
      </c>
      <c r="M983" s="7">
        <v>0.65639999999999998</v>
      </c>
      <c r="N983">
        <v>130000</v>
      </c>
      <c r="O983" s="2">
        <v>46201</v>
      </c>
    </row>
    <row r="984" spans="4:15" x14ac:dyDescent="0.45">
      <c r="D984" t="s">
        <v>1312</v>
      </c>
      <c r="E984" t="s">
        <v>92</v>
      </c>
      <c r="F984" t="s">
        <v>19</v>
      </c>
      <c r="G984" t="s">
        <v>28</v>
      </c>
      <c r="H984" t="s">
        <v>29</v>
      </c>
      <c r="I984">
        <v>19.16</v>
      </c>
      <c r="J984">
        <v>19.149999999999999</v>
      </c>
      <c r="K984">
        <v>17.690000000000001</v>
      </c>
      <c r="L984">
        <v>20</v>
      </c>
      <c r="M984" s="7">
        <v>0.73260000000000003</v>
      </c>
      <c r="N984">
        <v>70000</v>
      </c>
      <c r="O984" s="2">
        <v>45884</v>
      </c>
    </row>
    <row r="985" spans="4:15" x14ac:dyDescent="0.45">
      <c r="D985" t="s">
        <v>1313</v>
      </c>
      <c r="E985" t="s">
        <v>583</v>
      </c>
      <c r="F985" t="s">
        <v>19</v>
      </c>
      <c r="G985" t="s">
        <v>28</v>
      </c>
      <c r="H985" t="s">
        <v>16</v>
      </c>
      <c r="I985">
        <v>14.06</v>
      </c>
      <c r="J985">
        <v>14.36</v>
      </c>
      <c r="K985">
        <v>14.88</v>
      </c>
      <c r="L985">
        <v>12.41</v>
      </c>
      <c r="M985" s="7">
        <v>0.94850000000000001</v>
      </c>
      <c r="N985">
        <v>75000</v>
      </c>
      <c r="O985" s="2">
        <v>46116</v>
      </c>
    </row>
    <row r="986" spans="4:15" x14ac:dyDescent="0.45">
      <c r="D986" t="s">
        <v>1314</v>
      </c>
      <c r="E986" t="s">
        <v>1315</v>
      </c>
      <c r="F986" t="s">
        <v>19</v>
      </c>
      <c r="G986" t="s">
        <v>35</v>
      </c>
      <c r="H986" t="s">
        <v>29</v>
      </c>
      <c r="I986">
        <v>18.82</v>
      </c>
      <c r="J986">
        <v>18.37</v>
      </c>
      <c r="K986">
        <v>12.55</v>
      </c>
      <c r="L986">
        <v>12.45</v>
      </c>
      <c r="M986" s="7">
        <v>0.66259999999999997</v>
      </c>
      <c r="N986">
        <v>100000</v>
      </c>
      <c r="O986" s="2">
        <v>46037</v>
      </c>
    </row>
    <row r="987" spans="4:15" x14ac:dyDescent="0.45">
      <c r="D987" t="s">
        <v>1316</v>
      </c>
      <c r="E987" t="s">
        <v>18</v>
      </c>
      <c r="F987" t="s">
        <v>19</v>
      </c>
      <c r="G987" t="s">
        <v>20</v>
      </c>
      <c r="H987" t="s">
        <v>42</v>
      </c>
      <c r="I987">
        <v>11.26</v>
      </c>
      <c r="J987">
        <v>8.4</v>
      </c>
      <c r="K987">
        <v>10.4</v>
      </c>
      <c r="L987">
        <v>10.06</v>
      </c>
      <c r="M987" s="7">
        <v>0.97289999999999999</v>
      </c>
      <c r="N987">
        <v>85000</v>
      </c>
      <c r="O987" s="2">
        <v>45730</v>
      </c>
    </row>
    <row r="988" spans="4:15" x14ac:dyDescent="0.45">
      <c r="D988" t="s">
        <v>1317</v>
      </c>
      <c r="E988" t="s">
        <v>902</v>
      </c>
      <c r="F988" t="s">
        <v>19</v>
      </c>
      <c r="G988" t="s">
        <v>47</v>
      </c>
      <c r="H988" t="s">
        <v>42</v>
      </c>
      <c r="I988">
        <v>13.4</v>
      </c>
      <c r="J988">
        <v>12.18</v>
      </c>
      <c r="K988">
        <v>9.61</v>
      </c>
      <c r="L988">
        <v>12.83</v>
      </c>
      <c r="M988" s="7">
        <v>0.77700000000000002</v>
      </c>
      <c r="N988">
        <v>50000</v>
      </c>
      <c r="O988" s="2">
        <v>46127</v>
      </c>
    </row>
    <row r="989" spans="4:15" x14ac:dyDescent="0.45">
      <c r="D989" t="s">
        <v>1318</v>
      </c>
      <c r="E989" t="s">
        <v>569</v>
      </c>
      <c r="F989" t="s">
        <v>14</v>
      </c>
      <c r="G989" t="s">
        <v>28</v>
      </c>
      <c r="H989" t="s">
        <v>16</v>
      </c>
      <c r="I989">
        <v>11.99</v>
      </c>
      <c r="J989">
        <v>12.6</v>
      </c>
      <c r="K989">
        <v>14.39</v>
      </c>
      <c r="L989">
        <v>10.9</v>
      </c>
      <c r="M989" s="7">
        <v>0.85909999999999997</v>
      </c>
      <c r="N989">
        <v>110000</v>
      </c>
      <c r="O989" s="2">
        <v>45573</v>
      </c>
    </row>
    <row r="990" spans="4:15" x14ac:dyDescent="0.45">
      <c r="D990" t="s">
        <v>1319</v>
      </c>
      <c r="E990" t="s">
        <v>235</v>
      </c>
      <c r="F990" t="s">
        <v>14</v>
      </c>
      <c r="G990" t="s">
        <v>20</v>
      </c>
      <c r="H990" t="s">
        <v>16</v>
      </c>
      <c r="I990">
        <v>9.5</v>
      </c>
      <c r="J990">
        <v>12.61</v>
      </c>
      <c r="K990">
        <v>10.95</v>
      </c>
      <c r="L990">
        <v>8.0500000000000007</v>
      </c>
      <c r="M990" s="7">
        <v>0.66690000000000005</v>
      </c>
      <c r="N990">
        <v>70000</v>
      </c>
      <c r="O990" s="2">
        <v>45955</v>
      </c>
    </row>
    <row r="991" spans="4:15" x14ac:dyDescent="0.45">
      <c r="D991" t="s">
        <v>1320</v>
      </c>
      <c r="E991" t="s">
        <v>398</v>
      </c>
      <c r="F991" t="s">
        <v>19</v>
      </c>
      <c r="G991" t="s">
        <v>15</v>
      </c>
      <c r="H991" t="s">
        <v>29</v>
      </c>
      <c r="I991">
        <v>15.83</v>
      </c>
      <c r="J991">
        <v>19.45</v>
      </c>
      <c r="K991">
        <v>20</v>
      </c>
      <c r="L991">
        <v>10.36</v>
      </c>
      <c r="M991" s="7">
        <v>0.90310000000000001</v>
      </c>
      <c r="N991">
        <v>100000</v>
      </c>
      <c r="O991" s="2">
        <v>46194</v>
      </c>
    </row>
    <row r="992" spans="4:15" x14ac:dyDescent="0.45">
      <c r="D992" t="s">
        <v>1321</v>
      </c>
      <c r="E992" t="s">
        <v>626</v>
      </c>
      <c r="F992" t="s">
        <v>14</v>
      </c>
      <c r="G992" t="s">
        <v>15</v>
      </c>
      <c r="H992" t="s">
        <v>21</v>
      </c>
      <c r="I992">
        <v>8.43</v>
      </c>
      <c r="J992">
        <v>14.11</v>
      </c>
      <c r="K992">
        <v>11.72</v>
      </c>
      <c r="L992">
        <v>11.34</v>
      </c>
      <c r="M992" s="7">
        <v>0.6804</v>
      </c>
      <c r="N992">
        <v>75000</v>
      </c>
      <c r="O992" s="2">
        <v>45997</v>
      </c>
    </row>
    <row r="993" spans="4:15" x14ac:dyDescent="0.45">
      <c r="D993" t="s">
        <v>1322</v>
      </c>
      <c r="E993" t="s">
        <v>212</v>
      </c>
      <c r="F993" t="s">
        <v>19</v>
      </c>
      <c r="G993" t="s">
        <v>20</v>
      </c>
      <c r="H993" t="s">
        <v>16</v>
      </c>
      <c r="I993">
        <v>13.8</v>
      </c>
      <c r="J993">
        <v>13.55</v>
      </c>
      <c r="K993">
        <v>11.59</v>
      </c>
      <c r="L993">
        <v>12.02</v>
      </c>
      <c r="M993" s="7">
        <v>0.87019999999999997</v>
      </c>
      <c r="N993">
        <v>110000</v>
      </c>
      <c r="O993" s="2">
        <v>46191</v>
      </c>
    </row>
    <row r="994" spans="4:15" x14ac:dyDescent="0.45">
      <c r="D994" t="s">
        <v>1323</v>
      </c>
      <c r="E994" t="s">
        <v>1324</v>
      </c>
      <c r="F994" t="s">
        <v>14</v>
      </c>
      <c r="G994" t="s">
        <v>28</v>
      </c>
      <c r="H994" t="s">
        <v>29</v>
      </c>
      <c r="I994">
        <v>12.64</v>
      </c>
      <c r="J994">
        <v>13.52</v>
      </c>
      <c r="K994">
        <v>13.57</v>
      </c>
      <c r="L994">
        <v>11.4</v>
      </c>
      <c r="M994" s="7">
        <v>0.87929999999999997</v>
      </c>
      <c r="N994">
        <v>120000</v>
      </c>
      <c r="O994" s="2">
        <v>45575</v>
      </c>
    </row>
    <row r="995" spans="4:15" x14ac:dyDescent="0.45">
      <c r="D995" t="s">
        <v>1325</v>
      </c>
      <c r="E995" t="s">
        <v>376</v>
      </c>
      <c r="F995" t="s">
        <v>14</v>
      </c>
      <c r="G995" t="s">
        <v>20</v>
      </c>
      <c r="H995" t="s">
        <v>16</v>
      </c>
      <c r="I995">
        <v>11.57</v>
      </c>
      <c r="J995">
        <v>14.02</v>
      </c>
      <c r="K995">
        <v>18.86</v>
      </c>
      <c r="L995">
        <v>10.14</v>
      </c>
      <c r="M995" s="7">
        <v>0.94410000000000005</v>
      </c>
      <c r="N995">
        <v>110000</v>
      </c>
      <c r="O995" s="2">
        <v>45908</v>
      </c>
    </row>
    <row r="996" spans="4:15" x14ac:dyDescent="0.45">
      <c r="D996" t="s">
        <v>1326</v>
      </c>
      <c r="E996" t="s">
        <v>374</v>
      </c>
      <c r="F996" t="s">
        <v>19</v>
      </c>
      <c r="G996" t="s">
        <v>15</v>
      </c>
      <c r="H996" t="s">
        <v>16</v>
      </c>
      <c r="I996">
        <v>14.34</v>
      </c>
      <c r="J996">
        <v>13.27</v>
      </c>
      <c r="K996">
        <v>8.32</v>
      </c>
      <c r="L996">
        <v>9.19</v>
      </c>
      <c r="M996" s="7">
        <v>0.66180000000000005</v>
      </c>
      <c r="N996">
        <v>130000</v>
      </c>
      <c r="O996" s="2">
        <v>46082</v>
      </c>
    </row>
    <row r="997" spans="4:15" x14ac:dyDescent="0.45">
      <c r="D997" t="s">
        <v>1327</v>
      </c>
      <c r="E997" t="s">
        <v>65</v>
      </c>
      <c r="F997" t="s">
        <v>19</v>
      </c>
      <c r="G997" t="s">
        <v>32</v>
      </c>
      <c r="H997" t="s">
        <v>42</v>
      </c>
      <c r="I997">
        <v>12.97</v>
      </c>
      <c r="J997">
        <v>13.83</v>
      </c>
      <c r="K997">
        <v>11.09</v>
      </c>
      <c r="L997">
        <v>11.59</v>
      </c>
      <c r="M997" s="7">
        <v>0.63160000000000005</v>
      </c>
      <c r="N997">
        <v>85000</v>
      </c>
      <c r="O997" s="2">
        <v>45985</v>
      </c>
    </row>
    <row r="998" spans="4:15" x14ac:dyDescent="0.45">
      <c r="D998" t="s">
        <v>1328</v>
      </c>
      <c r="E998" t="s">
        <v>23</v>
      </c>
      <c r="F998" t="s">
        <v>19</v>
      </c>
      <c r="G998" t="s">
        <v>28</v>
      </c>
      <c r="H998" t="s">
        <v>29</v>
      </c>
      <c r="I998">
        <v>9.0299999999999994</v>
      </c>
      <c r="J998">
        <v>13.37</v>
      </c>
      <c r="K998">
        <v>12.52</v>
      </c>
      <c r="L998">
        <v>11.26</v>
      </c>
      <c r="M998" s="7">
        <v>0.87109999999999999</v>
      </c>
      <c r="N998">
        <v>50000</v>
      </c>
      <c r="O998" s="2">
        <v>46152</v>
      </c>
    </row>
    <row r="999" spans="4:15" x14ac:dyDescent="0.45">
      <c r="D999" t="s">
        <v>1329</v>
      </c>
      <c r="E999" t="s">
        <v>372</v>
      </c>
      <c r="F999" t="s">
        <v>14</v>
      </c>
      <c r="G999" t="s">
        <v>35</v>
      </c>
      <c r="H999" t="s">
        <v>29</v>
      </c>
      <c r="I999">
        <v>11.33</v>
      </c>
      <c r="J999">
        <v>12.15</v>
      </c>
      <c r="K999">
        <v>10.73</v>
      </c>
      <c r="L999">
        <v>11.6</v>
      </c>
      <c r="M999" s="7">
        <v>0.96430000000000005</v>
      </c>
      <c r="N999">
        <v>85000</v>
      </c>
      <c r="O999" s="2">
        <v>45859</v>
      </c>
    </row>
    <row r="1000" spans="4:15" x14ac:dyDescent="0.45">
      <c r="D1000" t="s">
        <v>1330</v>
      </c>
      <c r="E1000" t="s">
        <v>185</v>
      </c>
      <c r="F1000" t="s">
        <v>19</v>
      </c>
      <c r="G1000" t="s">
        <v>28</v>
      </c>
      <c r="H1000" t="s">
        <v>21</v>
      </c>
      <c r="I1000">
        <v>15.48</v>
      </c>
      <c r="J1000">
        <v>16.25</v>
      </c>
      <c r="K1000">
        <v>14.33</v>
      </c>
      <c r="L1000">
        <v>16.04</v>
      </c>
      <c r="M1000" s="7">
        <v>0.64580000000000004</v>
      </c>
      <c r="N1000">
        <v>85000</v>
      </c>
      <c r="O1000" s="2">
        <v>46013</v>
      </c>
    </row>
    <row r="1001" spans="4:15" x14ac:dyDescent="0.45">
      <c r="D1001" t="s">
        <v>1331</v>
      </c>
      <c r="E1001" t="s">
        <v>49</v>
      </c>
      <c r="F1001" t="s">
        <v>19</v>
      </c>
      <c r="G1001" t="s">
        <v>20</v>
      </c>
      <c r="H1001" t="s">
        <v>16</v>
      </c>
      <c r="I1001">
        <v>16.309999999999999</v>
      </c>
      <c r="J1001">
        <v>13.92</v>
      </c>
      <c r="K1001">
        <v>11.5</v>
      </c>
      <c r="L1001">
        <v>19.059999999999999</v>
      </c>
      <c r="M1001" s="7">
        <v>0.90300000000000002</v>
      </c>
      <c r="N1001">
        <v>100000</v>
      </c>
      <c r="O1001" s="2">
        <v>45829</v>
      </c>
    </row>
  </sheetData>
  <mergeCells count="3">
    <mergeCell ref="A1:B1"/>
    <mergeCell ref="A9:B9"/>
    <mergeCell ref="A14:B14"/>
  </mergeCells>
  <conditionalFormatting sqref="A2:C6 A9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0:B1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A219-534B-4073-96E2-2301A3C60732}">
  <dimension ref="A1:B9"/>
  <sheetViews>
    <sheetView tabSelected="1" workbookViewId="0">
      <selection activeCell="C8" sqref="C8"/>
    </sheetView>
  </sheetViews>
  <sheetFormatPr baseColWidth="10" defaultRowHeight="14.25" x14ac:dyDescent="0.45"/>
  <cols>
    <col min="1" max="1" width="36.59765625" bestFit="1" customWidth="1"/>
  </cols>
  <sheetData>
    <row r="1" spans="1:2" ht="19.149999999999999" x14ac:dyDescent="0.55000000000000004">
      <c r="A1" s="21" t="s">
        <v>1350</v>
      </c>
      <c r="B1" s="20"/>
    </row>
    <row r="2" spans="1:2" ht="15.75" x14ac:dyDescent="0.5">
      <c r="A2" s="16" t="s">
        <v>1351</v>
      </c>
      <c r="B2" s="17">
        <f>COUNT(Pratique!I2:I1001)</f>
        <v>1000</v>
      </c>
    </row>
    <row r="3" spans="1:2" ht="15.75" x14ac:dyDescent="0.5">
      <c r="A3" s="14" t="s">
        <v>1352</v>
      </c>
      <c r="B3" s="14">
        <f>AVERAGE(Pratique!I2:I1001)</f>
        <v>13.190809999999976</v>
      </c>
    </row>
    <row r="4" spans="1:2" ht="15.75" x14ac:dyDescent="0.5">
      <c r="A4" s="18" t="s">
        <v>1353</v>
      </c>
      <c r="B4" s="17">
        <f>MAX(Pratique!I2:I1001)</f>
        <v>20</v>
      </c>
    </row>
    <row r="5" spans="1:2" ht="15.75" x14ac:dyDescent="0.5">
      <c r="A5" s="14" t="s">
        <v>1354</v>
      </c>
      <c r="B5" s="14">
        <f>MIN(Pratique!I2:I1001)</f>
        <v>3.3</v>
      </c>
    </row>
    <row r="6" spans="1:2" ht="15.4" x14ac:dyDescent="0.45">
      <c r="A6" s="16" t="s">
        <v>1355</v>
      </c>
      <c r="B6" s="16">
        <f>COUNT(Pratique!K2:K1001)</f>
        <v>1000</v>
      </c>
    </row>
    <row r="7" spans="1:2" ht="15.4" x14ac:dyDescent="0.45">
      <c r="A7" s="15" t="s">
        <v>1333</v>
      </c>
      <c r="B7" s="15">
        <f>AVERAGE(Pratique!K2:K1001)</f>
        <v>13.42810999999999</v>
      </c>
    </row>
    <row r="8" spans="1:2" ht="15.4" x14ac:dyDescent="0.45">
      <c r="A8" s="19" t="s">
        <v>1356</v>
      </c>
      <c r="B8" s="16">
        <f>MAX(Pratique!K2:K1001)</f>
        <v>20</v>
      </c>
    </row>
    <row r="9" spans="1:2" ht="15.75" x14ac:dyDescent="0.5">
      <c r="A9" s="15" t="s">
        <v>1357</v>
      </c>
      <c r="B9" s="14">
        <f>MIN(Pratique!K2:K1001)</f>
        <v>0.41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Pratique</vt:lpstr>
      <vt:lpstr>Analyse_Notes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 DJIGO</cp:lastModifiedBy>
  <dcterms:created xsi:type="dcterms:W3CDTF">2026-08-22T08:14:20Z</dcterms:created>
  <dcterms:modified xsi:type="dcterms:W3CDTF">2026-08-27T18:12:37Z</dcterms:modified>
</cp:coreProperties>
</file>