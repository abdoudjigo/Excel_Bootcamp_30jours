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7-nettoyage-donnees\exercices\"/>
    </mc:Choice>
  </mc:AlternateContent>
  <xr:revisionPtr revIDLastSave="0" documentId="13_ncr:1_{C58A9397-7ED3-4467-A136-D74B6BEE0190}" xr6:coauthVersionLast="47" xr6:coauthVersionMax="47" xr10:uidLastSave="{00000000-0000-0000-0000-000000000000}"/>
  <bookViews>
    <workbookView xWindow="-98" yWindow="-98" windowWidth="19396" windowHeight="10276" activeTab="2" xr2:uid="{AAAAE7E4-440A-4281-BBC4-9F2A911FC463}"/>
  </bookViews>
  <sheets>
    <sheet name="Pratique_Nettoyage" sheetId="1" r:id="rId1"/>
    <sheet name="Raw_Data" sheetId="2" r:id="rId2"/>
    <sheet name="Clean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3" i="2" l="1"/>
  <c r="F533" i="2"/>
  <c r="E533" i="2" a="1"/>
  <c r="E533" i="2" s="1"/>
  <c r="D533" i="2" a="1"/>
  <c r="D533" i="2" s="1"/>
  <c r="C533" i="2"/>
  <c r="B533" i="2"/>
  <c r="A533" i="2"/>
  <c r="G532" i="2"/>
  <c r="F532" i="2"/>
  <c r="E532" i="2" a="1"/>
  <c r="E532" i="2" s="1"/>
  <c r="D532" i="2" a="1"/>
  <c r="D532" i="2" s="1"/>
  <c r="C532" i="2"/>
  <c r="B532" i="2"/>
  <c r="A532" i="2"/>
  <c r="G531" i="2"/>
  <c r="F531" i="2"/>
  <c r="E531" i="2" a="1"/>
  <c r="E531" i="2" s="1"/>
  <c r="D531" i="2" a="1"/>
  <c r="D531" i="2" s="1"/>
  <c r="C531" i="2"/>
  <c r="B531" i="2"/>
  <c r="A531" i="2"/>
  <c r="G530" i="2"/>
  <c r="F530" i="2"/>
  <c r="E530" i="2" a="1"/>
  <c r="E530" i="2" s="1"/>
  <c r="D530" i="2" a="1"/>
  <c r="D530" i="2" s="1"/>
  <c r="C530" i="2"/>
  <c r="B530" i="2"/>
  <c r="A530" i="2"/>
  <c r="G529" i="2"/>
  <c r="F529" i="2"/>
  <c r="E529" i="2" a="1"/>
  <c r="E529" i="2" s="1"/>
  <c r="D529" i="2" a="1"/>
  <c r="D529" i="2" s="1"/>
  <c r="C529" i="2"/>
  <c r="B529" i="2"/>
  <c r="A529" i="2"/>
  <c r="G528" i="2"/>
  <c r="F528" i="2"/>
  <c r="E528" i="2" a="1"/>
  <c r="E528" i="2" s="1"/>
  <c r="D528" i="2" a="1"/>
  <c r="D528" i="2" s="1"/>
  <c r="C528" i="2"/>
  <c r="B528" i="2"/>
  <c r="A528" i="2"/>
  <c r="G527" i="2"/>
  <c r="F527" i="2"/>
  <c r="E527" i="2" a="1"/>
  <c r="E527" i="2" s="1"/>
  <c r="D527" i="2" a="1"/>
  <c r="D527" i="2" s="1"/>
  <c r="C527" i="2"/>
  <c r="B527" i="2"/>
  <c r="A527" i="2"/>
  <c r="G526" i="2"/>
  <c r="F526" i="2"/>
  <c r="E526" i="2" a="1"/>
  <c r="E526" i="2" s="1"/>
  <c r="D526" i="2" a="1"/>
  <c r="D526" i="2" s="1"/>
  <c r="C526" i="2"/>
  <c r="B526" i="2"/>
  <c r="A526" i="2"/>
  <c r="G525" i="2"/>
  <c r="F525" i="2"/>
  <c r="E525" i="2" a="1"/>
  <c r="E525" i="2" s="1"/>
  <c r="D525" i="2" a="1"/>
  <c r="D525" i="2" s="1"/>
  <c r="C525" i="2"/>
  <c r="B525" i="2"/>
  <c r="A525" i="2"/>
  <c r="G524" i="2"/>
  <c r="F524" i="2"/>
  <c r="E524" i="2" a="1"/>
  <c r="E524" i="2" s="1"/>
  <c r="D524" i="2" a="1"/>
  <c r="D524" i="2" s="1"/>
  <c r="C524" i="2"/>
  <c r="B524" i="2"/>
  <c r="A524" i="2"/>
  <c r="G523" i="2"/>
  <c r="F523" i="2"/>
  <c r="E523" i="2" a="1"/>
  <c r="E523" i="2" s="1"/>
  <c r="D523" i="2" a="1"/>
  <c r="D523" i="2" s="1"/>
  <c r="C523" i="2"/>
  <c r="B523" i="2"/>
  <c r="A523" i="2"/>
  <c r="G522" i="2"/>
  <c r="F522" i="2"/>
  <c r="E522" i="2" a="1"/>
  <c r="E522" i="2" s="1"/>
  <c r="D522" i="2" a="1"/>
  <c r="D522" i="2" s="1"/>
  <c r="C522" i="2"/>
  <c r="B522" i="2"/>
  <c r="A522" i="2"/>
  <c r="G521" i="2"/>
  <c r="F521" i="2"/>
  <c r="E521" i="2" a="1"/>
  <c r="E521" i="2" s="1"/>
  <c r="D521" i="2" a="1"/>
  <c r="D521" i="2" s="1"/>
  <c r="C521" i="2"/>
  <c r="B521" i="2"/>
  <c r="A521" i="2"/>
  <c r="G520" i="2"/>
  <c r="F520" i="2"/>
  <c r="E520" i="2" a="1"/>
  <c r="E520" i="2" s="1"/>
  <c r="D520" i="2" a="1"/>
  <c r="D520" i="2" s="1"/>
  <c r="C520" i="2"/>
  <c r="B520" i="2"/>
  <c r="A520" i="2"/>
  <c r="G519" i="2"/>
  <c r="F519" i="2"/>
  <c r="E519" i="2" a="1"/>
  <c r="E519" i="2" s="1"/>
  <c r="D519" i="2" a="1"/>
  <c r="D519" i="2" s="1"/>
  <c r="C519" i="2"/>
  <c r="B519" i="2"/>
  <c r="A519" i="2"/>
  <c r="G518" i="2"/>
  <c r="F518" i="2"/>
  <c r="E518" i="2" a="1"/>
  <c r="E518" i="2" s="1"/>
  <c r="D518" i="2" a="1"/>
  <c r="D518" i="2" s="1"/>
  <c r="C518" i="2"/>
  <c r="B518" i="2"/>
  <c r="A518" i="2"/>
  <c r="G517" i="2"/>
  <c r="F517" i="2"/>
  <c r="E517" i="2" a="1"/>
  <c r="E517" i="2" s="1"/>
  <c r="D517" i="2" a="1"/>
  <c r="D517" i="2" s="1"/>
  <c r="C517" i="2"/>
  <c r="B517" i="2"/>
  <c r="A517" i="2"/>
  <c r="G516" i="2"/>
  <c r="F516" i="2"/>
  <c r="E516" i="2" a="1"/>
  <c r="E516" i="2" s="1"/>
  <c r="D516" i="2" a="1"/>
  <c r="D516" i="2" s="1"/>
  <c r="C516" i="2"/>
  <c r="B516" i="2"/>
  <c r="A516" i="2"/>
  <c r="G515" i="2"/>
  <c r="F515" i="2"/>
  <c r="E515" i="2" a="1"/>
  <c r="E515" i="2" s="1"/>
  <c r="D515" i="2" a="1"/>
  <c r="D515" i="2" s="1"/>
  <c r="C515" i="2"/>
  <c r="B515" i="2"/>
  <c r="A515" i="2"/>
  <c r="G514" i="2"/>
  <c r="F514" i="2"/>
  <c r="E514" i="2" a="1"/>
  <c r="E514" i="2" s="1"/>
  <c r="D514" i="2" a="1"/>
  <c r="D514" i="2" s="1"/>
  <c r="C514" i="2"/>
  <c r="B514" i="2"/>
  <c r="A514" i="2"/>
  <c r="G513" i="2"/>
  <c r="F513" i="2"/>
  <c r="E513" i="2" a="1"/>
  <c r="E513" i="2" s="1"/>
  <c r="D513" i="2" a="1"/>
  <c r="D513" i="2" s="1"/>
  <c r="C513" i="2"/>
  <c r="B513" i="2"/>
  <c r="A513" i="2"/>
  <c r="G512" i="2"/>
  <c r="F512" i="2"/>
  <c r="E512" i="2" a="1"/>
  <c r="E512" i="2" s="1"/>
  <c r="D512" i="2" a="1"/>
  <c r="D512" i="2" s="1"/>
  <c r="C512" i="2"/>
  <c r="B512" i="2"/>
  <c r="A512" i="2"/>
  <c r="G511" i="2"/>
  <c r="F511" i="2"/>
  <c r="E511" i="2" a="1"/>
  <c r="E511" i="2" s="1"/>
  <c r="D511" i="2" a="1"/>
  <c r="D511" i="2" s="1"/>
  <c r="C511" i="2"/>
  <c r="B511" i="2"/>
  <c r="A511" i="2"/>
  <c r="G510" i="2"/>
  <c r="F510" i="2"/>
  <c r="E510" i="2" a="1"/>
  <c r="E510" i="2" s="1"/>
  <c r="D510" i="2" a="1"/>
  <c r="D510" i="2" s="1"/>
  <c r="C510" i="2"/>
  <c r="B510" i="2"/>
  <c r="A510" i="2"/>
  <c r="G509" i="2"/>
  <c r="F509" i="2"/>
  <c r="E509" i="2" a="1"/>
  <c r="E509" i="2" s="1"/>
  <c r="D509" i="2" a="1"/>
  <c r="D509" i="2" s="1"/>
  <c r="C509" i="2"/>
  <c r="B509" i="2"/>
  <c r="A509" i="2"/>
  <c r="G508" i="2"/>
  <c r="F508" i="2"/>
  <c r="E508" i="2" a="1"/>
  <c r="E508" i="2" s="1"/>
  <c r="D508" i="2" a="1"/>
  <c r="D508" i="2" s="1"/>
  <c r="C508" i="2"/>
  <c r="B508" i="2"/>
  <c r="A508" i="2"/>
  <c r="G507" i="2"/>
  <c r="F507" i="2"/>
  <c r="E507" i="2" a="1"/>
  <c r="E507" i="2" s="1"/>
  <c r="D507" i="2" a="1"/>
  <c r="D507" i="2" s="1"/>
  <c r="C507" i="2"/>
  <c r="B507" i="2"/>
  <c r="A507" i="2"/>
  <c r="G506" i="2"/>
  <c r="F506" i="2"/>
  <c r="E506" i="2" a="1"/>
  <c r="E506" i="2" s="1"/>
  <c r="D506" i="2" a="1"/>
  <c r="D506" i="2" s="1"/>
  <c r="C506" i="2"/>
  <c r="B506" i="2"/>
  <c r="A506" i="2"/>
  <c r="G505" i="2"/>
  <c r="F505" i="2"/>
  <c r="E505" i="2" a="1"/>
  <c r="E505" i="2" s="1"/>
  <c r="D505" i="2" a="1"/>
  <c r="D505" i="2" s="1"/>
  <c r="C505" i="2"/>
  <c r="B505" i="2"/>
  <c r="A505" i="2"/>
  <c r="G504" i="2"/>
  <c r="F504" i="2"/>
  <c r="E504" i="2" a="1"/>
  <c r="E504" i="2" s="1"/>
  <c r="D504" i="2" a="1"/>
  <c r="D504" i="2" s="1"/>
  <c r="C504" i="2"/>
  <c r="B504" i="2"/>
  <c r="A504" i="2"/>
  <c r="G503" i="2"/>
  <c r="F503" i="2"/>
  <c r="E503" i="2" a="1"/>
  <c r="E503" i="2" s="1"/>
  <c r="D503" i="2" a="1"/>
  <c r="D503" i="2" s="1"/>
  <c r="C503" i="2"/>
  <c r="B503" i="2"/>
  <c r="A503" i="2"/>
  <c r="G502" i="2"/>
  <c r="F502" i="2"/>
  <c r="E502" i="2" a="1"/>
  <c r="E502" i="2" s="1"/>
  <c r="D502" i="2" a="1"/>
  <c r="D502" i="2" s="1"/>
  <c r="C502" i="2"/>
  <c r="B502" i="2"/>
  <c r="A502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  <c r="E209" i="2" a="1"/>
  <c r="E209" i="2" s="1"/>
  <c r="E210" i="2" a="1"/>
  <c r="E210" i="2" s="1"/>
  <c r="E211" i="2" a="1"/>
  <c r="E211" i="2" s="1"/>
  <c r="E212" i="2" a="1"/>
  <c r="E212" i="2" s="1"/>
  <c r="E213" i="2" a="1"/>
  <c r="E213" i="2" s="1"/>
  <c r="E214" i="2" a="1"/>
  <c r="E214" i="2" s="1"/>
  <c r="E215" i="2" a="1"/>
  <c r="E215" i="2" s="1"/>
  <c r="E216" i="2" a="1"/>
  <c r="E216" i="2" s="1"/>
  <c r="E217" i="2" a="1"/>
  <c r="E217" i="2" s="1"/>
  <c r="E218" i="2" a="1"/>
  <c r="E218" i="2" s="1"/>
  <c r="E219" i="2" a="1"/>
  <c r="E219" i="2" s="1"/>
  <c r="E220" i="2" a="1"/>
  <c r="E220" i="2" s="1"/>
  <c r="E221" i="2" a="1"/>
  <c r="E221" i="2" s="1"/>
  <c r="E222" i="2" a="1"/>
  <c r="E222" i="2" s="1"/>
  <c r="E223" i="2" a="1"/>
  <c r="E223" i="2" s="1"/>
  <c r="E224" i="2" a="1"/>
  <c r="E224" i="2" s="1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 s="1"/>
  <c r="E231" i="2" a="1"/>
  <c r="E231" i="2" s="1"/>
  <c r="E233" i="2" a="1"/>
  <c r="E233" i="2" s="1"/>
  <c r="E234" i="2" a="1"/>
  <c r="E234" i="2" s="1"/>
  <c r="E235" i="2" a="1"/>
  <c r="E235" i="2" s="1"/>
  <c r="E236" i="2" a="1"/>
  <c r="E236" i="2" s="1"/>
  <c r="E237" i="2" a="1"/>
  <c r="E237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 s="1"/>
  <c r="E243" i="2" a="1"/>
  <c r="E243" i="2" s="1"/>
  <c r="E244" i="2" a="1"/>
  <c r="E244" i="2" s="1"/>
  <c r="E245" i="2" a="1"/>
  <c r="E245" i="2" s="1"/>
  <c r="E246" i="2" a="1"/>
  <c r="E246" i="2" s="1"/>
  <c r="E247" i="2" a="1"/>
  <c r="E247" i="2" s="1"/>
  <c r="E248" i="2" a="1"/>
  <c r="E248" i="2" s="1"/>
  <c r="E249" i="2" a="1"/>
  <c r="E249" i="2" s="1"/>
  <c r="E250" i="2" a="1"/>
  <c r="E250" i="2" s="1"/>
  <c r="E251" i="2" a="1"/>
  <c r="E251" i="2" s="1"/>
  <c r="E252" i="2" a="1"/>
  <c r="E252" i="2" s="1"/>
  <c r="E253" i="2" a="1"/>
  <c r="E253" i="2" s="1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 s="1"/>
  <c r="E261" i="2" a="1"/>
  <c r="E261" i="2" s="1"/>
  <c r="E262" i="2" a="1"/>
  <c r="E262" i="2" s="1"/>
  <c r="E263" i="2" a="1"/>
  <c r="E263" i="2" s="1"/>
  <c r="E264" i="2" a="1"/>
  <c r="E264" i="2" s="1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 s="1"/>
  <c r="E271" i="2" a="1"/>
  <c r="E271" i="2" s="1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277" i="2" a="1"/>
  <c r="E277" i="2" s="1"/>
  <c r="E278" i="2" a="1"/>
  <c r="E278" i="2" s="1"/>
  <c r="E279" i="2" a="1"/>
  <c r="E279" i="2" s="1"/>
  <c r="E280" i="2" a="1"/>
  <c r="E280" i="2" s="1"/>
  <c r="E281" i="2" a="1"/>
  <c r="E281" i="2" s="1"/>
  <c r="E282" i="2" a="1"/>
  <c r="E282" i="2" s="1"/>
  <c r="E283" i="2" a="1"/>
  <c r="E283" i="2" s="1"/>
  <c r="E284" i="2" a="1"/>
  <c r="E284" i="2" s="1"/>
  <c r="E285" i="2" a="1"/>
  <c r="E285" i="2" s="1"/>
  <c r="E286" i="2" a="1"/>
  <c r="E286" i="2" s="1"/>
  <c r="E287" i="2" a="1"/>
  <c r="E287" i="2" s="1"/>
  <c r="E288" i="2" a="1"/>
  <c r="E288" i="2" s="1"/>
  <c r="E289" i="2" a="1"/>
  <c r="E289" i="2" s="1"/>
  <c r="E290" i="2" a="1"/>
  <c r="E290" i="2" s="1"/>
  <c r="E291" i="2" a="1"/>
  <c r="E291" i="2" s="1"/>
  <c r="E292" i="2" a="1"/>
  <c r="E292" i="2" s="1"/>
  <c r="E293" i="2" a="1"/>
  <c r="E293" i="2" s="1"/>
  <c r="E294" i="2" a="1"/>
  <c r="E294" i="2" s="1"/>
  <c r="E295" i="2" a="1"/>
  <c r="E295" i="2" s="1"/>
  <c r="E296" i="2" a="1"/>
  <c r="E296" i="2" s="1"/>
  <c r="E297" i="2" a="1"/>
  <c r="E297" i="2" s="1"/>
  <c r="E298" i="2" a="1"/>
  <c r="E298" i="2" s="1"/>
  <c r="E299" i="2" a="1"/>
  <c r="E299" i="2" s="1"/>
  <c r="E300" i="2" a="1"/>
  <c r="E300" i="2" s="1"/>
  <c r="E301" i="2" a="1"/>
  <c r="E301" i="2" s="1"/>
  <c r="E302" i="2" a="1"/>
  <c r="E302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 s="1"/>
  <c r="E308" i="2" a="1"/>
  <c r="E308" i="2" s="1"/>
  <c r="E309" i="2" a="1"/>
  <c r="E309" i="2" s="1"/>
  <c r="E310" i="2" a="1"/>
  <c r="E310" i="2" s="1"/>
  <c r="E311" i="2" a="1"/>
  <c r="E311" i="2" s="1"/>
  <c r="E312" i="2" a="1"/>
  <c r="E312" i="2" s="1"/>
  <c r="E313" i="2" a="1"/>
  <c r="E313" i="2" s="1"/>
  <c r="E314" i="2" a="1"/>
  <c r="E314" i="2" s="1"/>
  <c r="E315" i="2" a="1"/>
  <c r="E315" i="2" s="1"/>
  <c r="E316" i="2" a="1"/>
  <c r="E316" i="2" s="1"/>
  <c r="E317" i="2" a="1"/>
  <c r="E317" i="2" s="1"/>
  <c r="E318" i="2" a="1"/>
  <c r="E318" i="2" s="1"/>
  <c r="E319" i="2" a="1"/>
  <c r="E319" i="2" s="1"/>
  <c r="E320" i="2" a="1"/>
  <c r="E320" i="2" s="1"/>
  <c r="E321" i="2" a="1"/>
  <c r="E321" i="2" s="1"/>
  <c r="E322" i="2" a="1"/>
  <c r="E322" i="2" s="1"/>
  <c r="E323" i="2" a="1"/>
  <c r="E323" i="2" s="1"/>
  <c r="E324" i="2" a="1"/>
  <c r="E324" i="2" s="1"/>
  <c r="E325" i="2" a="1"/>
  <c r="E325" i="2" s="1"/>
  <c r="E326" i="2" a="1"/>
  <c r="E326" i="2" s="1"/>
  <c r="E327" i="2" a="1"/>
  <c r="E327" i="2" s="1"/>
  <c r="E328" i="2" a="1"/>
  <c r="E328" i="2" s="1"/>
  <c r="E329" i="2" a="1"/>
  <c r="E329" i="2" s="1"/>
  <c r="E330" i="2" a="1"/>
  <c r="E330" i="2" s="1"/>
  <c r="E331" i="2" a="1"/>
  <c r="E331" i="2" s="1"/>
  <c r="E332" i="2" a="1"/>
  <c r="E332" i="2" s="1"/>
  <c r="E333" i="2" a="1"/>
  <c r="E333" i="2" s="1"/>
  <c r="E334" i="2" a="1"/>
  <c r="E334" i="2" s="1"/>
  <c r="E335" i="2" a="1"/>
  <c r="E335" i="2" s="1"/>
  <c r="E336" i="2" a="1"/>
  <c r="E336" i="2" s="1"/>
  <c r="E337" i="2" a="1"/>
  <c r="E337" i="2" s="1"/>
  <c r="E338" i="2" a="1"/>
  <c r="E338" i="2" s="1"/>
  <c r="E339" i="2" a="1"/>
  <c r="E339" i="2" s="1"/>
  <c r="E340" i="2" a="1"/>
  <c r="E340" i="2" s="1"/>
  <c r="E341" i="2" a="1"/>
  <c r="E341" i="2" s="1"/>
  <c r="E342" i="2" a="1"/>
  <c r="E342" i="2" s="1"/>
  <c r="E343" i="2" a="1"/>
  <c r="E343" i="2" s="1"/>
  <c r="E344" i="2" a="1"/>
  <c r="E344" i="2" s="1"/>
  <c r="E345" i="2" a="1"/>
  <c r="E345" i="2" s="1"/>
  <c r="E346" i="2" a="1"/>
  <c r="E346" i="2" s="1"/>
  <c r="E347" i="2" a="1"/>
  <c r="E347" i="2" s="1"/>
  <c r="E348" i="2" a="1"/>
  <c r="E348" i="2" s="1"/>
  <c r="E349" i="2" a="1"/>
  <c r="E349" i="2" s="1"/>
  <c r="E350" i="2" a="1"/>
  <c r="E350" i="2" s="1"/>
  <c r="E351" i="2" a="1"/>
  <c r="E351" i="2" s="1"/>
  <c r="E352" i="2" a="1"/>
  <c r="E352" i="2" s="1"/>
  <c r="E353" i="2" a="1"/>
  <c r="E353" i="2" s="1"/>
  <c r="E354" i="2" a="1"/>
  <c r="E354" i="2" s="1"/>
  <c r="E355" i="2" a="1"/>
  <c r="E355" i="2" s="1"/>
  <c r="E356" i="2" a="1"/>
  <c r="E356" i="2" s="1"/>
  <c r="E357" i="2" a="1"/>
  <c r="E357" i="2" s="1"/>
  <c r="E358" i="2" a="1"/>
  <c r="E358" i="2" s="1"/>
  <c r="E359" i="2" a="1"/>
  <c r="E359" i="2" s="1"/>
  <c r="E360" i="2" a="1"/>
  <c r="E360" i="2" s="1"/>
  <c r="E361" i="2" a="1"/>
  <c r="E361" i="2" s="1"/>
  <c r="E362" i="2" a="1"/>
  <c r="E362" i="2" s="1"/>
  <c r="E363" i="2" a="1"/>
  <c r="E363" i="2" s="1"/>
  <c r="E364" i="2" a="1"/>
  <c r="E364" i="2" s="1"/>
  <c r="E365" i="2" a="1"/>
  <c r="E365" i="2" s="1"/>
  <c r="E366" i="2" a="1"/>
  <c r="E366" i="2" s="1"/>
  <c r="E367" i="2" a="1"/>
  <c r="E367" i="2" s="1"/>
  <c r="E368" i="2" a="1"/>
  <c r="E368" i="2" s="1"/>
  <c r="E369" i="2" a="1"/>
  <c r="E369" i="2" s="1"/>
  <c r="E370" i="2" a="1"/>
  <c r="E370" i="2" s="1"/>
  <c r="E371" i="2" a="1"/>
  <c r="E371" i="2" s="1"/>
  <c r="E372" i="2" a="1"/>
  <c r="E372" i="2" s="1"/>
  <c r="E373" i="2" a="1"/>
  <c r="E373" i="2" s="1"/>
  <c r="E374" i="2" a="1"/>
  <c r="E374" i="2" s="1"/>
  <c r="E375" i="2" a="1"/>
  <c r="E375" i="2" s="1"/>
  <c r="E376" i="2" a="1"/>
  <c r="E376" i="2" s="1"/>
  <c r="E377" i="2" a="1"/>
  <c r="E377" i="2" s="1"/>
  <c r="E378" i="2" a="1"/>
  <c r="E378" i="2" s="1"/>
  <c r="E379" i="2" a="1"/>
  <c r="E379" i="2" s="1"/>
  <c r="E380" i="2" a="1"/>
  <c r="E380" i="2" s="1"/>
  <c r="E381" i="2" a="1"/>
  <c r="E381" i="2" s="1"/>
  <c r="E382" i="2" a="1"/>
  <c r="E382" i="2" s="1"/>
  <c r="E383" i="2" a="1"/>
  <c r="E383" i="2" s="1"/>
  <c r="E384" i="2" a="1"/>
  <c r="E384" i="2" s="1"/>
  <c r="E385" i="2" a="1"/>
  <c r="E385" i="2" s="1"/>
  <c r="E386" i="2" a="1"/>
  <c r="E386" i="2" s="1"/>
  <c r="E387" i="2" a="1"/>
  <c r="E387" i="2" s="1"/>
  <c r="E388" i="2" a="1"/>
  <c r="E388" i="2" s="1"/>
  <c r="E389" i="2" a="1"/>
  <c r="E389" i="2" s="1"/>
  <c r="E390" i="2" a="1"/>
  <c r="E390" i="2" s="1"/>
  <c r="E391" i="2" a="1"/>
  <c r="E391" i="2" s="1"/>
  <c r="E392" i="2" a="1"/>
  <c r="E392" i="2" s="1"/>
  <c r="E393" i="2" a="1"/>
  <c r="E393" i="2" s="1"/>
  <c r="E394" i="2" a="1"/>
  <c r="E394" i="2" s="1"/>
  <c r="E395" i="2" a="1"/>
  <c r="E395" i="2" s="1"/>
  <c r="E396" i="2" a="1"/>
  <c r="E396" i="2" s="1"/>
  <c r="E397" i="2" a="1"/>
  <c r="E397" i="2" s="1"/>
  <c r="E398" i="2" a="1"/>
  <c r="E398" i="2" s="1"/>
  <c r="E399" i="2" a="1"/>
  <c r="E399" i="2" s="1"/>
  <c r="E400" i="2" a="1"/>
  <c r="E400" i="2" s="1"/>
  <c r="E401" i="2" a="1"/>
  <c r="E401" i="2" s="1"/>
  <c r="E402" i="2" a="1"/>
  <c r="E402" i="2" s="1"/>
  <c r="E403" i="2" a="1"/>
  <c r="E403" i="2" s="1"/>
  <c r="E404" i="2" a="1"/>
  <c r="E404" i="2" s="1"/>
  <c r="E405" i="2" a="1"/>
  <c r="E405" i="2" s="1"/>
  <c r="E406" i="2" a="1"/>
  <c r="E406" i="2" s="1"/>
  <c r="E407" i="2" a="1"/>
  <c r="E407" i="2" s="1"/>
  <c r="E408" i="2" a="1"/>
  <c r="E408" i="2" s="1"/>
  <c r="E409" i="2" a="1"/>
  <c r="E409" i="2" s="1"/>
  <c r="E410" i="2" a="1"/>
  <c r="E410" i="2" s="1"/>
  <c r="E411" i="2" a="1"/>
  <c r="E411" i="2" s="1"/>
  <c r="E412" i="2" a="1"/>
  <c r="E412" i="2" s="1"/>
  <c r="E413" i="2" a="1"/>
  <c r="E413" i="2" s="1"/>
  <c r="E414" i="2" a="1"/>
  <c r="E414" i="2" s="1"/>
  <c r="E415" i="2" a="1"/>
  <c r="E415" i="2" s="1"/>
  <c r="E416" i="2" a="1"/>
  <c r="E416" i="2" s="1"/>
  <c r="E417" i="2" a="1"/>
  <c r="E417" i="2" s="1"/>
  <c r="E418" i="2" a="1"/>
  <c r="E418" i="2" s="1"/>
  <c r="E419" i="2" a="1"/>
  <c r="E419" i="2" s="1"/>
  <c r="E420" i="2" a="1"/>
  <c r="E420" i="2" s="1"/>
  <c r="E421" i="2" a="1"/>
  <c r="E421" i="2" s="1"/>
  <c r="E422" i="2" a="1"/>
  <c r="E422" i="2" s="1"/>
  <c r="E423" i="2" a="1"/>
  <c r="E423" i="2" s="1"/>
  <c r="E424" i="2" a="1"/>
  <c r="E424" i="2" s="1"/>
  <c r="E425" i="2" a="1"/>
  <c r="E425" i="2" s="1"/>
  <c r="E426" i="2" a="1"/>
  <c r="E426" i="2" s="1"/>
  <c r="E427" i="2" a="1"/>
  <c r="E427" i="2" s="1"/>
  <c r="E428" i="2" a="1"/>
  <c r="E428" i="2" s="1"/>
  <c r="E429" i="2" a="1"/>
  <c r="E429" i="2" s="1"/>
  <c r="E430" i="2" a="1"/>
  <c r="E430" i="2" s="1"/>
  <c r="E431" i="2" a="1"/>
  <c r="E431" i="2" s="1"/>
  <c r="E432" i="2" a="1"/>
  <c r="E432" i="2" s="1"/>
  <c r="E433" i="2" a="1"/>
  <c r="E433" i="2" s="1"/>
  <c r="E434" i="2" a="1"/>
  <c r="E434" i="2" s="1"/>
  <c r="E435" i="2" a="1"/>
  <c r="E435" i="2" s="1"/>
  <c r="E436" i="2" a="1"/>
  <c r="E436" i="2" s="1"/>
  <c r="E437" i="2" a="1"/>
  <c r="E437" i="2" s="1"/>
  <c r="E438" i="2" a="1"/>
  <c r="E438" i="2" s="1"/>
  <c r="E439" i="2" a="1"/>
  <c r="E439" i="2" s="1"/>
  <c r="E440" i="2" a="1"/>
  <c r="E440" i="2" s="1"/>
  <c r="E441" i="2" a="1"/>
  <c r="E441" i="2" s="1"/>
  <c r="E442" i="2" a="1"/>
  <c r="E442" i="2" s="1"/>
  <c r="E443" i="2" a="1"/>
  <c r="E443" i="2" s="1"/>
  <c r="E444" i="2" a="1"/>
  <c r="E444" i="2" s="1"/>
  <c r="E445" i="2" a="1"/>
  <c r="E445" i="2" s="1"/>
  <c r="E446" i="2" a="1"/>
  <c r="E446" i="2" s="1"/>
  <c r="E447" i="2" a="1"/>
  <c r="E447" i="2" s="1"/>
  <c r="E448" i="2" a="1"/>
  <c r="E448" i="2" s="1"/>
  <c r="E449" i="2" a="1"/>
  <c r="E449" i="2" s="1"/>
  <c r="E450" i="2" a="1"/>
  <c r="E450" i="2" s="1"/>
  <c r="E451" i="2" a="1"/>
  <c r="E451" i="2" s="1"/>
  <c r="E452" i="2" a="1"/>
  <c r="E452" i="2" s="1"/>
  <c r="E453" i="2" a="1"/>
  <c r="E453" i="2" s="1"/>
  <c r="E454" i="2" a="1"/>
  <c r="E454" i="2" s="1"/>
  <c r="E455" i="2" a="1"/>
  <c r="E455" i="2" s="1"/>
  <c r="E456" i="2" a="1"/>
  <c r="E456" i="2" s="1"/>
  <c r="E457" i="2" a="1"/>
  <c r="E457" i="2" s="1"/>
  <c r="E458" i="2" a="1"/>
  <c r="E458" i="2" s="1"/>
  <c r="E459" i="2" a="1"/>
  <c r="E459" i="2" s="1"/>
  <c r="E460" i="2" a="1"/>
  <c r="E460" i="2" s="1"/>
  <c r="E461" i="2" a="1"/>
  <c r="E461" i="2" s="1"/>
  <c r="E462" i="2" a="1"/>
  <c r="E462" i="2" s="1"/>
  <c r="E463" i="2" a="1"/>
  <c r="E463" i="2" s="1"/>
  <c r="E464" i="2" a="1"/>
  <c r="E464" i="2" s="1"/>
  <c r="E465" i="2" a="1"/>
  <c r="E465" i="2" s="1"/>
  <c r="E466" i="2" a="1"/>
  <c r="E466" i="2" s="1"/>
  <c r="E467" i="2" a="1"/>
  <c r="E467" i="2" s="1"/>
  <c r="E468" i="2" a="1"/>
  <c r="E468" i="2" s="1"/>
  <c r="E469" i="2" a="1"/>
  <c r="E469" i="2" s="1"/>
  <c r="E470" i="2" a="1"/>
  <c r="E470" i="2" s="1"/>
  <c r="E471" i="2" a="1"/>
  <c r="E471" i="2" s="1"/>
  <c r="E472" i="2" a="1"/>
  <c r="E472" i="2" s="1"/>
  <c r="E473" i="2" a="1"/>
  <c r="E473" i="2" s="1"/>
  <c r="E474" i="2" a="1"/>
  <c r="E474" i="2" s="1"/>
  <c r="E475" i="2" a="1"/>
  <c r="E475" i="2" s="1"/>
  <c r="E476" i="2" a="1"/>
  <c r="E476" i="2" s="1"/>
  <c r="E477" i="2" a="1"/>
  <c r="E477" i="2" s="1"/>
  <c r="E478" i="2" a="1"/>
  <c r="E478" i="2" s="1"/>
  <c r="E479" i="2" a="1"/>
  <c r="E479" i="2" s="1"/>
  <c r="E480" i="2" a="1"/>
  <c r="E480" i="2" s="1"/>
  <c r="E481" i="2" a="1"/>
  <c r="E481" i="2" s="1"/>
  <c r="E482" i="2" a="1"/>
  <c r="E482" i="2" s="1"/>
  <c r="E483" i="2" a="1"/>
  <c r="E483" i="2" s="1"/>
  <c r="E484" i="2" a="1"/>
  <c r="E484" i="2" s="1"/>
  <c r="E485" i="2" a="1"/>
  <c r="E485" i="2" s="1"/>
  <c r="E486" i="2" a="1"/>
  <c r="E486" i="2" s="1"/>
  <c r="E487" i="2" a="1"/>
  <c r="E487" i="2" s="1"/>
  <c r="E488" i="2" a="1"/>
  <c r="E488" i="2" s="1"/>
  <c r="E489" i="2" a="1"/>
  <c r="E489" i="2" s="1"/>
  <c r="E490" i="2" a="1"/>
  <c r="E490" i="2" s="1"/>
  <c r="E491" i="2" a="1"/>
  <c r="E491" i="2" s="1"/>
  <c r="E492" i="2" a="1"/>
  <c r="E492" i="2" s="1"/>
  <c r="E493" i="2" a="1"/>
  <c r="E493" i="2" s="1"/>
  <c r="E494" i="2" a="1"/>
  <c r="E494" i="2" s="1"/>
  <c r="E495" i="2" a="1"/>
  <c r="E495" i="2" s="1"/>
  <c r="E496" i="2" a="1"/>
  <c r="E496" i="2" s="1"/>
  <c r="E497" i="2" a="1"/>
  <c r="E497" i="2" s="1"/>
  <c r="E498" i="2" a="1"/>
  <c r="E498" i="2" s="1"/>
  <c r="E499" i="2" a="1"/>
  <c r="E499" i="2" s="1"/>
  <c r="E500" i="2" a="1"/>
  <c r="E500" i="2" s="1"/>
  <c r="E501" i="2" a="1"/>
  <c r="E501" i="2" s="1"/>
  <c r="E2" i="2" a="1"/>
  <c r="E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2" i="2" a="1"/>
  <c r="D2" i="2" s="1"/>
  <c r="B3" i="2"/>
  <c r="B4" i="2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<sst xmlns="http://schemas.openxmlformats.org/spreadsheetml/2006/main" count="2208" uniqueCount="578">
  <si>
    <t>ID</t>
  </si>
  <si>
    <t>Nom</t>
  </si>
  <si>
    <t>Ville</t>
  </si>
  <si>
    <t>Salaire</t>
  </si>
  <si>
    <t>Date</t>
  </si>
  <si>
    <t>Awa Ndiaye</t>
  </si>
  <si>
    <t>Mamadou Diop</t>
  </si>
  <si>
    <t>Fatou Fall</t>
  </si>
  <si>
    <t>Cheikh Ba</t>
  </si>
  <si>
    <t>Mariama Sow</t>
  </si>
  <si>
    <t>DAKAR</t>
  </si>
  <si>
    <t>THIÈS</t>
  </si>
  <si>
    <t>Vente_ID</t>
  </si>
  <si>
    <t>Client</t>
  </si>
  <si>
    <t>Produit</t>
  </si>
  <si>
    <t>Quantité</t>
  </si>
  <si>
    <t>Prix_Unitaire</t>
  </si>
  <si>
    <t>V0001</t>
  </si>
  <si>
    <t>V0002</t>
  </si>
  <si>
    <t>Imprimante</t>
  </si>
  <si>
    <t>V0003</t>
  </si>
  <si>
    <t>V0004</t>
  </si>
  <si>
    <t>Clavier</t>
  </si>
  <si>
    <t>V0005</t>
  </si>
  <si>
    <t>Casque</t>
  </si>
  <si>
    <t>V0006</t>
  </si>
  <si>
    <t>Laptop</t>
  </si>
  <si>
    <t>V0007</t>
  </si>
  <si>
    <t>V0008</t>
  </si>
  <si>
    <t>8</t>
  </si>
  <si>
    <t>V0009</t>
  </si>
  <si>
    <t>Tablete</t>
  </si>
  <si>
    <t>V0010</t>
  </si>
  <si>
    <t>TOUBA</t>
  </si>
  <si>
    <t>V0011</t>
  </si>
  <si>
    <t>V0012</t>
  </si>
  <si>
    <t>V0013</t>
  </si>
  <si>
    <t>V0014</t>
  </si>
  <si>
    <t>Ecran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</si>
  <si>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</si>
  <si>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</si>
  <si>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</si>
  <si>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</si>
  <si>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</si>
  <si>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</si>
  <si>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</si>
  <si>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</si>
  <si>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</si>
  <si>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</si>
  <si>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Souris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</si>
  <si>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</si>
  <si>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</si>
  <si>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</si>
  <si>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</si>
  <si>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</si>
  <si>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</si>
  <si>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</si>
  <si>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</si>
  <si>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</si>
  <si>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</si>
  <si>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</si>
  <si>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</si>
  <si>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</si>
  <si>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</si>
  <si>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</si>
  <si>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</si>
  <si>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</si>
  <si>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</si>
  <si>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</si>
  <si>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</si>
  <si>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</si>
  <si>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</si>
  <si>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</si>
  <si>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</si>
  <si>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</si>
  <si>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</si>
  <si>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</si>
  <si>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</si>
  <si>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</si>
  <si>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</si>
  <si>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</si>
  <si>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</si>
  <si>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</si>
  <si>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</si>
  <si>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</si>
  <si>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</si>
  <si>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</si>
  <si>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</si>
  <si>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</si>
  <si>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</si>
  <si>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</si>
  <si>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</si>
  <si>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</si>
  <si>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</si>
  <si>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</si>
  <si>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</si>
  <si>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</si>
  <si>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</si>
  <si>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</si>
  <si>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</si>
  <si>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</si>
  <si>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5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</si>
  <si>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</si>
  <si>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</si>
  <si>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</si>
  <si>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</si>
  <si>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</si>
  <si>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</si>
  <si>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</si>
  <si>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</si>
  <si>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</si>
  <si>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</si>
  <si>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</si>
  <si>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</si>
  <si>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</si>
  <si>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</si>
  <si>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</si>
  <si>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</si>
  <si>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</si>
  <si>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</si>
  <si>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</si>
  <si>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10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</si>
  <si>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</si>
  <si>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</si>
  <si>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</si>
  <si>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</si>
  <si>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</si>
  <si>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</si>
  <si>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</si>
  <si>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</si>
  <si>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</si>
  <si>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</si>
  <si>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</si>
  <si>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</si>
  <si>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</si>
  <si>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</si>
  <si>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</si>
  <si>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</si>
  <si>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</si>
  <si>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</si>
  <si>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</si>
  <si>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</si>
  <si>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</si>
  <si>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</si>
  <si>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</si>
  <si>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</si>
  <si>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</si>
  <si>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</si>
  <si>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</si>
  <si>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</si>
  <si>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</si>
  <si>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</si>
  <si>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</si>
  <si>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</si>
  <si>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</si>
  <si>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</si>
  <si>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</si>
  <si>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</si>
  <si>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</si>
  <si>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</si>
  <si>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</si>
  <si>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</si>
  <si>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</si>
  <si>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</si>
  <si>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</si>
  <si>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</si>
  <si>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</si>
  <si>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</si>
  <si>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</si>
  <si>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</si>
  <si>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</si>
  <si>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</si>
  <si>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</si>
  <si>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</si>
  <si>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</si>
  <si>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</si>
  <si>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</si>
  <si>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</si>
  <si>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</si>
  <si>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</si>
  <si>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</si>
  <si>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</si>
  <si>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</si>
  <si>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</si>
  <si>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</si>
  <si>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</si>
  <si>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</si>
  <si>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</si>
  <si>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</si>
  <si>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</si>
  <si>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</si>
  <si>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</si>
  <si>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</si>
  <si>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</si>
  <si>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</si>
  <si>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</si>
  <si>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</si>
  <si>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</si>
  <si>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</si>
  <si>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</si>
  <si>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</si>
  <si>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</si>
  <si>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</si>
  <si>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</si>
  <si>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</si>
  <si>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</si>
  <si>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</si>
  <si>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</si>
  <si>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</si>
  <si>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</si>
  <si>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</si>
  <si>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</si>
  <si>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</si>
  <si>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</si>
  <si>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</si>
  <si>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</si>
  <si>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</si>
  <si>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</si>
  <si>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</si>
  <si>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</si>
  <si>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</si>
  <si>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</si>
  <si>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</si>
  <si>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</si>
  <si>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</si>
  <si>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</si>
  <si>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</si>
  <si>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</si>
  <si>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</si>
  <si>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</si>
  <si>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</si>
  <si>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</si>
  <si>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</si>
  <si>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</si>
  <si>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</si>
  <si>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</si>
  <si>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</si>
  <si>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</si>
  <si>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</si>
  <si>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6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</si>
  <si>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</si>
  <si>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</si>
  <si>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</si>
  <si>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</si>
  <si>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</si>
  <si>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</si>
  <si>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</si>
  <si>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</si>
  <si>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</si>
  <si>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</si>
  <si>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</si>
  <si>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</si>
  <si>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</si>
  <si>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2</t>
  </si>
  <si>
    <t>V0222</t>
  </si>
  <si>
    <t>7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</si>
  <si>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</si>
  <si>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</si>
  <si>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</si>
  <si>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</si>
  <si>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</si>
  <si>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</si>
  <si>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</si>
  <si>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</si>
  <si>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</si>
  <si>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</si>
  <si>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</si>
  <si>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</si>
  <si>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</si>
  <si>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</si>
  <si>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</si>
  <si>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</si>
  <si>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</si>
  <si>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</si>
  <si>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</si>
  <si>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</si>
  <si>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</si>
  <si>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</si>
  <si>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</si>
  <si>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</si>
  <si>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</si>
  <si>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</si>
  <si>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</si>
  <si>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</si>
  <si>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</si>
  <si>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</si>
  <si>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</si>
  <si>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</si>
  <si>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</si>
  <si>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</si>
  <si>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</si>
  <si>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</si>
  <si>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</si>
  <si>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</si>
  <si>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</si>
  <si>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</si>
  <si>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</si>
  <si>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</si>
  <si>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3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</si>
  <si>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</si>
  <si>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</si>
  <si>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</si>
  <si>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</si>
  <si>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</si>
  <si>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</si>
  <si>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</si>
  <si>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</si>
  <si>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</si>
  <si>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</si>
  <si>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</si>
  <si>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</si>
  <si>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</si>
  <si>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</si>
  <si>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</si>
  <si>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</si>
  <si>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</si>
  <si>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</si>
  <si>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</si>
  <si>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</si>
  <si>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</si>
  <si>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</si>
  <si>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</si>
  <si>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</si>
  <si>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</si>
  <si>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</si>
  <si>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</si>
  <si>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</si>
  <si>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</si>
  <si>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</si>
  <si>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</si>
  <si>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</si>
  <si>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</si>
  <si>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</si>
  <si>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</si>
  <si>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</si>
  <si>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</si>
  <si>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</si>
  <si>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</si>
  <si>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</si>
  <si>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</si>
  <si>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</si>
  <si>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</si>
  <si>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</si>
  <si>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</si>
  <si>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</si>
  <si>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</si>
  <si>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</si>
  <si>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</si>
  <si>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</si>
  <si>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</si>
  <si>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</si>
  <si>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</si>
  <si>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</si>
  <si>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</si>
  <si>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</si>
  <si>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</si>
  <si>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</si>
  <si>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</si>
  <si>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</si>
  <si>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</si>
  <si>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</si>
  <si>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</si>
  <si>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</si>
  <si>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</si>
  <si>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</si>
  <si>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</si>
  <si>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</si>
  <si>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</si>
  <si>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</si>
  <si>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</si>
  <si>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</si>
  <si>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</si>
  <si>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</si>
  <si>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</si>
  <si>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</si>
  <si>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</si>
  <si>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</si>
  <si>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</si>
  <si>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</si>
  <si>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</si>
  <si>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</si>
  <si>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</si>
  <si>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</si>
  <si>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</si>
  <si>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</si>
  <si>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</si>
  <si>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</si>
  <si>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</si>
  <si>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</si>
  <si>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</si>
  <si>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</si>
  <si>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</si>
  <si>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</si>
  <si>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</si>
  <si>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</si>
  <si>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</si>
  <si>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</si>
  <si>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</si>
  <si>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</si>
  <si>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</si>
  <si>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</si>
  <si>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</si>
  <si>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</si>
  <si>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</si>
  <si>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</si>
  <si>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</si>
  <si>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</si>
  <si>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</si>
  <si>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</si>
  <si>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</si>
  <si>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</si>
  <si>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</si>
  <si>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</si>
  <si>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</si>
  <si>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</si>
  <si>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</si>
  <si>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</si>
  <si>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</si>
  <si>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</si>
  <si>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</si>
  <si>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</si>
  <si>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</si>
  <si>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</si>
  <si>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</si>
  <si>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</si>
  <si>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</si>
  <si>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</si>
  <si>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</si>
  <si>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</si>
  <si>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</si>
  <si>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</si>
  <si>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</si>
  <si>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</si>
  <si>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</si>
  <si>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</si>
  <si>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</si>
  <si>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</si>
  <si>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</si>
  <si>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</si>
  <si>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</si>
  <si>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</si>
  <si>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</si>
  <si>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</si>
  <si>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</si>
  <si>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</si>
  <si>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</si>
  <si>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</si>
  <si>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</si>
  <si>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</si>
  <si>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</si>
  <si>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</si>
  <si>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</si>
  <si>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</si>
  <si>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</si>
  <si>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</si>
  <si>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</si>
  <si>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</si>
  <si>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</si>
  <si>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</si>
  <si>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</si>
  <si>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</si>
  <si>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</si>
  <si>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</si>
  <si>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</si>
  <si>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</si>
  <si>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</si>
  <si>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</si>
  <si>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</si>
  <si>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</si>
  <si>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</si>
  <si>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</si>
  <si>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</si>
  <si>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</si>
  <si>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</si>
  <si>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</si>
  <si>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</si>
  <si>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</si>
  <si>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</si>
  <si>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</si>
  <si>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</si>
  <si>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</si>
  <si>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</si>
  <si>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</si>
  <si>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</si>
  <si>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</si>
  <si>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</si>
  <si>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</si>
  <si>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</si>
  <si>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</si>
  <si>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</si>
  <si>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</si>
  <si>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</si>
  <si>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</si>
  <si>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</si>
  <si>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</si>
  <si>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</si>
  <si>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</si>
  <si>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</si>
  <si>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</si>
  <si>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</si>
  <si>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</si>
  <si>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</si>
  <si>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</si>
  <si>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</si>
  <si>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</si>
  <si>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</si>
  <si>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</si>
  <si>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</si>
  <si>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</si>
  <si>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</si>
  <si>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</si>
  <si>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</si>
  <si>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</si>
  <si>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</si>
  <si>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</si>
  <si>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</si>
  <si>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</si>
  <si>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</si>
  <si>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</si>
  <si>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</si>
  <si>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</si>
  <si>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</si>
  <si>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</si>
  <si>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</si>
  <si>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</si>
  <si>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</si>
  <si>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</si>
  <si>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</si>
  <si>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</si>
  <si>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</si>
  <si>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</si>
  <si>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</si>
  <si>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</si>
  <si>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</si>
  <si>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</si>
  <si>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</si>
  <si>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</si>
  <si>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</si>
  <si>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</si>
  <si>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</si>
  <si>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</si>
  <si>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</si>
  <si>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</si>
  <si>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</si>
  <si>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</si>
  <si>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</si>
  <si>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</si>
  <si>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</si>
  <si>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</si>
  <si>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</si>
  <si>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</si>
  <si>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</si>
  <si>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</si>
  <si>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</si>
  <si>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</si>
  <si>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</si>
  <si>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</si>
  <si>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</si>
  <si>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</si>
  <si>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</si>
  <si>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</si>
  <si>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</si>
  <si>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</si>
  <si>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</si>
  <si>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</si>
  <si>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</si>
  <si>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</si>
  <si>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CheikhBa</t>
  </si>
  <si>
    <t>FatouFall</t>
  </si>
  <si>
    <t>Disquedur</t>
  </si>
  <si>
    <t>AwaNdiaye</t>
  </si>
  <si>
    <t>MamadouDiop</t>
  </si>
  <si>
    <t>AbdoulayeGueye</t>
  </si>
  <si>
    <t>OusmaneNdiaye</t>
  </si>
  <si>
    <t>SokhnaDiallo</t>
  </si>
  <si>
    <t>MariamaSow</t>
  </si>
  <si>
    <t>KAOLACK</t>
  </si>
  <si>
    <t>SAINT-LOUIS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</si>
</sst>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\ [$CFA-280C]_-;\-* #,##0\ [$CFA-280C]_-;_-* &quot;-&quot;\ [$CFA-280C]_-;_-@_-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6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447C-9829-48E8-AE49-724EBE0F9287}">
  <dimension ref="A1:E6"/>
  <sheetViews>
    <sheetView workbookViewId="0">
      <selection activeCell="A2" sqref="A2"/>
    </sheetView>
  </sheetViews>
  <sheetFormatPr baseColWidth="10" defaultRowHeight="14.25" x14ac:dyDescent="0.45"/>
  <cols>
    <col min="2" max="2" width="12.5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t="s">
        <v>10</v>
      </c>
      <c r="D2">
        <v>350000</v>
      </c>
      <c r="E2" s="1">
        <v>46034</v>
      </c>
    </row>
    <row r="3" spans="1:5" x14ac:dyDescent="0.45">
      <c r="A3">
        <v>2</v>
      </c>
      <c r="B3" t="s">
        <v>6</v>
      </c>
      <c r="C3" t="s">
        <v>10</v>
      </c>
      <c r="D3">
        <v>400000</v>
      </c>
      <c r="E3" s="1">
        <v>46037</v>
      </c>
    </row>
    <row r="4" spans="1:5" x14ac:dyDescent="0.45">
      <c r="A4">
        <v>3</v>
      </c>
      <c r="B4" t="s">
        <v>7</v>
      </c>
      <c r="C4" t="s">
        <v>11</v>
      </c>
      <c r="D4" s="2">
        <v>381250</v>
      </c>
      <c r="E4" s="1">
        <v>46040</v>
      </c>
    </row>
    <row r="5" spans="1:5" x14ac:dyDescent="0.45">
      <c r="A5">
        <v>4</v>
      </c>
      <c r="B5" t="s">
        <v>8</v>
      </c>
      <c r="C5" t="s">
        <v>10</v>
      </c>
      <c r="D5">
        <v>450000</v>
      </c>
      <c r="E5" s="1">
        <v>46042</v>
      </c>
    </row>
    <row r="6" spans="1:5" x14ac:dyDescent="0.45">
      <c r="A6">
        <v>5</v>
      </c>
      <c r="B6" t="s">
        <v>9</v>
      </c>
      <c r="C6" t="s">
        <v>10</v>
      </c>
      <c r="D6">
        <v>325000</v>
      </c>
      <c r="E6" s="1">
        <v>46044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AC53-A3F2-4B7F-8A5C-5F0D254867FA}">
  <dimension ref="A1:G533"/>
  <sheetViews>
    <sheetView topLeftCell="A514" workbookViewId="0">
      <selection sqref="A1:G533"/>
    </sheetView>
  </sheetViews>
  <sheetFormatPr baseColWidth="10" defaultRowHeight="14.25" x14ac:dyDescent="0.45"/>
  <cols>
    <col min="3" max="3" width="14.6640625" bestFit="1" customWidth="1"/>
  </cols>
  <sheetData>
    <row r="1" spans="1:7" x14ac:dyDescent="0.45">
      <c r="A1" t="s">
        <v>12</v>
      </c>
      <c r="B1" t="s">
        <v>4</v>
      </c>
      <c r="C1" t="s">
        <v>13</v>
      </c>
      <c r="D1" t="s">
        <v>2</v>
      </c>
      <c r="E1" t="s">
        <v>14</v>
      </c>
      <c r="F1" t="s">
        <v>15</v>
      </c>
      <c r="G1" t="s">
        <v>16</v>
      </c>
    </row>
    <row r="2" spans="1:7" x14ac:dyDescent="0.45">
      <c r="A2" t="str">
        <f>"V" &amp; TEXT(ROW()-1, "0000")</f>
        <v>V0001</v>
      </c>
      <c r="B2" t="str">
        <f ca="1">IF(RAND()&lt;0.3,
    TEXT(DATE(2026,9,RANDBETWEEN(1,30)),"jj/mm/aaaa"),
    IF(RAND()&lt;0.5,
        TEXT(DATE(2026,9,RANDBETWEEN(1,30)),"aaaa-mm-jj"),
        TEXT(DATE(2026,9,RANDBETWEEN(1,30)),"jj-mm-aa")
    )
)</f>
        <v>18-09-26</v>
      </c>
      <c r="C2" t="str">
        <f ca="1">CHOOSE(RANDBETWEEN(1,8),"Awa Ndiaye","Mamadou Diop","Fatou Fall","  Cheikh Ba","Mariama Sow","Ousmane Ndiaye  ","Sokhna Diallo","Abdoulaye Gueye")</f>
        <v xml:space="preserve">Ousmane Ndiaye  </v>
      </c>
      <c r="D2" t="str" cm="1">
        <f t="array" aca="1" ref="D2" ca="1">INDEX({"Dakar";"dakar";"DAKAR";"Dakar ";"Thiès";"TOUBA";"Kaolack";"Saint-Louis"},RANDBETWEEN(1,8))</f>
        <v xml:space="preserve">Dakar </v>
      </c>
      <c r="E2" t="str" cm="1">
        <f t="array" aca="1" ref="E2" ca="1">INDEX({"Laptop";"Souris";"Clavier";"Ecran";"Casque";"Tablete";"Imprimante";"Disque dur"},RANDBETWEEN(1,8))</f>
        <v>Casque</v>
      </c>
      <c r="F2">
        <f ca="1">IF(RAND()&lt;0.1, TEXT(RANDBETWEEN(1,10),"0"), RANDBETWEEN(1,10))</f>
        <v>10</v>
      </c>
      <c r="G2" t="str">
        <f ca="1">CHOOSE(RANDBETWEEN(1,4),
    TEXT(RANDBETWEEN(10000,500000),"0") &amp; " €",
    TEXT(RANDBETWEEN(10000,500000),"0") &amp; "€",
    TEXT(RANDBETWEEN(10000,500000),"0"),
    "€" &amp; TEXT(RANDBETWEEN(10000,500000),"0")
)</f>
        <v>435376€</v>
      </c>
    </row>
    <row r="3" spans="1:7" x14ac:dyDescent="0.45">
      <c r="A3" t="str">
        <f t="shared" ref="A3:A66" si="0">"V" &amp; TEXT(ROW()-1, "0000")</f>
        <v>V0002</v>
      </c>
      <c r="B3" t="str">
        <f t="shared" ref="B3:B66" ca="1" si="1">IF(RAND()&lt;0.3,
    TEXT(DATE(2026,9,RANDBETWEEN(1,30)),"jj/mm/aaaa"),
    IF(RAND()&lt;0.5,
        TEXT(DATE(2026,9,RANDBETWEEN(1,30)),"aaaa-mm-jj"),
        TEXT(DATE(2026,9,RANDBETWEEN(1,30)),"jj-mm-aa")
    )
)</f>
        <v>2026-09-23</v>
      </c>
      <c r="C3" t="str">
        <f t="shared" ref="C3:C66" ca="1" si="2">CHOOSE(RANDBETWEEN(1,8),"Awa Ndiaye","Mamadou Diop","Fatou Fall","  Cheikh Ba","Mariama Sow","Ousmane Ndiaye  ","Sokhna Diallo","Abdoulaye Gueye")</f>
        <v>Mamadou Diop</v>
      </c>
      <c r="D3" t="str" cm="1">
        <f t="array" aca="1" ref="D3" ca="1">INDEX({"Dakar";"dakar";"DAKAR";"Dakar ";"Thiès";"TOUBA";"Kaolack";"Saint-Louis"},RANDBETWEEN(1,8))</f>
        <v>DAKAR</v>
      </c>
      <c r="E3" t="str" cm="1">
        <f t="array" aca="1" ref="E3" ca="1">INDEX({"Laptop";"Souris";"Clavier";"Ecran";"Casque";"Tablete";"Imprimante";"Disque dur"},RANDBETWEEN(1,8))</f>
        <v>Disque dur</v>
      </c>
      <c r="F3">
        <f t="shared" ref="F3:F66" ca="1" si="3">IF(RAND()&lt;0.1, TEXT(RANDBETWEEN(1,10),"0"), RANDBETWEEN(1,10))</f>
        <v>4</v>
      </c>
      <c r="G3" t="str">
        <f t="shared" ref="G3:G66" ca="1" si="4">CHOOSE(RANDBETWEEN(1,4),
    TEXT(RANDBETWEEN(10000,500000),"0") &amp; " €",
    TEXT(RANDBETWEEN(10000,500000),"0") &amp; "€",
    TEXT(RANDBETWEEN(10000,500000),"0"),
    "€" &amp; TEXT(RANDBETWEEN(10000,500000),"0")
)</f>
        <v>€499792</v>
      </c>
    </row>
    <row r="4" spans="1:7" x14ac:dyDescent="0.45">
      <c r="A4" t="str">
        <f t="shared" si="0"/>
        <v>V0003</v>
      </c>
      <c r="B4" t="str">
        <f t="shared" ca="1" si="1"/>
        <v>01/09/2026</v>
      </c>
      <c r="C4" t="str">
        <f t="shared" ca="1" si="2"/>
        <v>Fatou Fall</v>
      </c>
      <c r="D4" t="str" cm="1">
        <f t="array" aca="1" ref="D4" ca="1">INDEX({"Dakar";"dakar";"DAKAR";"Dakar ";"Thiès";"TOUBA";"Kaolack";"Saint-Louis"},RANDBETWEEN(1,8))</f>
        <v>Saint-Louis</v>
      </c>
      <c r="E4" t="str" cm="1">
        <f t="array" aca="1" ref="E4" ca="1">INDEX({"Laptop";"Souris";"Clavier";"Ecran";"Casque";"Tablete";"Imprimante";"Disque dur"},RANDBETWEEN(1,8))</f>
        <v>Laptop</v>
      </c>
      <c r="F4">
        <f t="shared" ca="1" si="3"/>
        <v>3</v>
      </c>
      <c r="G4" t="str">
        <f t="shared" ca="1" si="4"/>
        <v>196235€</v>
      </c>
    </row>
    <row r="5" spans="1:7" x14ac:dyDescent="0.45">
      <c r="A5" t="str">
        <f t="shared" si="0"/>
        <v>V0004</v>
      </c>
      <c r="B5" t="str">
        <f t="shared" ca="1" si="1"/>
        <v>19-09-26</v>
      </c>
      <c r="C5" t="str">
        <f t="shared" ca="1" si="2"/>
        <v xml:space="preserve">Ousmane Ndiaye  </v>
      </c>
      <c r="D5" t="str" cm="1">
        <f t="array" aca="1" ref="D5" ca="1">INDEX({"Dakar";"dakar";"DAKAR";"Dakar ";"Thiès";"TOUBA";"Kaolack";"Saint-Louis"},RANDBETWEEN(1,8))</f>
        <v>dakar</v>
      </c>
      <c r="E5" t="str" cm="1">
        <f t="array" aca="1" ref="E5" ca="1">INDEX({"Laptop";"Souris";"Clavier";"Ecran";"Casque";"Tablete";"Imprimante";"Disque dur"},RANDBETWEEN(1,8))</f>
        <v>Casque</v>
      </c>
      <c r="F5">
        <f t="shared" ca="1" si="3"/>
        <v>10</v>
      </c>
      <c r="G5" t="str">
        <f t="shared" ca="1" si="4"/>
        <v>424250€</v>
      </c>
    </row>
    <row r="6" spans="1:7" x14ac:dyDescent="0.45">
      <c r="A6" t="str">
        <f t="shared" si="0"/>
        <v>V0005</v>
      </c>
      <c r="C6" t="str">
        <f t="shared" ca="1" si="2"/>
        <v>Fatou Fall</v>
      </c>
      <c r="D6" t="str" cm="1">
        <f t="array" aca="1" ref="D6" ca="1">INDEX({"Dakar";"dakar";"DAKAR";"Dakar ";"Thiès";"TOUBA";"Kaolack";"Saint-Louis"},RANDBETWEEN(1,8))</f>
        <v>Saint-Louis</v>
      </c>
      <c r="E6" t="str" cm="1">
        <f t="array" aca="1" ref="E6" ca="1">INDEX({"Laptop";"Souris";"Clavier";"Ecran";"Casque";"Tablete";"Imprimante";"Disque dur"},RANDBETWEEN(1,8))</f>
        <v>Laptop</v>
      </c>
      <c r="F6">
        <f t="shared" ca="1" si="3"/>
        <v>10</v>
      </c>
      <c r="G6" t="str">
        <f t="shared" ca="1" si="4"/>
        <v>86945</v>
      </c>
    </row>
    <row r="7" spans="1:7" x14ac:dyDescent="0.45">
      <c r="A7" t="str">
        <f t="shared" si="0"/>
        <v>V0006</v>
      </c>
      <c r="B7" t="str">
        <f t="shared" ca="1" si="1"/>
        <v>04/09/2026</v>
      </c>
      <c r="C7" t="str">
        <f t="shared" ca="1" si="2"/>
        <v>Awa Ndiaye</v>
      </c>
      <c r="D7" t="str" cm="1">
        <f t="array" aca="1" ref="D7" ca="1">INDEX({"Dakar";"dakar";"DAKAR";"Dakar ";"Thiès";"TOUBA";"Kaolack";"Saint-Louis"},RANDBETWEEN(1,8))</f>
        <v>Dakar</v>
      </c>
      <c r="E7" t="str" cm="1">
        <f t="array" aca="1" ref="E7" ca="1">INDEX({"Laptop";"Souris";"Clavier";"Ecran";"Casque";"Tablete";"Imprimante";"Disque dur"},RANDBETWEEN(1,8))</f>
        <v>Imprimante</v>
      </c>
      <c r="F7">
        <f t="shared" ca="1" si="3"/>
        <v>1</v>
      </c>
      <c r="G7" t="str">
        <f t="shared" ca="1" si="4"/>
        <v>442154 €</v>
      </c>
    </row>
    <row r="8" spans="1:7" x14ac:dyDescent="0.45">
      <c r="A8" t="str">
        <f t="shared" si="0"/>
        <v>V0007</v>
      </c>
      <c r="B8" t="str">
        <f t="shared" ca="1" si="1"/>
        <v>19/09/2026</v>
      </c>
      <c r="C8" t="str">
        <f t="shared" ca="1" si="2"/>
        <v xml:space="preserve">  Cheikh Ba</v>
      </c>
      <c r="D8" t="str" cm="1">
        <f t="array" aca="1" ref="D8" ca="1">INDEX({"Dakar";"dakar";"DAKAR";"Dakar ";"Thiès";"TOUBA";"Kaolack";"Saint-Louis"},RANDBETWEEN(1,8))</f>
        <v>DAKAR</v>
      </c>
      <c r="E8" t="str" cm="1">
        <f t="array" aca="1" ref="E8" ca="1">INDEX({"Laptop";"Souris";"Clavier";"Ecran";"Casque";"Tablete";"Imprimante";"Disque dur"},RANDBETWEEN(1,8))</f>
        <v>Souris</v>
      </c>
      <c r="F8">
        <f t="shared" ca="1" si="3"/>
        <v>4</v>
      </c>
      <c r="G8" t="str">
        <f t="shared" ca="1" si="4"/>
        <v>482300 €</v>
      </c>
    </row>
    <row r="9" spans="1:7" x14ac:dyDescent="0.45">
      <c r="A9" t="str">
        <f t="shared" si="0"/>
        <v>V0008</v>
      </c>
      <c r="B9" t="str">
        <f t="shared" ca="1" si="1"/>
        <v>2026-09-24</v>
      </c>
      <c r="C9" t="str">
        <f t="shared" ca="1" si="2"/>
        <v>Awa Ndiaye</v>
      </c>
      <c r="D9" t="str" cm="1">
        <f t="array" aca="1" ref="D9" ca="1">INDEX({"Dakar";"dakar";"DAKAR";"Dakar ";"Thiès";"TOUBA";"Kaolack";"Saint-Louis"},RANDBETWEEN(1,8))</f>
        <v>DAKAR</v>
      </c>
      <c r="E9" t="str" cm="1">
        <f t="array" aca="1" ref="E9" ca="1">INDEX({"Laptop";"Souris";"Clavier";"Ecran";"Casque";"Tablete";"Imprimante";"Disque dur"},RANDBETWEEN(1,8))</f>
        <v>Casque</v>
      </c>
      <c r="F9">
        <f t="shared" ca="1" si="3"/>
        <v>10</v>
      </c>
      <c r="G9" t="str">
        <f t="shared" ca="1" si="4"/>
        <v>401830</v>
      </c>
    </row>
    <row r="10" spans="1:7" x14ac:dyDescent="0.45">
      <c r="A10" t="str">
        <f t="shared" si="0"/>
        <v>V0009</v>
      </c>
      <c r="B10" t="str">
        <f t="shared" ca="1" si="1"/>
        <v>2026-09-26</v>
      </c>
      <c r="C10" t="str">
        <f t="shared" ca="1" si="2"/>
        <v>Awa Ndiaye</v>
      </c>
      <c r="D10" t="str" cm="1">
        <f t="array" aca="1" ref="D10" ca="1">INDEX({"Dakar";"dakar";"DAKAR";"Dakar ";"Thiès";"TOUBA";"Kaolack";"Saint-Louis"},RANDBETWEEN(1,8))</f>
        <v>TOUBA</v>
      </c>
      <c r="E10" t="str" cm="1">
        <f t="array" aca="1" ref="E10" ca="1">INDEX({"Laptop";"Souris";"Clavier";"Ecran";"Casque";"Tablete";"Imprimante";"Disque dur"},RANDBETWEEN(1,8))</f>
        <v>Ecran</v>
      </c>
      <c r="F10">
        <f t="shared" ca="1" si="3"/>
        <v>3</v>
      </c>
      <c r="G10" t="str">
        <f t="shared" ca="1" si="4"/>
        <v>309084</v>
      </c>
    </row>
    <row r="11" spans="1:7" x14ac:dyDescent="0.45">
      <c r="A11" t="str">
        <f t="shared" si="0"/>
        <v>V0010</v>
      </c>
      <c r="B11" t="str">
        <f t="shared" ca="1" si="1"/>
        <v>21-09-26</v>
      </c>
      <c r="C11" t="str">
        <f t="shared" ca="1" si="2"/>
        <v>Fatou Fall</v>
      </c>
      <c r="D11" t="str" cm="1">
        <f t="array" aca="1" ref="D11" ca="1">INDEX({"Dakar";"dakar";"DAKAR";"Dakar ";"Thiès";"TOUBA";"Kaolack";"Saint-Louis"},RANDBETWEEN(1,8))</f>
        <v xml:space="preserve">Dakar </v>
      </c>
      <c r="E11" t="str" cm="1">
        <f t="array" aca="1" ref="E11" ca="1">INDEX({"Laptop";"Souris";"Clavier";"Ecran";"Casque";"Tablete";"Imprimante";"Disque dur"},RANDBETWEEN(1,8))</f>
        <v>Ecran</v>
      </c>
      <c r="F11">
        <f t="shared" ca="1" si="3"/>
        <v>6</v>
      </c>
      <c r="G11" t="str">
        <f t="shared" ca="1" si="4"/>
        <v>243352€</v>
      </c>
    </row>
    <row r="12" spans="1:7" x14ac:dyDescent="0.45">
      <c r="A12" t="str">
        <f t="shared" si="0"/>
        <v>V0011</v>
      </c>
      <c r="B12" t="str">
        <f t="shared" ca="1" si="1"/>
        <v>19/09/2026</v>
      </c>
      <c r="C12" t="str">
        <f t="shared" ca="1" si="2"/>
        <v>Mariama Sow</v>
      </c>
      <c r="D12" t="str" cm="1">
        <f t="array" aca="1" ref="D12" ca="1">INDEX({"Dakar";"dakar";"DAKAR";"Dakar ";"Thiès";"TOUBA";"Kaolack";"Saint-Louis"},RANDBETWEEN(1,8))</f>
        <v>Thiès</v>
      </c>
      <c r="E12" t="str" cm="1">
        <f t="array" aca="1" ref="E12" ca="1">INDEX({"Laptop";"Souris";"Clavier";"Ecran";"Casque";"Tablete";"Imprimante";"Disque dur"},RANDBETWEEN(1,8))</f>
        <v>Disque dur</v>
      </c>
      <c r="F12" t="str">
        <f t="shared" ca="1" si="3"/>
        <v>5</v>
      </c>
      <c r="G12" t="str">
        <f t="shared" ca="1" si="4"/>
        <v>280443 €</v>
      </c>
    </row>
    <row r="13" spans="1:7" x14ac:dyDescent="0.45">
      <c r="A13" t="str">
        <f t="shared" si="0"/>
        <v>V0012</v>
      </c>
      <c r="B13" t="str">
        <f t="shared" ca="1" si="1"/>
        <v>04-09-26</v>
      </c>
      <c r="C13" t="str">
        <f t="shared" ca="1" si="2"/>
        <v>Mariama Sow</v>
      </c>
      <c r="D13" t="str" cm="1">
        <f t="array" aca="1" ref="D13" ca="1">INDEX({"Dakar";"dakar";"DAKAR";"Dakar ";"Thiès";"TOUBA";"Kaolack";"Saint-Louis"},RANDBETWEEN(1,8))</f>
        <v>Kaolack</v>
      </c>
      <c r="E13" t="str" cm="1">
        <f t="array" aca="1" ref="E13" ca="1">INDEX({"Laptop";"Souris";"Clavier";"Ecran";"Casque";"Tablete";"Imprimante";"Disque dur"},RANDBETWEEN(1,8))</f>
        <v>Laptop</v>
      </c>
      <c r="F13">
        <f t="shared" ca="1" si="3"/>
        <v>7</v>
      </c>
      <c r="G13" t="str">
        <f t="shared" ca="1" si="4"/>
        <v>422760 €</v>
      </c>
    </row>
    <row r="14" spans="1:7" x14ac:dyDescent="0.45">
      <c r="A14" t="str">
        <f t="shared" si="0"/>
        <v>V0013</v>
      </c>
      <c r="B14" t="str">
        <f t="shared" ca="1" si="1"/>
        <v>09/09/2026</v>
      </c>
      <c r="C14" t="str">
        <f t="shared" ca="1" si="2"/>
        <v>Abdoulaye Gueye</v>
      </c>
      <c r="D14" t="str" cm="1">
        <f t="array" aca="1" ref="D14" ca="1">INDEX({"Dakar";"dakar";"DAKAR";"Dakar ";"Thiès";"TOUBA";"Kaolack";"Saint-Louis"},RANDBETWEEN(1,8))</f>
        <v>dakar</v>
      </c>
      <c r="E14" t="str" cm="1">
        <f t="array" aca="1" ref="E14" ca="1">INDEX({"Laptop";"Souris";"Clavier";"Ecran";"Casque";"Tablete";"Imprimante";"Disque dur"},RANDBETWEEN(1,8))</f>
        <v>Ecran</v>
      </c>
      <c r="F14">
        <f t="shared" ca="1" si="3"/>
        <v>8</v>
      </c>
      <c r="G14" t="str">
        <f t="shared" ca="1" si="4"/>
        <v>€19118</v>
      </c>
    </row>
    <row r="15" spans="1:7" x14ac:dyDescent="0.45">
      <c r="A15" t="str">
        <f t="shared" si="0"/>
        <v>V0014</v>
      </c>
      <c r="B15" t="str">
        <f t="shared" ca="1" si="1"/>
        <v>22-09-26</v>
      </c>
      <c r="C15" t="str">
        <f t="shared" ca="1" si="2"/>
        <v>Sokhna Diallo</v>
      </c>
      <c r="D15" t="str" cm="1">
        <f t="array" aca="1" ref="D15" ca="1">INDEX({"Dakar";"dakar";"DAKAR";"Dakar ";"Thiès";"TOUBA";"Kaolack";"Saint-Louis"},RANDBETWEEN(1,8))</f>
        <v>Thiès</v>
      </c>
      <c r="E15" t="str" cm="1">
        <f t="array" aca="1" ref="E15" ca="1">INDEX({"Laptop";"Souris";"Clavier";"Ecran";"Casque";"Tablete";"Imprimante";"Disque dur"},RANDBETWEEN(1,8))</f>
        <v>Ecran</v>
      </c>
      <c r="F15">
        <f t="shared" ca="1" si="3"/>
        <v>9</v>
      </c>
      <c r="G15" t="str">
        <f t="shared" ca="1" si="4"/>
        <v>280328 €</v>
      </c>
    </row>
    <row r="16" spans="1:7" x14ac:dyDescent="0.45">
      <c r="A16" t="str">
        <f t="shared" si="0"/>
        <v>V0015</v>
      </c>
      <c r="B16" t="str">
        <f t="shared" ca="1" si="1"/>
        <v>11/09/2026</v>
      </c>
      <c r="C16" t="str">
        <f t="shared" ca="1" si="2"/>
        <v>Awa Ndiaye</v>
      </c>
      <c r="D16" t="str" cm="1">
        <f t="array" aca="1" ref="D16" ca="1">INDEX({"Dakar";"dakar";"DAKAR";"Dakar ";"Thiès";"TOUBA";"Kaolack";"Saint-Louis"},RANDBETWEEN(1,8))</f>
        <v>TOUBA</v>
      </c>
      <c r="E16" t="str" cm="1">
        <f t="array" aca="1" ref="E16" ca="1">INDEX({"Laptop";"Souris";"Clavier";"Ecran";"Casque";"Tablete";"Imprimante";"Disque dur"},RANDBETWEEN(1,8))</f>
        <v>Disque dur</v>
      </c>
      <c r="F16">
        <f t="shared" ca="1" si="3"/>
        <v>1</v>
      </c>
      <c r="G16" t="str">
        <f t="shared" ca="1" si="4"/>
        <v>141451 €</v>
      </c>
    </row>
    <row r="17" spans="1:7" x14ac:dyDescent="0.45">
      <c r="A17" t="str">
        <f t="shared" si="0"/>
        <v>V0016</v>
      </c>
      <c r="B17" t="str">
        <f t="shared" ca="1" si="1"/>
        <v>2026-09-03</v>
      </c>
      <c r="C17" t="str">
        <f t="shared" ca="1" si="2"/>
        <v>Fatou Fall</v>
      </c>
      <c r="D17" t="str" cm="1">
        <f t="array" aca="1" ref="D17" ca="1">INDEX({"Dakar";"dakar";"DAKAR";"Dakar ";"Thiès";"TOUBA";"Kaolack";"Saint-Louis"},RANDBETWEEN(1,8))</f>
        <v xml:space="preserve">Dakar </v>
      </c>
      <c r="E17" t="str" cm="1">
        <f t="array" aca="1" ref="E17" ca="1">INDEX({"Laptop";"Souris";"Clavier";"Ecran";"Casque";"Tablete";"Imprimante";"Disque dur"},RANDBETWEEN(1,8))</f>
        <v>Souris</v>
      </c>
      <c r="F17">
        <f t="shared" ca="1" si="3"/>
        <v>1</v>
      </c>
      <c r="G17" t="str">
        <f t="shared" ca="1" si="4"/>
        <v>156221 €</v>
      </c>
    </row>
    <row r="18" spans="1:7" x14ac:dyDescent="0.45">
      <c r="A18" t="str">
        <f t="shared" si="0"/>
        <v>V0017</v>
      </c>
      <c r="B18" t="str">
        <f t="shared" ca="1" si="1"/>
        <v>22/09/2026</v>
      </c>
      <c r="C18" t="str">
        <f t="shared" ca="1" si="2"/>
        <v>Mariama Sow</v>
      </c>
      <c r="D18" t="str" cm="1">
        <f t="array" aca="1" ref="D18" ca="1">INDEX({"Dakar";"dakar";"DAKAR";"Dakar ";"Thiès";"TOUBA";"Kaolack";"Saint-Louis"},RANDBETWEEN(1,8))</f>
        <v xml:space="preserve">Dakar </v>
      </c>
      <c r="E18" t="str" cm="1">
        <f t="array" aca="1" ref="E18" ca="1">INDEX({"Laptop";"Souris";"Clavier";"Ecran";"Casque";"Tablete";"Imprimante";"Disque dur"},RANDBETWEEN(1,8))</f>
        <v>Ecran</v>
      </c>
      <c r="F18">
        <f t="shared" ca="1" si="3"/>
        <v>9</v>
      </c>
      <c r="G18" t="str">
        <f t="shared" ca="1" si="4"/>
        <v>283636€</v>
      </c>
    </row>
    <row r="19" spans="1:7" x14ac:dyDescent="0.45">
      <c r="A19" t="str">
        <f t="shared" si="0"/>
        <v>V0018</v>
      </c>
      <c r="B19" t="str">
        <f t="shared" ca="1" si="1"/>
        <v>2026-09-23</v>
      </c>
      <c r="C19" t="str">
        <f t="shared" ca="1" si="2"/>
        <v xml:space="preserve">Ousmane Ndiaye  </v>
      </c>
      <c r="D19" t="str" cm="1">
        <f t="array" aca="1" ref="D19" ca="1">INDEX({"Dakar";"dakar";"DAKAR";"Dakar ";"Thiès";"TOUBA";"Kaolack";"Saint-Louis"},RANDBETWEEN(1,8))</f>
        <v>Saint-Louis</v>
      </c>
      <c r="E19" t="str" cm="1">
        <f t="array" aca="1" ref="E19" ca="1">INDEX({"Laptop";"Souris";"Clavier";"Ecran";"Casque";"Tablete";"Imprimante";"Disque dur"},RANDBETWEEN(1,8))</f>
        <v>Souris</v>
      </c>
      <c r="F19">
        <f t="shared" ca="1" si="3"/>
        <v>5</v>
      </c>
      <c r="G19" t="str">
        <f t="shared" ca="1" si="4"/>
        <v>€345036</v>
      </c>
    </row>
    <row r="20" spans="1:7" x14ac:dyDescent="0.45">
      <c r="A20" t="str">
        <f t="shared" si="0"/>
        <v>V0019</v>
      </c>
      <c r="B20" t="str">
        <f t="shared" ca="1" si="1"/>
        <v>10-09-26</v>
      </c>
      <c r="C20" t="str">
        <f t="shared" ca="1" si="2"/>
        <v xml:space="preserve">  Cheikh Ba</v>
      </c>
      <c r="D20" t="str" cm="1">
        <f t="array" aca="1" ref="D20" ca="1">INDEX({"Dakar";"dakar";"DAKAR";"Dakar ";"Thiès";"TOUBA";"Kaolack";"Saint-Louis"},RANDBETWEEN(1,8))</f>
        <v>Dakar</v>
      </c>
      <c r="E20" t="str" cm="1">
        <f t="array" aca="1" ref="E20" ca="1">INDEX({"Laptop";"Souris";"Clavier";"Ecran";"Casque";"Tablete";"Imprimante";"Disque dur"},RANDBETWEEN(1,8))</f>
        <v>Tablete</v>
      </c>
      <c r="F20">
        <f t="shared" ca="1" si="3"/>
        <v>5</v>
      </c>
      <c r="G20" t="str">
        <f t="shared" ca="1" si="4"/>
        <v>426817€</v>
      </c>
    </row>
    <row r="21" spans="1:7" x14ac:dyDescent="0.45">
      <c r="A21" t="str">
        <f t="shared" si="0"/>
        <v>V0020</v>
      </c>
      <c r="B21" t="str">
        <f t="shared" ca="1" si="1"/>
        <v>2026-09-30</v>
      </c>
      <c r="C21" t="str">
        <f t="shared" ca="1" si="2"/>
        <v xml:space="preserve">  Cheikh Ba</v>
      </c>
      <c r="D21" t="str" cm="1">
        <f t="array" aca="1" ref="D21" ca="1">INDEX({"Dakar";"dakar";"DAKAR";"Dakar ";"Thiès";"TOUBA";"Kaolack";"Saint-Louis"},RANDBETWEEN(1,8))</f>
        <v>Kaolack</v>
      </c>
      <c r="E21" t="str" cm="1">
        <f t="array" aca="1" ref="E21" ca="1">INDEX({"Laptop";"Souris";"Clavier";"Ecran";"Casque";"Tablete";"Imprimante";"Disque dur"},RANDBETWEEN(1,8))</f>
        <v>Casque</v>
      </c>
      <c r="F21" t="str">
        <f t="shared" ca="1" si="3"/>
        <v>5</v>
      </c>
      <c r="G21" t="str">
        <f t="shared" ca="1" si="4"/>
        <v>€46014</v>
      </c>
    </row>
    <row r="22" spans="1:7" x14ac:dyDescent="0.45">
      <c r="A22" t="str">
        <f t="shared" si="0"/>
        <v>V0021</v>
      </c>
      <c r="B22" t="str">
        <f t="shared" ca="1" si="1"/>
        <v>15/09/2026</v>
      </c>
      <c r="C22" t="str">
        <f t="shared" ca="1" si="2"/>
        <v>Sokhna Diallo</v>
      </c>
      <c r="D22" t="str" cm="1">
        <f t="array" aca="1" ref="D22" ca="1">INDEX({"Dakar";"dakar";"DAKAR";"Dakar ";"Thiès";"TOUBA";"Kaolack";"Saint-Louis"},RANDBETWEEN(1,8))</f>
        <v xml:space="preserve">Dakar </v>
      </c>
      <c r="E22" t="str" cm="1">
        <f t="array" aca="1" ref="E22" ca="1">INDEX({"Laptop";"Souris";"Clavier";"Ecran";"Casque";"Tablete";"Imprimante";"Disque dur"},RANDBETWEEN(1,8))</f>
        <v>Casque</v>
      </c>
      <c r="F22">
        <f t="shared" ca="1" si="3"/>
        <v>8</v>
      </c>
      <c r="G22" t="str">
        <f t="shared" ca="1" si="4"/>
        <v>279050€</v>
      </c>
    </row>
    <row r="23" spans="1:7" x14ac:dyDescent="0.45">
      <c r="A23" t="str">
        <f t="shared" si="0"/>
        <v>V0022</v>
      </c>
      <c r="B23" t="str">
        <f t="shared" ca="1" si="1"/>
        <v>17/09/2026</v>
      </c>
      <c r="C23" t="str">
        <f t="shared" ca="1" si="2"/>
        <v>Mariama Sow</v>
      </c>
      <c r="D23" t="str" cm="1">
        <f t="array" aca="1" ref="D23" ca="1">INDEX({"Dakar";"dakar";"DAKAR";"Dakar ";"Thiès";"TOUBA";"Kaolack";"Saint-Louis"},RANDBETWEEN(1,8))</f>
        <v>DAKAR</v>
      </c>
      <c r="E23" t="str" cm="1">
        <f t="array" aca="1" ref="E23" ca="1">INDEX({"Laptop";"Souris";"Clavier";"Ecran";"Casque";"Tablete";"Imprimante";"Disque dur"},RANDBETWEEN(1,8))</f>
        <v>Ecran</v>
      </c>
      <c r="F23">
        <f t="shared" ca="1" si="3"/>
        <v>5</v>
      </c>
      <c r="G23" t="str">
        <f t="shared" ca="1" si="4"/>
        <v>74936 €</v>
      </c>
    </row>
    <row r="24" spans="1:7" x14ac:dyDescent="0.45">
      <c r="A24" t="str">
        <f t="shared" si="0"/>
        <v>V0023</v>
      </c>
      <c r="B24" t="str">
        <f t="shared" ca="1" si="1"/>
        <v>26-09-26</v>
      </c>
      <c r="C24" t="str">
        <f t="shared" ca="1" si="2"/>
        <v>Mariama Sow</v>
      </c>
      <c r="D24" t="str" cm="1">
        <f t="array" aca="1" ref="D24" ca="1">INDEX({"Dakar";"dakar";"DAKAR";"Dakar ";"Thiès";"TOUBA";"Kaolack";"Saint-Louis"},RANDBETWEEN(1,8))</f>
        <v>TOUBA</v>
      </c>
      <c r="E24" t="str" cm="1">
        <f t="array" aca="1" ref="E24" ca="1">INDEX({"Laptop";"Souris";"Clavier";"Ecran";"Casque";"Tablete";"Imprimante";"Disque dur"},RANDBETWEEN(1,8))</f>
        <v>Tablete</v>
      </c>
      <c r="F24">
        <f t="shared" ca="1" si="3"/>
        <v>3</v>
      </c>
      <c r="G24" t="str">
        <f t="shared" ca="1" si="4"/>
        <v>115788</v>
      </c>
    </row>
    <row r="25" spans="1:7" x14ac:dyDescent="0.45">
      <c r="A25" t="str">
        <f t="shared" si="0"/>
        <v>V0024</v>
      </c>
      <c r="B25" t="str">
        <f t="shared" ca="1" si="1"/>
        <v>2026-09-06</v>
      </c>
      <c r="C25" t="str">
        <f t="shared" ca="1" si="2"/>
        <v xml:space="preserve">  Cheikh Ba</v>
      </c>
      <c r="D25" t="str" cm="1">
        <f t="array" aca="1" ref="D25" ca="1">INDEX({"Dakar";"dakar";"DAKAR";"Dakar ";"Thiès";"TOUBA";"Kaolack";"Saint-Louis"},RANDBETWEEN(1,8))</f>
        <v>Kaolack</v>
      </c>
      <c r="E25" t="str" cm="1">
        <f t="array" aca="1" ref="E25" ca="1">INDEX({"Laptop";"Souris";"Clavier";"Ecran";"Casque";"Tablete";"Imprimante";"Disque dur"},RANDBETWEEN(1,8))</f>
        <v>Imprimante</v>
      </c>
      <c r="F25">
        <f t="shared" ca="1" si="3"/>
        <v>5</v>
      </c>
      <c r="G25" t="str">
        <f t="shared" ca="1" si="4"/>
        <v>468872</v>
      </c>
    </row>
    <row r="26" spans="1:7" x14ac:dyDescent="0.45">
      <c r="A26" t="str">
        <f t="shared" si="0"/>
        <v>V0025</v>
      </c>
      <c r="B26" t="str">
        <f t="shared" ca="1" si="1"/>
        <v>2026-09-04</v>
      </c>
      <c r="C26" t="str">
        <f t="shared" ca="1" si="2"/>
        <v xml:space="preserve">  Cheikh Ba</v>
      </c>
      <c r="D26" t="str" cm="1">
        <f t="array" aca="1" ref="D26" ca="1">INDEX({"Dakar";"dakar";"DAKAR";"Dakar ";"Thiès";"TOUBA";"Kaolack";"Saint-Louis"},RANDBETWEEN(1,8))</f>
        <v>TOUBA</v>
      </c>
      <c r="E26" t="str" cm="1">
        <f t="array" aca="1" ref="E26" ca="1">INDEX({"Laptop";"Souris";"Clavier";"Ecran";"Casque";"Tablete";"Imprimante";"Disque dur"},RANDBETWEEN(1,8))</f>
        <v>Clavier</v>
      </c>
      <c r="F26">
        <f t="shared" ca="1" si="3"/>
        <v>2</v>
      </c>
      <c r="G26" t="str">
        <f t="shared" ca="1" si="4"/>
        <v>325139 €</v>
      </c>
    </row>
    <row r="27" spans="1:7" x14ac:dyDescent="0.45">
      <c r="A27" t="str">
        <f t="shared" si="0"/>
        <v>V0026</v>
      </c>
      <c r="B27" t="str">
        <f t="shared" ca="1" si="1"/>
        <v>2026-09-09</v>
      </c>
      <c r="C27" t="str">
        <f t="shared" ca="1" si="2"/>
        <v>Awa Ndiaye</v>
      </c>
      <c r="D27" t="str" cm="1">
        <f t="array" aca="1" ref="D27" ca="1">INDEX({"Dakar";"dakar";"DAKAR";"Dakar ";"Thiès";"TOUBA";"Kaolack";"Saint-Louis"},RANDBETWEEN(1,8))</f>
        <v>Kaolack</v>
      </c>
      <c r="E27" t="str" cm="1">
        <f t="array" aca="1" ref="E27" ca="1">INDEX({"Laptop";"Souris";"Clavier";"Ecran";"Casque";"Tablete";"Imprimante";"Disque dur"},RANDBETWEEN(1,8))</f>
        <v>Casque</v>
      </c>
      <c r="F27" t="str">
        <f t="shared" ca="1" si="3"/>
        <v>4</v>
      </c>
      <c r="G27" t="str">
        <f t="shared" ca="1" si="4"/>
        <v>€174539</v>
      </c>
    </row>
    <row r="28" spans="1:7" x14ac:dyDescent="0.45">
      <c r="A28" t="str">
        <f t="shared" si="0"/>
        <v>V0027</v>
      </c>
      <c r="B28" t="str">
        <f t="shared" ca="1" si="1"/>
        <v>06/09/2026</v>
      </c>
      <c r="C28" t="str">
        <f t="shared" ca="1" si="2"/>
        <v>Sokhna Diallo</v>
      </c>
      <c r="D28" t="str" cm="1">
        <f t="array" aca="1" ref="D28" ca="1">INDEX({"Dakar";"dakar";"DAKAR";"Dakar ";"Thiès";"TOUBA";"Kaolack";"Saint-Louis"},RANDBETWEEN(1,8))</f>
        <v>Dakar</v>
      </c>
      <c r="E28" t="str" cm="1">
        <f t="array" aca="1" ref="E28" ca="1">INDEX({"Laptop";"Souris";"Clavier";"Ecran";"Casque";"Tablete";"Imprimante";"Disque dur"},RANDBETWEEN(1,8))</f>
        <v>Casque</v>
      </c>
      <c r="F28">
        <f t="shared" ca="1" si="3"/>
        <v>5</v>
      </c>
      <c r="G28" t="str">
        <f t="shared" ca="1" si="4"/>
        <v>100594 €</v>
      </c>
    </row>
    <row r="29" spans="1:7" x14ac:dyDescent="0.45">
      <c r="A29" t="str">
        <f t="shared" si="0"/>
        <v>V0028</v>
      </c>
      <c r="B29" t="str">
        <f t="shared" ca="1" si="1"/>
        <v>21/09/2026</v>
      </c>
      <c r="C29" t="str">
        <f t="shared" ca="1" si="2"/>
        <v xml:space="preserve">  Cheikh Ba</v>
      </c>
      <c r="D29" t="str" cm="1">
        <f t="array" aca="1" ref="D29" ca="1">INDEX({"Dakar";"dakar";"DAKAR";"Dakar ";"Thiès";"TOUBA";"Kaolack";"Saint-Louis"},RANDBETWEEN(1,8))</f>
        <v>dakar</v>
      </c>
      <c r="E29" t="str" cm="1">
        <f t="array" aca="1" ref="E29" ca="1">INDEX({"Laptop";"Souris";"Clavier";"Ecran";"Casque";"Tablete";"Imprimante";"Disque dur"},RANDBETWEEN(1,8))</f>
        <v>Souris</v>
      </c>
      <c r="F29">
        <f t="shared" ca="1" si="3"/>
        <v>5</v>
      </c>
      <c r="G29" t="str">
        <f t="shared" ca="1" si="4"/>
        <v>294174€</v>
      </c>
    </row>
    <row r="30" spans="1:7" x14ac:dyDescent="0.45">
      <c r="A30" t="str">
        <f t="shared" si="0"/>
        <v>V0029</v>
      </c>
      <c r="B30" t="str">
        <f t="shared" ca="1" si="1"/>
        <v>12-09-26</v>
      </c>
      <c r="C30" t="str">
        <f t="shared" ca="1" si="2"/>
        <v xml:space="preserve">  Cheikh Ba</v>
      </c>
      <c r="D30" t="str" cm="1">
        <f t="array" aca="1" ref="D30" ca="1">INDEX({"Dakar";"dakar";"DAKAR";"Dakar ";"Thiès";"TOUBA";"Kaolack";"Saint-Louis"},RANDBETWEEN(1,8))</f>
        <v>Dakar</v>
      </c>
      <c r="E30" t="str" cm="1">
        <f t="array" aca="1" ref="E30" ca="1">INDEX({"Laptop";"Souris";"Clavier";"Ecran";"Casque";"Tablete";"Imprimante";"Disque dur"},RANDBETWEEN(1,8))</f>
        <v>Ecran</v>
      </c>
      <c r="F30">
        <f t="shared" ca="1" si="3"/>
        <v>5</v>
      </c>
      <c r="G30" t="str">
        <f t="shared" ca="1" si="4"/>
        <v>27132</v>
      </c>
    </row>
    <row r="31" spans="1:7" x14ac:dyDescent="0.45">
      <c r="A31" t="str">
        <f t="shared" si="0"/>
        <v>V0030</v>
      </c>
      <c r="B31" t="str">
        <f t="shared" ca="1" si="1"/>
        <v>2026-09-08</v>
      </c>
      <c r="C31" t="str">
        <f t="shared" ca="1" si="2"/>
        <v>Awa Ndiaye</v>
      </c>
      <c r="D31" t="str" cm="1">
        <f t="array" aca="1" ref="D31" ca="1">INDEX({"Dakar";"dakar";"DAKAR";"Dakar ";"Thiès";"TOUBA";"Kaolack";"Saint-Louis"},RANDBETWEEN(1,8))</f>
        <v>DAKAR</v>
      </c>
      <c r="E31" t="str" cm="1">
        <f t="array" aca="1" ref="E31" ca="1">INDEX({"Laptop";"Souris";"Clavier";"Ecran";"Casque";"Tablete";"Imprimante";"Disque dur"},RANDBETWEEN(1,8))</f>
        <v>Laptop</v>
      </c>
      <c r="F31">
        <f t="shared" ca="1" si="3"/>
        <v>3</v>
      </c>
      <c r="G31" t="str">
        <f t="shared" ca="1" si="4"/>
        <v>€289761</v>
      </c>
    </row>
    <row r="32" spans="1:7" x14ac:dyDescent="0.45">
      <c r="A32" t="str">
        <f t="shared" si="0"/>
        <v>V0031</v>
      </c>
      <c r="B32" t="str">
        <f t="shared" ca="1" si="1"/>
        <v>02/09/2026</v>
      </c>
      <c r="C32" t="str">
        <f t="shared" ca="1" si="2"/>
        <v xml:space="preserve">Ousmane Ndiaye  </v>
      </c>
      <c r="D32" t="str" cm="1">
        <f t="array" aca="1" ref="D32" ca="1">INDEX({"Dakar";"dakar";"DAKAR";"Dakar ";"Thiès";"TOUBA";"Kaolack";"Saint-Louis"},RANDBETWEEN(1,8))</f>
        <v>DAKAR</v>
      </c>
      <c r="E32" t="str" cm="1">
        <f t="array" aca="1" ref="E32" ca="1">INDEX({"Laptop";"Souris";"Clavier";"Ecran";"Casque";"Tablete";"Imprimante";"Disque dur"},RANDBETWEEN(1,8))</f>
        <v>Disque dur</v>
      </c>
      <c r="F32">
        <f t="shared" ca="1" si="3"/>
        <v>5</v>
      </c>
      <c r="G32" t="str">
        <f t="shared" ca="1" si="4"/>
        <v>€129401</v>
      </c>
    </row>
    <row r="33" spans="1:7" x14ac:dyDescent="0.45">
      <c r="A33" t="str">
        <f t="shared" si="0"/>
        <v>V0032</v>
      </c>
      <c r="B33" t="str">
        <f t="shared" ca="1" si="1"/>
        <v>01-09-26</v>
      </c>
      <c r="C33" t="str">
        <f t="shared" ca="1" si="2"/>
        <v>Fatou Fall</v>
      </c>
      <c r="D33" t="str" cm="1">
        <f t="array" aca="1" ref="D33" ca="1">INDEX({"Dakar";"dakar";"DAKAR";"Dakar ";"Thiès";"TOUBA";"Kaolack";"Saint-Louis"},RANDBETWEEN(1,8))</f>
        <v xml:space="preserve">Dakar </v>
      </c>
      <c r="E33" t="str" cm="1">
        <f t="array" aca="1" ref="E33" ca="1">INDEX({"Laptop";"Souris";"Clavier";"Ecran";"Casque";"Tablete";"Imprimante";"Disque dur"},RANDBETWEEN(1,8))</f>
        <v>Tablete</v>
      </c>
      <c r="F33">
        <f t="shared" ca="1" si="3"/>
        <v>2</v>
      </c>
      <c r="G33" t="str">
        <f t="shared" ca="1" si="4"/>
        <v>€52128</v>
      </c>
    </row>
    <row r="34" spans="1:7" x14ac:dyDescent="0.45">
      <c r="A34" t="str">
        <f t="shared" si="0"/>
        <v>V0033</v>
      </c>
      <c r="B34" t="str">
        <f t="shared" ca="1" si="1"/>
        <v>18/09/2026</v>
      </c>
      <c r="C34" t="str">
        <f t="shared" ca="1" si="2"/>
        <v>Awa Ndiaye</v>
      </c>
      <c r="D34" t="str" cm="1">
        <f t="array" aca="1" ref="D34" ca="1">INDEX({"Dakar";"dakar";"DAKAR";"Dakar ";"Thiès";"TOUBA";"Kaolack";"Saint-Louis"},RANDBETWEEN(1,8))</f>
        <v>dakar</v>
      </c>
      <c r="E34" t="str" cm="1">
        <f t="array" aca="1" ref="E34" ca="1">INDEX({"Laptop";"Souris";"Clavier";"Ecran";"Casque";"Tablete";"Imprimante";"Disque dur"},RANDBETWEEN(1,8))</f>
        <v>Casque</v>
      </c>
      <c r="F34">
        <f t="shared" ca="1" si="3"/>
        <v>4</v>
      </c>
      <c r="G34" t="str">
        <f t="shared" ca="1" si="4"/>
        <v>164701 €</v>
      </c>
    </row>
    <row r="35" spans="1:7" x14ac:dyDescent="0.45">
      <c r="A35" t="str">
        <f t="shared" si="0"/>
        <v>V0034</v>
      </c>
      <c r="B35" t="str">
        <f t="shared" ca="1" si="1"/>
        <v>14/09/2026</v>
      </c>
      <c r="C35" t="str">
        <f t="shared" ca="1" si="2"/>
        <v>Awa Ndiaye</v>
      </c>
      <c r="D35" t="str" cm="1">
        <f t="array" aca="1" ref="D35" ca="1">INDEX({"Dakar";"dakar";"DAKAR";"Dakar ";"Thiès";"TOUBA";"Kaolack";"Saint-Louis"},RANDBETWEEN(1,8))</f>
        <v>TOUBA</v>
      </c>
      <c r="E35" t="str" cm="1">
        <f t="array" aca="1" ref="E35" ca="1">INDEX({"Laptop";"Souris";"Clavier";"Ecran";"Casque";"Tablete";"Imprimante";"Disque dur"},RANDBETWEEN(1,8))</f>
        <v>Casque</v>
      </c>
      <c r="F35">
        <f t="shared" ca="1" si="3"/>
        <v>3</v>
      </c>
      <c r="G35" t="str">
        <f t="shared" ca="1" si="4"/>
        <v>€309887</v>
      </c>
    </row>
    <row r="36" spans="1:7" x14ac:dyDescent="0.45">
      <c r="A36" t="str">
        <f t="shared" si="0"/>
        <v>V0035</v>
      </c>
      <c r="B36" t="str">
        <f t="shared" ca="1" si="1"/>
        <v>2026-09-02</v>
      </c>
      <c r="C36" t="str">
        <f t="shared" ca="1" si="2"/>
        <v>Mamadou Diop</v>
      </c>
      <c r="D36" t="str" cm="1">
        <f t="array" aca="1" ref="D36" ca="1">INDEX({"Dakar";"dakar";"DAKAR";"Dakar ";"Thiès";"TOUBA";"Kaolack";"Saint-Louis"},RANDBETWEEN(1,8))</f>
        <v>Saint-Louis</v>
      </c>
      <c r="E36" t="str" cm="1">
        <f t="array" aca="1" ref="E36" ca="1">INDEX({"Laptop";"Souris";"Clavier";"Ecran";"Casque";"Tablete";"Imprimante";"Disque dur"},RANDBETWEEN(1,8))</f>
        <v>Disque dur</v>
      </c>
      <c r="F36">
        <f t="shared" ca="1" si="3"/>
        <v>2</v>
      </c>
      <c r="G36" t="str">
        <f t="shared" ca="1" si="4"/>
        <v>497497€</v>
      </c>
    </row>
    <row r="37" spans="1:7" x14ac:dyDescent="0.45">
      <c r="A37" t="str">
        <f t="shared" si="0"/>
        <v>V0036</v>
      </c>
      <c r="B37" t="str">
        <f t="shared" ca="1" si="1"/>
        <v>20-09-26</v>
      </c>
      <c r="C37" t="str">
        <f t="shared" ca="1" si="2"/>
        <v>Sokhna Diallo</v>
      </c>
      <c r="D37" t="str" cm="1">
        <f t="array" aca="1" ref="D37" ca="1">INDEX({"Dakar";"dakar";"DAKAR";"Dakar ";"Thiès";"TOUBA";"Kaolack";"Saint-Louis"},RANDBETWEEN(1,8))</f>
        <v>dakar</v>
      </c>
      <c r="E37" t="str" cm="1">
        <f t="array" aca="1" ref="E37" ca="1">INDEX({"Laptop";"Souris";"Clavier";"Ecran";"Casque";"Tablete";"Imprimante";"Disque dur"},RANDBETWEEN(1,8))</f>
        <v>Laptop</v>
      </c>
      <c r="F37">
        <f t="shared" ca="1" si="3"/>
        <v>10</v>
      </c>
      <c r="G37" t="str">
        <f t="shared" ca="1" si="4"/>
        <v>10557 €</v>
      </c>
    </row>
    <row r="38" spans="1:7" x14ac:dyDescent="0.45">
      <c r="A38" t="str">
        <f t="shared" si="0"/>
        <v>V0037</v>
      </c>
      <c r="B38" t="str">
        <f t="shared" ca="1" si="1"/>
        <v>2026-09-06</v>
      </c>
      <c r="C38" t="str">
        <f t="shared" ca="1" si="2"/>
        <v xml:space="preserve">Ousmane Ndiaye  </v>
      </c>
      <c r="D38" t="str" cm="1">
        <f t="array" aca="1" ref="D38" ca="1">INDEX({"Dakar";"dakar";"DAKAR";"Dakar ";"Thiès";"TOUBA";"Kaolack";"Saint-Louis"},RANDBETWEEN(1,8))</f>
        <v>Kaolack</v>
      </c>
      <c r="E38" t="str" cm="1">
        <f t="array" aca="1" ref="E38" ca="1">INDEX({"Laptop";"Souris";"Clavier";"Ecran";"Casque";"Tablete";"Imprimante";"Disque dur"},RANDBETWEEN(1,8))</f>
        <v>Imprimante</v>
      </c>
      <c r="F38">
        <f t="shared" ca="1" si="3"/>
        <v>9</v>
      </c>
      <c r="G38" t="str">
        <f t="shared" ca="1" si="4"/>
        <v>311589</v>
      </c>
    </row>
    <row r="39" spans="1:7" x14ac:dyDescent="0.45">
      <c r="A39" t="str">
        <f t="shared" si="0"/>
        <v>V0038</v>
      </c>
      <c r="B39" t="str">
        <f t="shared" ca="1" si="1"/>
        <v>06/09/2026</v>
      </c>
      <c r="C39" t="str">
        <f t="shared" ca="1" si="2"/>
        <v xml:space="preserve">  Cheikh Ba</v>
      </c>
      <c r="D39" t="str" cm="1">
        <f t="array" aca="1" ref="D39" ca="1">INDEX({"Dakar";"dakar";"DAKAR";"Dakar ";"Thiès";"TOUBA";"Kaolack";"Saint-Louis"},RANDBETWEEN(1,8))</f>
        <v>TOUBA</v>
      </c>
      <c r="E39" t="str" cm="1">
        <f t="array" aca="1" ref="E39" ca="1">INDEX({"Laptop";"Souris";"Clavier";"Ecran";"Casque";"Tablete";"Imprimante";"Disque dur"},RANDBETWEEN(1,8))</f>
        <v>Tablete</v>
      </c>
      <c r="F39">
        <f t="shared" ca="1" si="3"/>
        <v>6</v>
      </c>
      <c r="G39" t="str">
        <f t="shared" ca="1" si="4"/>
        <v>303414 €</v>
      </c>
    </row>
    <row r="40" spans="1:7" x14ac:dyDescent="0.45">
      <c r="A40" t="str">
        <f t="shared" si="0"/>
        <v>V0039</v>
      </c>
      <c r="B40" t="str">
        <f t="shared" ca="1" si="1"/>
        <v>27-09-26</v>
      </c>
      <c r="C40" t="str">
        <f t="shared" ca="1" si="2"/>
        <v>Fatou Fall</v>
      </c>
      <c r="D40" t="str" cm="1">
        <f t="array" aca="1" ref="D40" ca="1">INDEX({"Dakar";"dakar";"DAKAR";"Dakar ";"Thiès";"TOUBA";"Kaolack";"Saint-Louis"},RANDBETWEEN(1,8))</f>
        <v>dakar</v>
      </c>
      <c r="E40" t="str" cm="1">
        <f t="array" aca="1" ref="E40" ca="1">INDEX({"Laptop";"Souris";"Clavier";"Ecran";"Casque";"Tablete";"Imprimante";"Disque dur"},RANDBETWEEN(1,8))</f>
        <v>Clavier</v>
      </c>
      <c r="F40">
        <f t="shared" ca="1" si="3"/>
        <v>10</v>
      </c>
      <c r="G40" t="str">
        <f t="shared" ca="1" si="4"/>
        <v>€152052</v>
      </c>
    </row>
    <row r="41" spans="1:7" x14ac:dyDescent="0.45">
      <c r="A41" t="str">
        <f t="shared" si="0"/>
        <v>V0040</v>
      </c>
      <c r="B41" t="str">
        <f t="shared" ca="1" si="1"/>
        <v>22/09/2026</v>
      </c>
      <c r="C41" t="str">
        <f t="shared" ca="1" si="2"/>
        <v>Awa Ndiaye</v>
      </c>
      <c r="D41" t="str" cm="1">
        <f t="array" aca="1" ref="D41" ca="1">INDEX({"Dakar";"dakar";"DAKAR";"Dakar ";"Thiès";"TOUBA";"Kaolack";"Saint-Louis"},RANDBETWEEN(1,8))</f>
        <v>DAKAR</v>
      </c>
      <c r="E41" t="str" cm="1">
        <f t="array" aca="1" ref="E41" ca="1">INDEX({"Laptop";"Souris";"Clavier";"Ecran";"Casque";"Tablete";"Imprimante";"Disque dur"},RANDBETWEEN(1,8))</f>
        <v>Imprimante</v>
      </c>
      <c r="F41">
        <f t="shared" ca="1" si="3"/>
        <v>9</v>
      </c>
      <c r="G41" t="str">
        <f t="shared" ca="1" si="4"/>
        <v>449236 €</v>
      </c>
    </row>
    <row r="42" spans="1:7" x14ac:dyDescent="0.45">
      <c r="A42" t="str">
        <f t="shared" si="0"/>
        <v>V0041</v>
      </c>
      <c r="B42" t="str">
        <f t="shared" ca="1" si="1"/>
        <v>29-09-26</v>
      </c>
      <c r="C42" t="str">
        <f t="shared" ca="1" si="2"/>
        <v>Sokhna Diallo</v>
      </c>
      <c r="D42" t="str" cm="1">
        <f t="array" aca="1" ref="D42" ca="1">INDEX({"Dakar";"dakar";"DAKAR";"Dakar ";"Thiès";"TOUBA";"Kaolack";"Saint-Louis"},RANDBETWEEN(1,8))</f>
        <v>dakar</v>
      </c>
      <c r="E42" t="str" cm="1">
        <f t="array" aca="1" ref="E42" ca="1">INDEX({"Laptop";"Souris";"Clavier";"Ecran";"Casque";"Tablete";"Imprimante";"Disque dur"},RANDBETWEEN(1,8))</f>
        <v>Casque</v>
      </c>
      <c r="F42" t="str">
        <f t="shared" ca="1" si="3"/>
        <v>6</v>
      </c>
      <c r="G42" t="str">
        <f t="shared" ca="1" si="4"/>
        <v>190771 €</v>
      </c>
    </row>
    <row r="43" spans="1:7" x14ac:dyDescent="0.45">
      <c r="A43" t="str">
        <f t="shared" si="0"/>
        <v>V0042</v>
      </c>
      <c r="B43" t="str">
        <f t="shared" ca="1" si="1"/>
        <v>06-09-26</v>
      </c>
      <c r="C43" t="str">
        <f t="shared" ca="1" si="2"/>
        <v>Awa Ndiaye</v>
      </c>
      <c r="D43" t="str" cm="1">
        <f t="array" aca="1" ref="D43" ca="1">INDEX({"Dakar";"dakar";"DAKAR";"Dakar ";"Thiès";"TOUBA";"Kaolack";"Saint-Louis"},RANDBETWEEN(1,8))</f>
        <v>TOUBA</v>
      </c>
      <c r="E43" t="str" cm="1">
        <f t="array" aca="1" ref="E43" ca="1">INDEX({"Laptop";"Souris";"Clavier";"Ecran";"Casque";"Tablete";"Imprimante";"Disque dur"},RANDBETWEEN(1,8))</f>
        <v>Clavier</v>
      </c>
      <c r="F43">
        <f t="shared" ca="1" si="3"/>
        <v>6</v>
      </c>
      <c r="G43" t="str">
        <f t="shared" ca="1" si="4"/>
        <v>282544</v>
      </c>
    </row>
    <row r="44" spans="1:7" x14ac:dyDescent="0.45">
      <c r="A44" t="str">
        <f t="shared" si="0"/>
        <v>V0043</v>
      </c>
      <c r="B44" t="str">
        <f t="shared" ca="1" si="1"/>
        <v>2026-09-26</v>
      </c>
      <c r="C44" t="str">
        <f t="shared" ca="1" si="2"/>
        <v>Awa Ndiaye</v>
      </c>
      <c r="D44" t="str" cm="1">
        <f t="array" aca="1" ref="D44" ca="1">INDEX({"Dakar";"dakar";"DAKAR";"Dakar ";"Thiès";"TOUBA";"Kaolack";"Saint-Louis"},RANDBETWEEN(1,8))</f>
        <v>Kaolack</v>
      </c>
      <c r="E44" t="str" cm="1">
        <f t="array" aca="1" ref="E44" ca="1">INDEX({"Laptop";"Souris";"Clavier";"Ecran";"Casque";"Tablete";"Imprimante";"Disque dur"},RANDBETWEEN(1,8))</f>
        <v>Casque</v>
      </c>
      <c r="F44">
        <f t="shared" ca="1" si="3"/>
        <v>8</v>
      </c>
      <c r="G44" t="str">
        <f t="shared" ca="1" si="4"/>
        <v>263185 €</v>
      </c>
    </row>
    <row r="45" spans="1:7" x14ac:dyDescent="0.45">
      <c r="A45" t="str">
        <f t="shared" si="0"/>
        <v>V0044</v>
      </c>
      <c r="B45" t="str">
        <f t="shared" ca="1" si="1"/>
        <v>2026-09-27</v>
      </c>
      <c r="C45" t="str">
        <f t="shared" ca="1" si="2"/>
        <v>Fatou Fall</v>
      </c>
      <c r="D45" t="str" cm="1">
        <f t="array" aca="1" ref="D45" ca="1">INDEX({"Dakar";"dakar";"DAKAR";"Dakar ";"Thiès";"TOUBA";"Kaolack";"Saint-Louis"},RANDBETWEEN(1,8))</f>
        <v>Dakar</v>
      </c>
      <c r="E45" t="str" cm="1">
        <f t="array" aca="1" ref="E45" ca="1">INDEX({"Laptop";"Souris";"Clavier";"Ecran";"Casque";"Tablete";"Imprimante";"Disque dur"},RANDBETWEEN(1,8))</f>
        <v>Souris</v>
      </c>
      <c r="F45">
        <f t="shared" ca="1" si="3"/>
        <v>2</v>
      </c>
      <c r="G45" t="str">
        <f t="shared" ca="1" si="4"/>
        <v>€28453</v>
      </c>
    </row>
    <row r="46" spans="1:7" x14ac:dyDescent="0.45">
      <c r="A46" t="str">
        <f t="shared" si="0"/>
        <v>V0045</v>
      </c>
      <c r="B46" t="str">
        <f t="shared" ca="1" si="1"/>
        <v>2026-09-16</v>
      </c>
      <c r="C46" t="str">
        <f t="shared" ca="1" si="2"/>
        <v xml:space="preserve">  Cheikh Ba</v>
      </c>
      <c r="D46" t="str" cm="1">
        <f t="array" aca="1" ref="D46" ca="1">INDEX({"Dakar";"dakar";"DAKAR";"Dakar ";"Thiès";"TOUBA";"Kaolack";"Saint-Louis"},RANDBETWEEN(1,8))</f>
        <v>Saint-Louis</v>
      </c>
      <c r="E46" t="str" cm="1">
        <f t="array" aca="1" ref="E46" ca="1">INDEX({"Laptop";"Souris";"Clavier";"Ecran";"Casque";"Tablete";"Imprimante";"Disque dur"},RANDBETWEEN(1,8))</f>
        <v>Casque</v>
      </c>
      <c r="F46">
        <f t="shared" ca="1" si="3"/>
        <v>6</v>
      </c>
      <c r="G46" t="str">
        <f t="shared" ca="1" si="4"/>
        <v>€447770</v>
      </c>
    </row>
    <row r="47" spans="1:7" x14ac:dyDescent="0.45">
      <c r="A47" t="str">
        <f t="shared" si="0"/>
        <v>V0046</v>
      </c>
      <c r="B47" t="str">
        <f t="shared" ca="1" si="1"/>
        <v>29-09-26</v>
      </c>
      <c r="C47" t="str">
        <f t="shared" ca="1" si="2"/>
        <v>Awa Ndiaye</v>
      </c>
      <c r="D47" t="str" cm="1">
        <f t="array" aca="1" ref="D47" ca="1">INDEX({"Dakar";"dakar";"DAKAR";"Dakar ";"Thiès";"TOUBA";"Kaolack";"Saint-Louis"},RANDBETWEEN(1,8))</f>
        <v>Thiès</v>
      </c>
      <c r="E47" t="str" cm="1">
        <f t="array" aca="1" ref="E47" ca="1">INDEX({"Laptop";"Souris";"Clavier";"Ecran";"Casque";"Tablete";"Imprimante";"Disque dur"},RANDBETWEEN(1,8))</f>
        <v>Tablete</v>
      </c>
      <c r="F47">
        <f t="shared" ca="1" si="3"/>
        <v>2</v>
      </c>
      <c r="G47" t="str">
        <f t="shared" ca="1" si="4"/>
        <v>16798€</v>
      </c>
    </row>
    <row r="48" spans="1:7" x14ac:dyDescent="0.45">
      <c r="A48" t="str">
        <f t="shared" si="0"/>
        <v>V0047</v>
      </c>
      <c r="B48" t="str">
        <f t="shared" ca="1" si="1"/>
        <v>20-09-26</v>
      </c>
      <c r="C48" t="str">
        <f t="shared" ca="1" si="2"/>
        <v>Fatou Fall</v>
      </c>
      <c r="D48" t="str" cm="1">
        <f t="array" aca="1" ref="D48" ca="1">INDEX({"Dakar";"dakar";"DAKAR";"Dakar ";"Thiès";"TOUBA";"Kaolack";"Saint-Louis"},RANDBETWEEN(1,8))</f>
        <v>dakar</v>
      </c>
      <c r="E48" t="str" cm="1">
        <f t="array" aca="1" ref="E48" ca="1">INDEX({"Laptop";"Souris";"Clavier";"Ecran";"Casque";"Tablete";"Imprimante";"Disque dur"},RANDBETWEEN(1,8))</f>
        <v>Laptop</v>
      </c>
      <c r="F48">
        <f t="shared" ca="1" si="3"/>
        <v>9</v>
      </c>
      <c r="G48" t="str">
        <f t="shared" ca="1" si="4"/>
        <v>429614€</v>
      </c>
    </row>
    <row r="49" spans="1:7" x14ac:dyDescent="0.45">
      <c r="A49" t="str">
        <f t="shared" si="0"/>
        <v>V0048</v>
      </c>
      <c r="B49" t="str">
        <f t="shared" ca="1" si="1"/>
        <v>17-09-26</v>
      </c>
      <c r="C49" t="str">
        <f t="shared" ca="1" si="2"/>
        <v>Awa Ndiaye</v>
      </c>
      <c r="D49" t="str" cm="1">
        <f t="array" aca="1" ref="D49" ca="1">INDEX({"Dakar";"dakar";"DAKAR";"Dakar ";"Thiès";"TOUBA";"Kaolack";"Saint-Louis"},RANDBETWEEN(1,8))</f>
        <v>Saint-Louis</v>
      </c>
      <c r="E49" t="str" cm="1">
        <f t="array" aca="1" ref="E49" ca="1">INDEX({"Laptop";"Souris";"Clavier";"Ecran";"Casque";"Tablete";"Imprimante";"Disque dur"},RANDBETWEEN(1,8))</f>
        <v>Souris</v>
      </c>
      <c r="F49">
        <f t="shared" ca="1" si="3"/>
        <v>7</v>
      </c>
      <c r="G49" t="str">
        <f t="shared" ca="1" si="4"/>
        <v>€97767</v>
      </c>
    </row>
    <row r="50" spans="1:7" x14ac:dyDescent="0.45">
      <c r="A50" t="str">
        <f t="shared" si="0"/>
        <v>V0049</v>
      </c>
      <c r="B50" t="str">
        <f t="shared" ca="1" si="1"/>
        <v>14/09/2026</v>
      </c>
      <c r="C50" t="str">
        <f t="shared" ca="1" si="2"/>
        <v>Sokhna Diallo</v>
      </c>
      <c r="D50" t="str" cm="1">
        <f t="array" aca="1" ref="D50" ca="1">INDEX({"Dakar";"dakar";"DAKAR";"Dakar ";"Thiès";"TOUBA";"Kaolack";"Saint-Louis"},RANDBETWEEN(1,8))</f>
        <v>Thiès</v>
      </c>
      <c r="E50" t="str" cm="1">
        <f t="array" aca="1" ref="E50" ca="1">INDEX({"Laptop";"Souris";"Clavier";"Ecran";"Casque";"Tablete";"Imprimante";"Disque dur"},RANDBETWEEN(1,8))</f>
        <v>Disque dur</v>
      </c>
      <c r="F50" t="str">
        <f t="shared" ca="1" si="3"/>
        <v>10</v>
      </c>
      <c r="G50" t="str">
        <f t="shared" ca="1" si="4"/>
        <v>€98351</v>
      </c>
    </row>
    <row r="51" spans="1:7" x14ac:dyDescent="0.45">
      <c r="A51" t="str">
        <f t="shared" si="0"/>
        <v>V0050</v>
      </c>
      <c r="B51" t="str">
        <f t="shared" ca="1" si="1"/>
        <v>2026-09-04</v>
      </c>
      <c r="C51" t="str">
        <f t="shared" ca="1" si="2"/>
        <v>Awa Ndiaye</v>
      </c>
      <c r="D51" t="str" cm="1">
        <f t="array" aca="1" ref="D51" ca="1">INDEX({"Dakar";"dakar";"DAKAR";"Dakar ";"Thiès";"TOUBA";"Kaolack";"Saint-Louis"},RANDBETWEEN(1,8))</f>
        <v xml:space="preserve">Dakar </v>
      </c>
      <c r="E51" t="str" cm="1">
        <f t="array" aca="1" ref="E51" ca="1">INDEX({"Laptop";"Souris";"Clavier";"Ecran";"Casque";"Tablete";"Imprimante";"Disque dur"},RANDBETWEEN(1,8))</f>
        <v>Disque dur</v>
      </c>
      <c r="F51" t="str">
        <f t="shared" ca="1" si="3"/>
        <v>1</v>
      </c>
      <c r="G51" t="str">
        <f t="shared" ca="1" si="4"/>
        <v>188807</v>
      </c>
    </row>
    <row r="52" spans="1:7" x14ac:dyDescent="0.45">
      <c r="A52" t="str">
        <f t="shared" si="0"/>
        <v>V0051</v>
      </c>
      <c r="B52" t="str">
        <f t="shared" ca="1" si="1"/>
        <v>2026-09-18</v>
      </c>
      <c r="C52" t="str">
        <f t="shared" ca="1" si="2"/>
        <v>Abdoulaye Gueye</v>
      </c>
      <c r="D52" t="str" cm="1">
        <f t="array" aca="1" ref="D52" ca="1">INDEX({"Dakar";"dakar";"DAKAR";"Dakar ";"Thiès";"TOUBA";"Kaolack";"Saint-Louis"},RANDBETWEEN(1,8))</f>
        <v>Kaolack</v>
      </c>
      <c r="E52" t="str" cm="1">
        <f t="array" aca="1" ref="E52" ca="1">INDEX({"Laptop";"Souris";"Clavier";"Ecran";"Casque";"Tablete";"Imprimante";"Disque dur"},RANDBETWEEN(1,8))</f>
        <v>Clavier</v>
      </c>
      <c r="F52">
        <f t="shared" ca="1" si="3"/>
        <v>8</v>
      </c>
      <c r="G52" t="str">
        <f t="shared" ca="1" si="4"/>
        <v>372639€</v>
      </c>
    </row>
    <row r="53" spans="1:7" x14ac:dyDescent="0.45">
      <c r="A53" t="str">
        <f t="shared" si="0"/>
        <v>V0052</v>
      </c>
      <c r="B53" t="str">
        <f t="shared" ca="1" si="1"/>
        <v>28/09/2026</v>
      </c>
      <c r="C53" t="str">
        <f t="shared" ca="1" si="2"/>
        <v xml:space="preserve">  Cheikh Ba</v>
      </c>
      <c r="D53" t="str" cm="1">
        <f t="array" aca="1" ref="D53" ca="1">INDEX({"Dakar";"dakar";"DAKAR";"Dakar ";"Thiès";"TOUBA";"Kaolack";"Saint-Louis"},RANDBETWEEN(1,8))</f>
        <v>Dakar</v>
      </c>
      <c r="E53" t="str" cm="1">
        <f t="array" aca="1" ref="E53" ca="1">INDEX({"Laptop";"Souris";"Clavier";"Ecran";"Casque";"Tablete";"Imprimante";"Disque dur"},RANDBETWEEN(1,8))</f>
        <v>Souris</v>
      </c>
      <c r="F53">
        <f t="shared" ca="1" si="3"/>
        <v>7</v>
      </c>
      <c r="G53" t="str">
        <f t="shared" ca="1" si="4"/>
        <v>67507€</v>
      </c>
    </row>
    <row r="54" spans="1:7" x14ac:dyDescent="0.45">
      <c r="A54" t="str">
        <f t="shared" si="0"/>
        <v>V0053</v>
      </c>
      <c r="B54" t="str">
        <f t="shared" ca="1" si="1"/>
        <v>26-09-26</v>
      </c>
      <c r="C54" t="str">
        <f t="shared" ca="1" si="2"/>
        <v>Mariama Sow</v>
      </c>
      <c r="D54" t="str" cm="1">
        <f t="array" aca="1" ref="D54" ca="1">INDEX({"Dakar";"dakar";"DAKAR";"Dakar ";"Thiès";"TOUBA";"Kaolack";"Saint-Louis"},RANDBETWEEN(1,8))</f>
        <v>dakar</v>
      </c>
      <c r="E54" t="str" cm="1">
        <f t="array" aca="1" ref="E54" ca="1">INDEX({"Laptop";"Souris";"Clavier";"Ecran";"Casque";"Tablete";"Imprimante";"Disque dur"},RANDBETWEEN(1,8))</f>
        <v>Casque</v>
      </c>
      <c r="F54">
        <f t="shared" ca="1" si="3"/>
        <v>5</v>
      </c>
      <c r="G54" t="str">
        <f t="shared" ca="1" si="4"/>
        <v>57230 €</v>
      </c>
    </row>
    <row r="55" spans="1:7" x14ac:dyDescent="0.45">
      <c r="A55" t="str">
        <f t="shared" si="0"/>
        <v>V0054</v>
      </c>
      <c r="B55" t="str">
        <f t="shared" ca="1" si="1"/>
        <v>29/09/2026</v>
      </c>
      <c r="C55" t="str">
        <f t="shared" ca="1" si="2"/>
        <v>Mariama Sow</v>
      </c>
      <c r="D55" t="str" cm="1">
        <f t="array" aca="1" ref="D55" ca="1">INDEX({"Dakar";"dakar";"DAKAR";"Dakar ";"Thiès";"TOUBA";"Kaolack";"Saint-Louis"},RANDBETWEEN(1,8))</f>
        <v>Saint-Louis</v>
      </c>
      <c r="E55" t="str" cm="1">
        <f t="array" aca="1" ref="E55" ca="1">INDEX({"Laptop";"Souris";"Clavier";"Ecran";"Casque";"Tablete";"Imprimante";"Disque dur"},RANDBETWEEN(1,8))</f>
        <v>Souris</v>
      </c>
      <c r="F55" t="str">
        <f t="shared" ca="1" si="3"/>
        <v>2</v>
      </c>
      <c r="G55" t="str">
        <f t="shared" ca="1" si="4"/>
        <v>130096</v>
      </c>
    </row>
    <row r="56" spans="1:7" x14ac:dyDescent="0.45">
      <c r="A56" t="str">
        <f t="shared" si="0"/>
        <v>V0055</v>
      </c>
      <c r="B56" t="str">
        <f t="shared" ca="1" si="1"/>
        <v>10/09/2026</v>
      </c>
      <c r="C56" t="str">
        <f t="shared" ca="1" si="2"/>
        <v>Mamadou Diop</v>
      </c>
      <c r="D56" t="str" cm="1">
        <f t="array" aca="1" ref="D56" ca="1">INDEX({"Dakar";"dakar";"DAKAR";"Dakar ";"Thiès";"TOUBA";"Kaolack";"Saint-Louis"},RANDBETWEEN(1,8))</f>
        <v xml:space="preserve">Dakar </v>
      </c>
      <c r="E56" t="str" cm="1">
        <f t="array" aca="1" ref="E56" ca="1">INDEX({"Laptop";"Souris";"Clavier";"Ecran";"Casque";"Tablete";"Imprimante";"Disque dur"},RANDBETWEEN(1,8))</f>
        <v>Imprimante</v>
      </c>
      <c r="F56">
        <f t="shared" ca="1" si="3"/>
        <v>5</v>
      </c>
      <c r="G56" t="str">
        <f t="shared" ca="1" si="4"/>
        <v>266640</v>
      </c>
    </row>
    <row r="57" spans="1:7" x14ac:dyDescent="0.45">
      <c r="A57" t="str">
        <f t="shared" si="0"/>
        <v>V0056</v>
      </c>
      <c r="B57" t="str">
        <f t="shared" ca="1" si="1"/>
        <v>09-09-26</v>
      </c>
      <c r="C57" t="str">
        <f t="shared" ca="1" si="2"/>
        <v>Sokhna Diallo</v>
      </c>
      <c r="D57" t="str" cm="1">
        <f t="array" aca="1" ref="D57" ca="1">INDEX({"Dakar";"dakar";"DAKAR";"Dakar ";"Thiès";"TOUBA";"Kaolack";"Saint-Louis"},RANDBETWEEN(1,8))</f>
        <v>Saint-Louis</v>
      </c>
      <c r="E57" t="str" cm="1">
        <f t="array" aca="1" ref="E57" ca="1">INDEX({"Laptop";"Souris";"Clavier";"Ecran";"Casque";"Tablete";"Imprimante";"Disque dur"},RANDBETWEEN(1,8))</f>
        <v>Disque dur</v>
      </c>
      <c r="F57">
        <f t="shared" ca="1" si="3"/>
        <v>4</v>
      </c>
      <c r="G57" t="str">
        <f t="shared" ca="1" si="4"/>
        <v>280107€</v>
      </c>
    </row>
    <row r="58" spans="1:7" x14ac:dyDescent="0.45">
      <c r="A58" t="str">
        <f t="shared" si="0"/>
        <v>V0057</v>
      </c>
      <c r="B58" t="str">
        <f t="shared" ca="1" si="1"/>
        <v>29-09-26</v>
      </c>
      <c r="C58" t="str">
        <f t="shared" ca="1" si="2"/>
        <v>Awa Ndiaye</v>
      </c>
      <c r="D58" t="str" cm="1">
        <f t="array" aca="1" ref="D58" ca="1">INDEX({"Dakar";"dakar";"DAKAR";"Dakar ";"Thiès";"TOUBA";"Kaolack";"Saint-Louis"},RANDBETWEEN(1,8))</f>
        <v>Kaolack</v>
      </c>
      <c r="E58" t="str" cm="1">
        <f t="array" aca="1" ref="E58" ca="1">INDEX({"Laptop";"Souris";"Clavier";"Ecran";"Casque";"Tablete";"Imprimante";"Disque dur"},RANDBETWEEN(1,8))</f>
        <v>Souris</v>
      </c>
      <c r="F58">
        <f t="shared" ca="1" si="3"/>
        <v>10</v>
      </c>
      <c r="G58" t="str">
        <f t="shared" ca="1" si="4"/>
        <v>72235</v>
      </c>
    </row>
    <row r="59" spans="1:7" x14ac:dyDescent="0.45">
      <c r="A59" t="str">
        <f t="shared" si="0"/>
        <v>V0058</v>
      </c>
      <c r="B59" t="str">
        <f t="shared" ca="1" si="1"/>
        <v>2026-09-05</v>
      </c>
      <c r="C59" t="str">
        <f t="shared" ca="1" si="2"/>
        <v>Mamadou Diop</v>
      </c>
      <c r="D59" t="str" cm="1">
        <f t="array" aca="1" ref="D59" ca="1">INDEX({"Dakar";"dakar";"DAKAR";"Dakar ";"Thiès";"TOUBA";"Kaolack";"Saint-Louis"},RANDBETWEEN(1,8))</f>
        <v>Kaolack</v>
      </c>
      <c r="E59" t="str" cm="1">
        <f t="array" aca="1" ref="E59" ca="1">INDEX({"Laptop";"Souris";"Clavier";"Ecran";"Casque";"Tablete";"Imprimante";"Disque dur"},RANDBETWEEN(1,8))</f>
        <v>Tablete</v>
      </c>
      <c r="F59">
        <f t="shared" ca="1" si="3"/>
        <v>4</v>
      </c>
      <c r="G59" t="str">
        <f t="shared" ca="1" si="4"/>
        <v>492430€</v>
      </c>
    </row>
    <row r="60" spans="1:7" x14ac:dyDescent="0.45">
      <c r="A60" t="str">
        <f t="shared" si="0"/>
        <v>V0059</v>
      </c>
      <c r="B60" t="str">
        <f t="shared" ca="1" si="1"/>
        <v>2026-09-13</v>
      </c>
      <c r="C60" t="str">
        <f t="shared" ca="1" si="2"/>
        <v>Fatou Fall</v>
      </c>
      <c r="D60" t="str" cm="1">
        <f t="array" aca="1" ref="D60" ca="1">INDEX({"Dakar";"dakar";"DAKAR";"Dakar ";"Thiès";"TOUBA";"Kaolack";"Saint-Louis"},RANDBETWEEN(1,8))</f>
        <v>Kaolack</v>
      </c>
      <c r="E60" t="str" cm="1">
        <f t="array" aca="1" ref="E60" ca="1">INDEX({"Laptop";"Souris";"Clavier";"Ecran";"Casque";"Tablete";"Imprimante";"Disque dur"},RANDBETWEEN(1,8))</f>
        <v>Casque</v>
      </c>
      <c r="F60">
        <f t="shared" ca="1" si="3"/>
        <v>8</v>
      </c>
      <c r="G60" t="str">
        <f t="shared" ca="1" si="4"/>
        <v>111960 €</v>
      </c>
    </row>
    <row r="61" spans="1:7" x14ac:dyDescent="0.45">
      <c r="A61" t="str">
        <f t="shared" si="0"/>
        <v>V0060</v>
      </c>
      <c r="B61" t="str">
        <f t="shared" ca="1" si="1"/>
        <v>04/09/2026</v>
      </c>
      <c r="C61" t="str">
        <f t="shared" ca="1" si="2"/>
        <v xml:space="preserve">Ousmane Ndiaye  </v>
      </c>
      <c r="D61" t="str" cm="1">
        <f t="array" aca="1" ref="D61" ca="1">INDEX({"Dakar";"dakar";"DAKAR";"Dakar ";"Thiès";"TOUBA";"Kaolack";"Saint-Louis"},RANDBETWEEN(1,8))</f>
        <v>DAKAR</v>
      </c>
      <c r="E61" t="str" cm="1">
        <f t="array" aca="1" ref="E61" ca="1">INDEX({"Laptop";"Souris";"Clavier";"Ecran";"Casque";"Tablete";"Imprimante";"Disque dur"},RANDBETWEEN(1,8))</f>
        <v>Imprimante</v>
      </c>
      <c r="F61">
        <f t="shared" ca="1" si="3"/>
        <v>2</v>
      </c>
      <c r="G61" t="str">
        <f t="shared" ca="1" si="4"/>
        <v>222922€</v>
      </c>
    </row>
    <row r="62" spans="1:7" x14ac:dyDescent="0.45">
      <c r="A62" t="str">
        <f t="shared" si="0"/>
        <v>V0061</v>
      </c>
      <c r="B62" t="str">
        <f t="shared" ca="1" si="1"/>
        <v>2026-09-25</v>
      </c>
      <c r="C62" t="str">
        <f t="shared" ca="1" si="2"/>
        <v>Sokhna Diallo</v>
      </c>
      <c r="D62" t="str" cm="1">
        <f t="array" aca="1" ref="D62" ca="1">INDEX({"Dakar";"dakar";"DAKAR";"Dakar ";"Thiès";"TOUBA";"Kaolack";"Saint-Louis"},RANDBETWEEN(1,8))</f>
        <v>TOUBA</v>
      </c>
      <c r="E62" t="str" cm="1">
        <f t="array" aca="1" ref="E62" ca="1">INDEX({"Laptop";"Souris";"Clavier";"Ecran";"Casque";"Tablete";"Imprimante";"Disque dur"},RANDBETWEEN(1,8))</f>
        <v>Casque</v>
      </c>
      <c r="F62">
        <f t="shared" ca="1" si="3"/>
        <v>3</v>
      </c>
      <c r="G62" t="str">
        <f t="shared" ca="1" si="4"/>
        <v>307408</v>
      </c>
    </row>
    <row r="63" spans="1:7" x14ac:dyDescent="0.45">
      <c r="A63" t="str">
        <f t="shared" si="0"/>
        <v>V0062</v>
      </c>
      <c r="B63" t="str">
        <f t="shared" ca="1" si="1"/>
        <v>2026-09-16</v>
      </c>
      <c r="C63" t="str">
        <f t="shared" ca="1" si="2"/>
        <v>Sokhna Diallo</v>
      </c>
      <c r="D63" t="str" cm="1">
        <f t="array" aca="1" ref="D63" ca="1">INDEX({"Dakar";"dakar";"DAKAR";"Dakar ";"Thiès";"TOUBA";"Kaolack";"Saint-Louis"},RANDBETWEEN(1,8))</f>
        <v xml:space="preserve">Dakar </v>
      </c>
      <c r="E63" t="str" cm="1">
        <f t="array" aca="1" ref="E63" ca="1">INDEX({"Laptop";"Souris";"Clavier";"Ecran";"Casque";"Tablete";"Imprimante";"Disque dur"},RANDBETWEEN(1,8))</f>
        <v>Clavier</v>
      </c>
      <c r="F63">
        <f t="shared" ca="1" si="3"/>
        <v>10</v>
      </c>
      <c r="G63" t="str">
        <f t="shared" ca="1" si="4"/>
        <v>409441€</v>
      </c>
    </row>
    <row r="64" spans="1:7" x14ac:dyDescent="0.45">
      <c r="A64" t="str">
        <f t="shared" si="0"/>
        <v>V0063</v>
      </c>
      <c r="B64" t="str">
        <f t="shared" ca="1" si="1"/>
        <v>22/09/2026</v>
      </c>
      <c r="C64" t="str">
        <f t="shared" ca="1" si="2"/>
        <v xml:space="preserve">Ousmane Ndiaye  </v>
      </c>
      <c r="D64" t="str" cm="1">
        <f t="array" aca="1" ref="D64" ca="1">INDEX({"Dakar";"dakar";"DAKAR";"Dakar ";"Thiès";"TOUBA";"Kaolack";"Saint-Louis"},RANDBETWEEN(1,8))</f>
        <v>Dakar</v>
      </c>
      <c r="E64" t="str" cm="1">
        <f t="array" aca="1" ref="E64" ca="1">INDEX({"Laptop";"Souris";"Clavier";"Ecran";"Casque";"Tablete";"Imprimante";"Disque dur"},RANDBETWEEN(1,8))</f>
        <v>Tablete</v>
      </c>
      <c r="F64">
        <f t="shared" ca="1" si="3"/>
        <v>6</v>
      </c>
      <c r="G64" t="str">
        <f t="shared" ca="1" si="4"/>
        <v>€268515</v>
      </c>
    </row>
    <row r="65" spans="1:7" x14ac:dyDescent="0.45">
      <c r="A65" t="str">
        <f t="shared" si="0"/>
        <v>V0064</v>
      </c>
      <c r="B65" t="str">
        <f t="shared" ca="1" si="1"/>
        <v>2026-09-23</v>
      </c>
      <c r="C65" t="str">
        <f t="shared" ca="1" si="2"/>
        <v xml:space="preserve">Ousmane Ndiaye  </v>
      </c>
      <c r="D65" t="str" cm="1">
        <f t="array" aca="1" ref="D65" ca="1">INDEX({"Dakar";"dakar";"DAKAR";"Dakar ";"Thiès";"TOUBA";"Kaolack";"Saint-Louis"},RANDBETWEEN(1,8))</f>
        <v>Thiès</v>
      </c>
      <c r="E65" t="str" cm="1">
        <f t="array" aca="1" ref="E65" ca="1">INDEX({"Laptop";"Souris";"Clavier";"Ecran";"Casque";"Tablete";"Imprimante";"Disque dur"},RANDBETWEEN(1,8))</f>
        <v>Tablete</v>
      </c>
      <c r="F65" t="str">
        <f t="shared" ca="1" si="3"/>
        <v>7</v>
      </c>
      <c r="G65" t="str">
        <f t="shared" ca="1" si="4"/>
        <v>€214720</v>
      </c>
    </row>
    <row r="66" spans="1:7" x14ac:dyDescent="0.45">
      <c r="A66" t="str">
        <f t="shared" si="0"/>
        <v>V0065</v>
      </c>
      <c r="B66" t="str">
        <f t="shared" ca="1" si="1"/>
        <v>08/09/2026</v>
      </c>
      <c r="C66" t="str">
        <f t="shared" ca="1" si="2"/>
        <v>Mamadou Diop</v>
      </c>
      <c r="D66" t="str" cm="1">
        <f t="array" aca="1" ref="D66" ca="1">INDEX({"Dakar";"dakar";"DAKAR";"Dakar ";"Thiès";"TOUBA";"Kaolack";"Saint-Louis"},RANDBETWEEN(1,8))</f>
        <v xml:space="preserve">Dakar </v>
      </c>
      <c r="E66" t="str" cm="1">
        <f t="array" aca="1" ref="E66" ca="1">INDEX({"Laptop";"Souris";"Clavier";"Ecran";"Casque";"Tablete";"Imprimante";"Disque dur"},RANDBETWEEN(1,8))</f>
        <v>Disque dur</v>
      </c>
      <c r="F66" t="str">
        <f t="shared" ca="1" si="3"/>
        <v>3</v>
      </c>
      <c r="G66" t="str">
        <f t="shared" ca="1" si="4"/>
        <v>390565</v>
      </c>
    </row>
    <row r="67" spans="1:7" x14ac:dyDescent="0.45">
      <c r="A67" t="str">
        <f t="shared" ref="A67:A130" si="5">"V" &amp; TEXT(ROW()-1, "0000")</f>
        <v>V0066</v>
      </c>
      <c r="B67" t="str">
        <f t="shared" ref="B67:B130" ca="1" si="6">IF(RAND()&lt;0.3,
    TEXT(DATE(2026,9,RANDBETWEEN(1,30)),"jj/mm/aaaa"),
    IF(RAND()&lt;0.5,
        TEXT(DATE(2026,9,RANDBETWEEN(1,30)),"aaaa-mm-jj"),
        TEXT(DATE(2026,9,RANDBETWEEN(1,30)),"jj-mm-aa")
    )
)</f>
        <v>01/09/2026</v>
      </c>
      <c r="C67" t="str">
        <f t="shared" ref="C67:C130" ca="1" si="7">CHOOSE(RANDBETWEEN(1,8),"Awa Ndiaye","Mamadou Diop","Fatou Fall","  Cheikh Ba","Mariama Sow","Ousmane Ndiaye  ","Sokhna Diallo","Abdoulaye Gueye")</f>
        <v>Sokhna Diallo</v>
      </c>
      <c r="D67" t="str" cm="1">
        <f t="array" aca="1" ref="D67" ca="1">INDEX({"Dakar";"dakar";"DAKAR";"Dakar ";"Thiès";"TOUBA";"Kaolack";"Saint-Louis"},RANDBETWEEN(1,8))</f>
        <v>DAKAR</v>
      </c>
      <c r="E67" t="str" cm="1">
        <f t="array" aca="1" ref="E67" ca="1">INDEX({"Laptop";"Souris";"Clavier";"Ecran";"Casque";"Tablete";"Imprimante";"Disque dur"},RANDBETWEEN(1,8))</f>
        <v>Tablete</v>
      </c>
      <c r="F67" t="str">
        <f t="shared" ref="F67:F130" ca="1" si="8">IF(RAND()&lt;0.1, TEXT(RANDBETWEEN(1,10),"0"), RANDBETWEEN(1,10))</f>
        <v>2</v>
      </c>
      <c r="G67" t="str">
        <f t="shared" ref="G67:G130" ca="1" si="9">CHOOSE(RANDBETWEEN(1,4),
    TEXT(RANDBETWEEN(10000,500000),"0") &amp; " €",
    TEXT(RANDBETWEEN(10000,500000),"0") &amp; "€",
    TEXT(RANDBETWEEN(10000,500000),"0"),
    "€" &amp; TEXT(RANDBETWEEN(10000,500000),"0")
)</f>
        <v>259681€</v>
      </c>
    </row>
    <row r="68" spans="1:7" x14ac:dyDescent="0.45">
      <c r="A68" t="str">
        <f t="shared" si="5"/>
        <v>V0067</v>
      </c>
      <c r="B68" t="str">
        <f t="shared" ca="1" si="6"/>
        <v>20-09-26</v>
      </c>
      <c r="C68" t="str">
        <f t="shared" ca="1" si="7"/>
        <v>Mamadou Diop</v>
      </c>
      <c r="D68" t="str" cm="1">
        <f t="array" aca="1" ref="D68" ca="1">INDEX({"Dakar";"dakar";"DAKAR";"Dakar ";"Thiès";"TOUBA";"Kaolack";"Saint-Louis"},RANDBETWEEN(1,8))</f>
        <v xml:space="preserve">Dakar </v>
      </c>
      <c r="E68" t="str" cm="1">
        <f t="array" aca="1" ref="E68" ca="1">INDEX({"Laptop";"Souris";"Clavier";"Ecran";"Casque";"Tablete";"Imprimante";"Disque dur"},RANDBETWEEN(1,8))</f>
        <v>Laptop</v>
      </c>
      <c r="F68">
        <f t="shared" ca="1" si="8"/>
        <v>10</v>
      </c>
      <c r="G68" t="str">
        <f t="shared" ca="1" si="9"/>
        <v>35503 €</v>
      </c>
    </row>
    <row r="69" spans="1:7" x14ac:dyDescent="0.45">
      <c r="A69" t="str">
        <f t="shared" si="5"/>
        <v>V0068</v>
      </c>
      <c r="B69" t="str">
        <f t="shared" ca="1" si="6"/>
        <v>26/09/2026</v>
      </c>
      <c r="C69" t="str">
        <f t="shared" ca="1" si="7"/>
        <v>Abdoulaye Gueye</v>
      </c>
      <c r="D69" t="str" cm="1">
        <f t="array" aca="1" ref="D69" ca="1">INDEX({"Dakar";"dakar";"DAKAR";"Dakar ";"Thiès";"TOUBA";"Kaolack";"Saint-Louis"},RANDBETWEEN(1,8))</f>
        <v>DAKAR</v>
      </c>
      <c r="E69" t="str" cm="1">
        <f t="array" aca="1" ref="E69" ca="1">INDEX({"Laptop";"Souris";"Clavier";"Ecran";"Casque";"Tablete";"Imprimante";"Disque dur"},RANDBETWEEN(1,8))</f>
        <v>Tablete</v>
      </c>
      <c r="F69">
        <f t="shared" ca="1" si="8"/>
        <v>4</v>
      </c>
      <c r="G69" t="str">
        <f t="shared" ca="1" si="9"/>
        <v>€465910</v>
      </c>
    </row>
    <row r="70" spans="1:7" x14ac:dyDescent="0.45">
      <c r="A70" t="str">
        <f t="shared" si="5"/>
        <v>V0069</v>
      </c>
      <c r="B70" t="str">
        <f t="shared" ca="1" si="6"/>
        <v>2026-09-04</v>
      </c>
      <c r="C70" t="str">
        <f t="shared" ca="1" si="7"/>
        <v>Abdoulaye Gueye</v>
      </c>
      <c r="D70" t="str" cm="1">
        <f t="array" aca="1" ref="D70" ca="1">INDEX({"Dakar";"dakar";"DAKAR";"Dakar ";"Thiès";"TOUBA";"Kaolack";"Saint-Louis"},RANDBETWEEN(1,8))</f>
        <v>Saint-Louis</v>
      </c>
      <c r="E70" t="str" cm="1">
        <f t="array" aca="1" ref="E70" ca="1">INDEX({"Laptop";"Souris";"Clavier";"Ecran";"Casque";"Tablete";"Imprimante";"Disque dur"},RANDBETWEEN(1,8))</f>
        <v>Clavier</v>
      </c>
      <c r="F70">
        <f t="shared" ca="1" si="8"/>
        <v>4</v>
      </c>
      <c r="G70" t="str">
        <f t="shared" ca="1" si="9"/>
        <v>€156310</v>
      </c>
    </row>
    <row r="71" spans="1:7" x14ac:dyDescent="0.45">
      <c r="A71" t="str">
        <f t="shared" si="5"/>
        <v>V0070</v>
      </c>
      <c r="B71" t="str">
        <f t="shared" ca="1" si="6"/>
        <v>03/09/2026</v>
      </c>
      <c r="C71" t="str">
        <f t="shared" ca="1" si="7"/>
        <v>Sokhna Diallo</v>
      </c>
      <c r="D71" t="str" cm="1">
        <f t="array" aca="1" ref="D71" ca="1">INDEX({"Dakar";"dakar";"DAKAR";"Dakar ";"Thiès";"TOUBA";"Kaolack";"Saint-Louis"},RANDBETWEEN(1,8))</f>
        <v>Dakar</v>
      </c>
      <c r="E71" t="str" cm="1">
        <f t="array" aca="1" ref="E71" ca="1">INDEX({"Laptop";"Souris";"Clavier";"Ecran";"Casque";"Tablete";"Imprimante";"Disque dur"},RANDBETWEEN(1,8))</f>
        <v>Tablete</v>
      </c>
      <c r="F71">
        <f t="shared" ca="1" si="8"/>
        <v>7</v>
      </c>
      <c r="G71" t="str">
        <f t="shared" ca="1" si="9"/>
        <v>€464049</v>
      </c>
    </row>
    <row r="72" spans="1:7" x14ac:dyDescent="0.45">
      <c r="A72" t="str">
        <f t="shared" si="5"/>
        <v>V0071</v>
      </c>
      <c r="B72" t="str">
        <f t="shared" ca="1" si="6"/>
        <v>2026-09-28</v>
      </c>
      <c r="C72" t="str">
        <f t="shared" ca="1" si="7"/>
        <v xml:space="preserve">  Cheikh Ba</v>
      </c>
      <c r="D72" t="str" cm="1">
        <f t="array" aca="1" ref="D72" ca="1">INDEX({"Dakar";"dakar";"DAKAR";"Dakar ";"Thiès";"TOUBA";"Kaolack";"Saint-Louis"},RANDBETWEEN(1,8))</f>
        <v>Thiès</v>
      </c>
      <c r="E72" t="str" cm="1">
        <f t="array" aca="1" ref="E72" ca="1">INDEX({"Laptop";"Souris";"Clavier";"Ecran";"Casque";"Tablete";"Imprimante";"Disque dur"},RANDBETWEEN(1,8))</f>
        <v>Casque</v>
      </c>
      <c r="F72" t="str">
        <f t="shared" ca="1" si="8"/>
        <v>8</v>
      </c>
      <c r="G72" t="str">
        <f t="shared" ca="1" si="9"/>
        <v>€339364</v>
      </c>
    </row>
    <row r="73" spans="1:7" x14ac:dyDescent="0.45">
      <c r="A73" t="str">
        <f t="shared" si="5"/>
        <v>V0072</v>
      </c>
      <c r="B73" t="str">
        <f t="shared" ca="1" si="6"/>
        <v>26/09/2026</v>
      </c>
      <c r="C73" t="str">
        <f t="shared" ca="1" si="7"/>
        <v>Mamadou Diop</v>
      </c>
      <c r="D73" t="str" cm="1">
        <f t="array" aca="1" ref="D73" ca="1">INDEX({"Dakar";"dakar";"DAKAR";"Dakar ";"Thiès";"TOUBA";"Kaolack";"Saint-Louis"},RANDBETWEEN(1,8))</f>
        <v>DAKAR</v>
      </c>
      <c r="E73" t="str" cm="1">
        <f t="array" aca="1" ref="E73" ca="1">INDEX({"Laptop";"Souris";"Clavier";"Ecran";"Casque";"Tablete";"Imprimante";"Disque dur"},RANDBETWEEN(1,8))</f>
        <v>Laptop</v>
      </c>
      <c r="F73">
        <f t="shared" ca="1" si="8"/>
        <v>6</v>
      </c>
      <c r="G73" t="str">
        <f t="shared" ca="1" si="9"/>
        <v>€389722</v>
      </c>
    </row>
    <row r="74" spans="1:7" x14ac:dyDescent="0.45">
      <c r="A74" t="str">
        <f t="shared" si="5"/>
        <v>V0073</v>
      </c>
      <c r="B74" t="str">
        <f t="shared" ca="1" si="6"/>
        <v>01/09/2026</v>
      </c>
      <c r="C74" t="str">
        <f t="shared" ca="1" si="7"/>
        <v>Abdoulaye Gueye</v>
      </c>
      <c r="D74" t="str" cm="1">
        <f t="array" aca="1" ref="D74" ca="1">INDEX({"Dakar";"dakar";"DAKAR";"Dakar ";"Thiès";"TOUBA";"Kaolack";"Saint-Louis"},RANDBETWEEN(1,8))</f>
        <v>Kaolack</v>
      </c>
      <c r="E74" t="str" cm="1">
        <f t="array" aca="1" ref="E74" ca="1">INDEX({"Laptop";"Souris";"Clavier";"Ecran";"Casque";"Tablete";"Imprimante";"Disque dur"},RANDBETWEEN(1,8))</f>
        <v>Laptop</v>
      </c>
      <c r="F74">
        <f t="shared" ca="1" si="8"/>
        <v>3</v>
      </c>
      <c r="G74" t="str">
        <f t="shared" ca="1" si="9"/>
        <v>€253400</v>
      </c>
    </row>
    <row r="75" spans="1:7" x14ac:dyDescent="0.45">
      <c r="A75" t="str">
        <f t="shared" si="5"/>
        <v>V0074</v>
      </c>
      <c r="B75" t="str">
        <f t="shared" ca="1" si="6"/>
        <v>10/09/2026</v>
      </c>
      <c r="C75" t="str">
        <f t="shared" ca="1" si="7"/>
        <v>Sokhna Diallo</v>
      </c>
      <c r="D75" t="str" cm="1">
        <f t="array" aca="1" ref="D75" ca="1">INDEX({"Dakar";"dakar";"DAKAR";"Dakar ";"Thiès";"TOUBA";"Kaolack";"Saint-Louis"},RANDBETWEEN(1,8))</f>
        <v>TOUBA</v>
      </c>
      <c r="E75" t="str" cm="1">
        <f t="array" aca="1" ref="E75" ca="1">INDEX({"Laptop";"Souris";"Clavier";"Ecran";"Casque";"Tablete";"Imprimante";"Disque dur"},RANDBETWEEN(1,8))</f>
        <v>Clavier</v>
      </c>
      <c r="F75">
        <f t="shared" ca="1" si="8"/>
        <v>2</v>
      </c>
      <c r="G75" t="str">
        <f t="shared" ca="1" si="9"/>
        <v>€106989</v>
      </c>
    </row>
    <row r="76" spans="1:7" x14ac:dyDescent="0.45">
      <c r="A76" t="str">
        <f t="shared" si="5"/>
        <v>V0075</v>
      </c>
      <c r="B76" t="str">
        <f t="shared" ca="1" si="6"/>
        <v>2026-09-10</v>
      </c>
      <c r="D76" t="str" cm="1">
        <f t="array" aca="1" ref="D76" ca="1">INDEX({"Dakar";"dakar";"DAKAR";"Dakar ";"Thiès";"TOUBA";"Kaolack";"Saint-Louis"},RANDBETWEEN(1,8))</f>
        <v>TOUBA</v>
      </c>
      <c r="E76" t="str" cm="1">
        <f t="array" aca="1" ref="E76" ca="1">INDEX({"Laptop";"Souris";"Clavier";"Ecran";"Casque";"Tablete";"Imprimante";"Disque dur"},RANDBETWEEN(1,8))</f>
        <v>Casque</v>
      </c>
      <c r="F76">
        <f t="shared" ca="1" si="8"/>
        <v>7</v>
      </c>
      <c r="G76" t="str">
        <f t="shared" ca="1" si="9"/>
        <v>€14511</v>
      </c>
    </row>
    <row r="77" spans="1:7" x14ac:dyDescent="0.45">
      <c r="A77" t="str">
        <f t="shared" si="5"/>
        <v>V0076</v>
      </c>
      <c r="B77" t="str">
        <f t="shared" ca="1" si="6"/>
        <v>2026-09-30</v>
      </c>
      <c r="C77" t="str">
        <f t="shared" ca="1" si="7"/>
        <v>Mamadou Diop</v>
      </c>
      <c r="D77" t="str" cm="1">
        <f t="array" aca="1" ref="D77" ca="1">INDEX({"Dakar";"dakar";"DAKAR";"Dakar ";"Thiès";"TOUBA";"Kaolack";"Saint-Louis"},RANDBETWEEN(1,8))</f>
        <v>DAKAR</v>
      </c>
      <c r="E77" t="str" cm="1">
        <f t="array" aca="1" ref="E77" ca="1">INDEX({"Laptop";"Souris";"Clavier";"Ecran";"Casque";"Tablete";"Imprimante";"Disque dur"},RANDBETWEEN(1,8))</f>
        <v>Clavier</v>
      </c>
      <c r="F77">
        <f t="shared" ca="1" si="8"/>
        <v>5</v>
      </c>
      <c r="G77" t="str">
        <f t="shared" ca="1" si="9"/>
        <v>329449 €</v>
      </c>
    </row>
    <row r="78" spans="1:7" x14ac:dyDescent="0.45">
      <c r="A78" t="str">
        <f t="shared" si="5"/>
        <v>V0077</v>
      </c>
      <c r="B78" t="str">
        <f t="shared" ca="1" si="6"/>
        <v>28-09-26</v>
      </c>
      <c r="C78" t="str">
        <f t="shared" ca="1" si="7"/>
        <v>Abdoulaye Gueye</v>
      </c>
      <c r="D78" t="str" cm="1">
        <f t="array" aca="1" ref="D78" ca="1">INDEX({"Dakar";"dakar";"DAKAR";"Dakar ";"Thiès";"TOUBA";"Kaolack";"Saint-Louis"},RANDBETWEEN(1,8))</f>
        <v>dakar</v>
      </c>
      <c r="E78" t="str" cm="1">
        <f t="array" aca="1" ref="E78" ca="1">INDEX({"Laptop";"Souris";"Clavier";"Ecran";"Casque";"Tablete";"Imprimante";"Disque dur"},RANDBETWEEN(1,8))</f>
        <v>Laptop</v>
      </c>
      <c r="F78">
        <f t="shared" ca="1" si="8"/>
        <v>3</v>
      </c>
      <c r="G78" t="str">
        <f t="shared" ca="1" si="9"/>
        <v>414601 €</v>
      </c>
    </row>
    <row r="79" spans="1:7" x14ac:dyDescent="0.45">
      <c r="A79" t="str">
        <f t="shared" si="5"/>
        <v>V0078</v>
      </c>
      <c r="B79" t="str">
        <f t="shared" ca="1" si="6"/>
        <v>2026-09-13</v>
      </c>
      <c r="C79" t="str">
        <f t="shared" ca="1" si="7"/>
        <v>Mamadou Diop</v>
      </c>
      <c r="D79" t="str" cm="1">
        <f t="array" aca="1" ref="D79" ca="1">INDEX({"Dakar";"dakar";"DAKAR";"Dakar ";"Thiès";"TOUBA";"Kaolack";"Saint-Louis"},RANDBETWEEN(1,8))</f>
        <v>Saint-Louis</v>
      </c>
      <c r="E79" t="str" cm="1">
        <f t="array" aca="1" ref="E79" ca="1">INDEX({"Laptop";"Souris";"Clavier";"Ecran";"Casque";"Tablete";"Imprimante";"Disque dur"},RANDBETWEEN(1,8))</f>
        <v>Tablete</v>
      </c>
      <c r="F79">
        <f t="shared" ca="1" si="8"/>
        <v>9</v>
      </c>
      <c r="G79" t="str">
        <f t="shared" ca="1" si="9"/>
        <v>€89494</v>
      </c>
    </row>
    <row r="80" spans="1:7" x14ac:dyDescent="0.45">
      <c r="A80" t="str">
        <f t="shared" si="5"/>
        <v>V0079</v>
      </c>
      <c r="B80" t="str">
        <f t="shared" ca="1" si="6"/>
        <v>14-09-26</v>
      </c>
      <c r="C80" t="str">
        <f t="shared" ca="1" si="7"/>
        <v>Abdoulaye Gueye</v>
      </c>
      <c r="D80" t="str" cm="1">
        <f t="array" aca="1" ref="D80" ca="1">INDEX({"Dakar";"dakar";"DAKAR";"Dakar ";"Thiès";"TOUBA";"Kaolack";"Saint-Louis"},RANDBETWEEN(1,8))</f>
        <v>TOUBA</v>
      </c>
      <c r="E80" t="str" cm="1">
        <f t="array" aca="1" ref="E80" ca="1">INDEX({"Laptop";"Souris";"Clavier";"Ecran";"Casque";"Tablete";"Imprimante";"Disque dur"},RANDBETWEEN(1,8))</f>
        <v>Disque dur</v>
      </c>
      <c r="F80">
        <f t="shared" ca="1" si="8"/>
        <v>5</v>
      </c>
      <c r="G80" t="str">
        <f t="shared" ca="1" si="9"/>
        <v>322218€</v>
      </c>
    </row>
    <row r="81" spans="1:7" x14ac:dyDescent="0.45">
      <c r="A81" t="str">
        <f t="shared" si="5"/>
        <v>V0080</v>
      </c>
      <c r="B81" t="str">
        <f t="shared" ca="1" si="6"/>
        <v>2026-09-18</v>
      </c>
      <c r="C81" t="str">
        <f t="shared" ca="1" si="7"/>
        <v>Awa Ndiaye</v>
      </c>
      <c r="D81" t="str" cm="1">
        <f t="array" aca="1" ref="D81" ca="1">INDEX({"Dakar";"dakar";"DAKAR";"Dakar ";"Thiès";"TOUBA";"Kaolack";"Saint-Louis"},RANDBETWEEN(1,8))</f>
        <v>Thiès</v>
      </c>
      <c r="E81" t="str" cm="1">
        <f t="array" aca="1" ref="E81" ca="1">INDEX({"Laptop";"Souris";"Clavier";"Ecran";"Casque";"Tablete";"Imprimante";"Disque dur"},RANDBETWEEN(1,8))</f>
        <v>Casque</v>
      </c>
      <c r="F81">
        <f t="shared" ca="1" si="8"/>
        <v>3</v>
      </c>
      <c r="G81" t="str">
        <f t="shared" ca="1" si="9"/>
        <v>470112 €</v>
      </c>
    </row>
    <row r="82" spans="1:7" x14ac:dyDescent="0.45">
      <c r="A82" t="str">
        <f t="shared" si="5"/>
        <v>V0081</v>
      </c>
      <c r="B82" t="str">
        <f t="shared" ca="1" si="6"/>
        <v>2026-09-04</v>
      </c>
      <c r="C82" t="str">
        <f t="shared" ca="1" si="7"/>
        <v>Fatou Fall</v>
      </c>
      <c r="D82" t="str" cm="1">
        <f t="array" aca="1" ref="D82" ca="1">INDEX({"Dakar";"dakar";"DAKAR";"Dakar ";"Thiès";"TOUBA";"Kaolack";"Saint-Louis"},RANDBETWEEN(1,8))</f>
        <v>Kaolack</v>
      </c>
      <c r="E82" t="str" cm="1">
        <f t="array" aca="1" ref="E82" ca="1">INDEX({"Laptop";"Souris";"Clavier";"Ecran";"Casque";"Tablete";"Imprimante";"Disque dur"},RANDBETWEEN(1,8))</f>
        <v>Tablete</v>
      </c>
      <c r="F82">
        <f t="shared" ca="1" si="8"/>
        <v>9</v>
      </c>
      <c r="G82" t="str">
        <f t="shared" ca="1" si="9"/>
        <v>€196948</v>
      </c>
    </row>
    <row r="83" spans="1:7" x14ac:dyDescent="0.45">
      <c r="A83" t="str">
        <f t="shared" si="5"/>
        <v>V0082</v>
      </c>
      <c r="B83" t="str">
        <f t="shared" ca="1" si="6"/>
        <v>2026-09-15</v>
      </c>
      <c r="C83" t="str">
        <f t="shared" ca="1" si="7"/>
        <v>Abdoulaye Gueye</v>
      </c>
      <c r="D83" t="str" cm="1">
        <f t="array" aca="1" ref="D83" ca="1">INDEX({"Dakar";"dakar";"DAKAR";"Dakar ";"Thiès";"TOUBA";"Kaolack";"Saint-Louis"},RANDBETWEEN(1,8))</f>
        <v>TOUBA</v>
      </c>
      <c r="E83" t="str" cm="1">
        <f t="array" aca="1" ref="E83" ca="1">INDEX({"Laptop";"Souris";"Clavier";"Ecran";"Casque";"Tablete";"Imprimante";"Disque dur"},RANDBETWEEN(1,8))</f>
        <v>Clavier</v>
      </c>
      <c r="F83">
        <f t="shared" ca="1" si="8"/>
        <v>1</v>
      </c>
      <c r="G83" t="str">
        <f t="shared" ca="1" si="9"/>
        <v>399498€</v>
      </c>
    </row>
    <row r="84" spans="1:7" x14ac:dyDescent="0.45">
      <c r="A84" t="str">
        <f t="shared" si="5"/>
        <v>V0083</v>
      </c>
      <c r="B84" t="str">
        <f t="shared" ca="1" si="6"/>
        <v>2026-09-21</v>
      </c>
      <c r="C84" t="str">
        <f t="shared" ca="1" si="7"/>
        <v xml:space="preserve">Ousmane Ndiaye  </v>
      </c>
      <c r="D84" t="str" cm="1">
        <f t="array" aca="1" ref="D84" ca="1">INDEX({"Dakar";"dakar";"DAKAR";"Dakar ";"Thiès";"TOUBA";"Kaolack";"Saint-Louis"},RANDBETWEEN(1,8))</f>
        <v>Dakar</v>
      </c>
      <c r="E84" t="str" cm="1">
        <f t="array" aca="1" ref="E84" ca="1">INDEX({"Laptop";"Souris";"Clavier";"Ecran";"Casque";"Tablete";"Imprimante";"Disque dur"},RANDBETWEEN(1,8))</f>
        <v>Tablete</v>
      </c>
      <c r="F84">
        <f t="shared" ca="1" si="8"/>
        <v>3</v>
      </c>
      <c r="G84" t="str">
        <f t="shared" ca="1" si="9"/>
        <v>485503 €</v>
      </c>
    </row>
    <row r="85" spans="1:7" x14ac:dyDescent="0.45">
      <c r="A85" t="str">
        <f t="shared" si="5"/>
        <v>V0084</v>
      </c>
      <c r="B85" t="str">
        <f t="shared" ca="1" si="6"/>
        <v>27-09-26</v>
      </c>
      <c r="C85" t="str">
        <f t="shared" ca="1" si="7"/>
        <v>Mariama Sow</v>
      </c>
      <c r="D85" t="str" cm="1">
        <f t="array" aca="1" ref="D85" ca="1">INDEX({"Dakar";"dakar";"DAKAR";"Dakar ";"Thiès";"TOUBA";"Kaolack";"Saint-Louis"},RANDBETWEEN(1,8))</f>
        <v>DAKAR</v>
      </c>
      <c r="E85" t="str" cm="1">
        <f t="array" aca="1" ref="E85" ca="1">INDEX({"Laptop";"Souris";"Clavier";"Ecran";"Casque";"Tablete";"Imprimante";"Disque dur"},RANDBETWEEN(1,8))</f>
        <v>Laptop</v>
      </c>
      <c r="F85">
        <f t="shared" ca="1" si="8"/>
        <v>10</v>
      </c>
      <c r="G85" t="str">
        <f t="shared" ca="1" si="9"/>
        <v>319420€</v>
      </c>
    </row>
    <row r="86" spans="1:7" x14ac:dyDescent="0.45">
      <c r="A86" t="str">
        <f t="shared" si="5"/>
        <v>V0085</v>
      </c>
      <c r="B86" t="str">
        <f t="shared" ca="1" si="6"/>
        <v>27-09-26</v>
      </c>
      <c r="C86" t="str">
        <f t="shared" ca="1" si="7"/>
        <v>Mamadou Diop</v>
      </c>
      <c r="D86" t="str" cm="1">
        <f t="array" aca="1" ref="D86" ca="1">INDEX({"Dakar";"dakar";"DAKAR";"Dakar ";"Thiès";"TOUBA";"Kaolack";"Saint-Louis"},RANDBETWEEN(1,8))</f>
        <v>dakar</v>
      </c>
      <c r="E86" t="str" cm="1">
        <f t="array" aca="1" ref="E86" ca="1">INDEX({"Laptop";"Souris";"Clavier";"Ecran";"Casque";"Tablete";"Imprimante";"Disque dur"},RANDBETWEEN(1,8))</f>
        <v>Imprimante</v>
      </c>
      <c r="F86">
        <f t="shared" ca="1" si="8"/>
        <v>8</v>
      </c>
      <c r="G86" t="str">
        <f t="shared" ca="1" si="9"/>
        <v>362680</v>
      </c>
    </row>
    <row r="87" spans="1:7" x14ac:dyDescent="0.45">
      <c r="A87" t="str">
        <f t="shared" si="5"/>
        <v>V0086</v>
      </c>
      <c r="B87" t="str">
        <f t="shared" ca="1" si="6"/>
        <v>2026-09-20</v>
      </c>
      <c r="C87" t="str">
        <f t="shared" ca="1" si="7"/>
        <v xml:space="preserve">Ousmane Ndiaye  </v>
      </c>
      <c r="D87" t="str" cm="1">
        <f t="array" aca="1" ref="D87" ca="1">INDEX({"Dakar";"dakar";"DAKAR";"Dakar ";"Thiès";"TOUBA";"Kaolack";"Saint-Louis"},RANDBETWEEN(1,8))</f>
        <v>Dakar</v>
      </c>
      <c r="E87" t="str" cm="1">
        <f t="array" aca="1" ref="E87" ca="1">INDEX({"Laptop";"Souris";"Clavier";"Ecran";"Casque";"Tablete";"Imprimante";"Disque dur"},RANDBETWEEN(1,8))</f>
        <v>Casque</v>
      </c>
      <c r="F87">
        <f t="shared" ca="1" si="8"/>
        <v>2</v>
      </c>
      <c r="G87" t="str">
        <f t="shared" ca="1" si="9"/>
        <v>242172€</v>
      </c>
    </row>
    <row r="88" spans="1:7" x14ac:dyDescent="0.45">
      <c r="A88" t="str">
        <f t="shared" si="5"/>
        <v>V0087</v>
      </c>
      <c r="B88" t="str">
        <f t="shared" ca="1" si="6"/>
        <v>29-09-26</v>
      </c>
      <c r="C88" t="str">
        <f t="shared" ca="1" si="7"/>
        <v>Mamadou Diop</v>
      </c>
      <c r="D88" t="str" cm="1">
        <f t="array" aca="1" ref="D88" ca="1">INDEX({"Dakar";"dakar";"DAKAR";"Dakar ";"Thiès";"TOUBA";"Kaolack";"Saint-Louis"},RANDBETWEEN(1,8))</f>
        <v>Kaolack</v>
      </c>
      <c r="E88" t="str" cm="1">
        <f t="array" aca="1" ref="E88" ca="1">INDEX({"Laptop";"Souris";"Clavier";"Ecran";"Casque";"Tablete";"Imprimante";"Disque dur"},RANDBETWEEN(1,8))</f>
        <v>Clavier</v>
      </c>
      <c r="F88">
        <f t="shared" ca="1" si="8"/>
        <v>5</v>
      </c>
      <c r="G88" t="str">
        <f t="shared" ca="1" si="9"/>
        <v>123043€</v>
      </c>
    </row>
    <row r="89" spans="1:7" x14ac:dyDescent="0.45">
      <c r="A89" t="str">
        <f t="shared" si="5"/>
        <v>V0088</v>
      </c>
      <c r="B89" t="str">
        <f t="shared" ca="1" si="6"/>
        <v>13/09/2026</v>
      </c>
      <c r="C89" t="str">
        <f t="shared" ca="1" si="7"/>
        <v>Awa Ndiaye</v>
      </c>
      <c r="D89" t="str" cm="1">
        <f t="array" aca="1" ref="D89" ca="1">INDEX({"Dakar";"dakar";"DAKAR";"Dakar ";"Thiès";"TOUBA";"Kaolack";"Saint-Louis"},RANDBETWEEN(1,8))</f>
        <v>Kaolack</v>
      </c>
      <c r="E89" t="str" cm="1">
        <f t="array" aca="1" ref="E89" ca="1">INDEX({"Laptop";"Souris";"Clavier";"Ecran";"Casque";"Tablete";"Imprimante";"Disque dur"},RANDBETWEEN(1,8))</f>
        <v>Disque dur</v>
      </c>
      <c r="F89">
        <f t="shared" ca="1" si="8"/>
        <v>7</v>
      </c>
      <c r="G89" t="str">
        <f t="shared" ca="1" si="9"/>
        <v>371317€</v>
      </c>
    </row>
    <row r="90" spans="1:7" x14ac:dyDescent="0.45">
      <c r="A90" t="str">
        <f t="shared" si="5"/>
        <v>V0089</v>
      </c>
      <c r="B90" t="str">
        <f t="shared" ca="1" si="6"/>
        <v>28-09-26</v>
      </c>
      <c r="C90" t="str">
        <f t="shared" ca="1" si="7"/>
        <v>Mariama Sow</v>
      </c>
      <c r="D90" t="str" cm="1">
        <f t="array" aca="1" ref="D90" ca="1">INDEX({"Dakar";"dakar";"DAKAR";"Dakar ";"Thiès";"TOUBA";"Kaolack";"Saint-Louis"},RANDBETWEEN(1,8))</f>
        <v>Thiès</v>
      </c>
      <c r="E90" t="str" cm="1">
        <f t="array" aca="1" ref="E90" ca="1">INDEX({"Laptop";"Souris";"Clavier";"Ecran";"Casque";"Tablete";"Imprimante";"Disque dur"},RANDBETWEEN(1,8))</f>
        <v>Tablete</v>
      </c>
      <c r="F90">
        <f t="shared" ca="1" si="8"/>
        <v>7</v>
      </c>
      <c r="G90" t="str">
        <f t="shared" ca="1" si="9"/>
        <v>485864€</v>
      </c>
    </row>
    <row r="91" spans="1:7" x14ac:dyDescent="0.45">
      <c r="A91" t="str">
        <f t="shared" si="5"/>
        <v>V0090</v>
      </c>
      <c r="B91" t="str">
        <f t="shared" ca="1" si="6"/>
        <v>21/09/2026</v>
      </c>
      <c r="C91" t="str">
        <f t="shared" ca="1" si="7"/>
        <v>Abdoulaye Gueye</v>
      </c>
      <c r="D91" t="str" cm="1">
        <f t="array" aca="1" ref="D91" ca="1">INDEX({"Dakar";"dakar";"DAKAR";"Dakar ";"Thiès";"TOUBA";"Kaolack";"Saint-Louis"},RANDBETWEEN(1,8))</f>
        <v>TOUBA</v>
      </c>
      <c r="E91" t="str" cm="1">
        <f t="array" aca="1" ref="E91" ca="1">INDEX({"Laptop";"Souris";"Clavier";"Ecran";"Casque";"Tablete";"Imprimante";"Disque dur"},RANDBETWEEN(1,8))</f>
        <v>Ecran</v>
      </c>
      <c r="F91" t="str">
        <f t="shared" ca="1" si="8"/>
        <v>7</v>
      </c>
      <c r="G91" t="str">
        <f t="shared" ca="1" si="9"/>
        <v>255669€</v>
      </c>
    </row>
    <row r="92" spans="1:7" x14ac:dyDescent="0.45">
      <c r="A92" t="str">
        <f t="shared" si="5"/>
        <v>V0091</v>
      </c>
      <c r="B92" t="str">
        <f t="shared" ca="1" si="6"/>
        <v>2026-09-13</v>
      </c>
      <c r="C92" t="str">
        <f t="shared" ca="1" si="7"/>
        <v>Awa Ndiaye</v>
      </c>
      <c r="D92" t="str" cm="1">
        <f t="array" aca="1" ref="D92" ca="1">INDEX({"Dakar";"dakar";"DAKAR";"Dakar ";"Thiès";"TOUBA";"Kaolack";"Saint-Louis"},RANDBETWEEN(1,8))</f>
        <v>Saint-Louis</v>
      </c>
      <c r="E92" t="str" cm="1">
        <f t="array" aca="1" ref="E92" ca="1">INDEX({"Laptop";"Souris";"Clavier";"Ecran";"Casque";"Tablete";"Imprimante";"Disque dur"},RANDBETWEEN(1,8))</f>
        <v>Souris</v>
      </c>
      <c r="F92">
        <f t="shared" ca="1" si="8"/>
        <v>1</v>
      </c>
      <c r="G92" t="str">
        <f t="shared" ca="1" si="9"/>
        <v>238812</v>
      </c>
    </row>
    <row r="93" spans="1:7" x14ac:dyDescent="0.45">
      <c r="A93" t="str">
        <f t="shared" si="5"/>
        <v>V0092</v>
      </c>
      <c r="B93" t="str">
        <f t="shared" ca="1" si="6"/>
        <v>2026-09-15</v>
      </c>
      <c r="C93" t="str">
        <f t="shared" ca="1" si="7"/>
        <v>Abdoulaye Gueye</v>
      </c>
      <c r="D93" t="str" cm="1">
        <f t="array" aca="1" ref="D93" ca="1">INDEX({"Dakar";"dakar";"DAKAR";"Dakar ";"Thiès";"TOUBA";"Kaolack";"Saint-Louis"},RANDBETWEEN(1,8))</f>
        <v>dakar</v>
      </c>
      <c r="E93" t="str" cm="1">
        <f t="array" aca="1" ref="E93" ca="1">INDEX({"Laptop";"Souris";"Clavier";"Ecran";"Casque";"Tablete";"Imprimante";"Disque dur"},RANDBETWEEN(1,8))</f>
        <v>Souris</v>
      </c>
      <c r="F93">
        <f t="shared" ca="1" si="8"/>
        <v>9</v>
      </c>
      <c r="G93" t="str">
        <f t="shared" ca="1" si="9"/>
        <v>27892</v>
      </c>
    </row>
    <row r="94" spans="1:7" x14ac:dyDescent="0.45">
      <c r="A94" t="str">
        <f t="shared" si="5"/>
        <v>V0093</v>
      </c>
      <c r="B94" t="str">
        <f t="shared" ca="1" si="6"/>
        <v>2026-09-24</v>
      </c>
      <c r="C94" t="str">
        <f t="shared" ca="1" si="7"/>
        <v>Sokhna Diallo</v>
      </c>
      <c r="D94" t="str" cm="1">
        <f t="array" aca="1" ref="D94" ca="1">INDEX({"Dakar";"dakar";"DAKAR";"Dakar ";"Thiès";"TOUBA";"Kaolack";"Saint-Louis"},RANDBETWEEN(1,8))</f>
        <v>DAKAR</v>
      </c>
      <c r="E94" t="str" cm="1">
        <f t="array" aca="1" ref="E94" ca="1">INDEX({"Laptop";"Souris";"Clavier";"Ecran";"Casque";"Tablete";"Imprimante";"Disque dur"},RANDBETWEEN(1,8))</f>
        <v>Disque dur</v>
      </c>
      <c r="F94">
        <f t="shared" ca="1" si="8"/>
        <v>2</v>
      </c>
      <c r="G94" t="str">
        <f t="shared" ca="1" si="9"/>
        <v>282601 €</v>
      </c>
    </row>
    <row r="95" spans="1:7" x14ac:dyDescent="0.45">
      <c r="A95" t="str">
        <f t="shared" si="5"/>
        <v>V0094</v>
      </c>
      <c r="B95" t="str">
        <f t="shared" ca="1" si="6"/>
        <v>2026-09-07</v>
      </c>
      <c r="C95" t="str">
        <f t="shared" ca="1" si="7"/>
        <v>Awa Ndiaye</v>
      </c>
      <c r="D95" t="str" cm="1">
        <f t="array" aca="1" ref="D95" ca="1">INDEX({"Dakar";"dakar";"DAKAR";"Dakar ";"Thiès";"TOUBA";"Kaolack";"Saint-Louis"},RANDBETWEEN(1,8))</f>
        <v xml:space="preserve">Dakar </v>
      </c>
      <c r="E95" t="str" cm="1">
        <f t="array" aca="1" ref="E95" ca="1">INDEX({"Laptop";"Souris";"Clavier";"Ecran";"Casque";"Tablete";"Imprimante";"Disque dur"},RANDBETWEEN(1,8))</f>
        <v>Laptop</v>
      </c>
      <c r="F95">
        <f t="shared" ca="1" si="8"/>
        <v>1</v>
      </c>
      <c r="G95" t="str">
        <f t="shared" ca="1" si="9"/>
        <v>59406 €</v>
      </c>
    </row>
    <row r="96" spans="1:7" x14ac:dyDescent="0.45">
      <c r="A96" t="str">
        <f t="shared" si="5"/>
        <v>V0095</v>
      </c>
      <c r="B96" t="str">
        <f t="shared" ca="1" si="6"/>
        <v>2026-09-18</v>
      </c>
      <c r="C96" t="str">
        <f t="shared" ca="1" si="7"/>
        <v>Mamadou Diop</v>
      </c>
      <c r="D96" t="str" cm="1">
        <f t="array" aca="1" ref="D96" ca="1">INDEX({"Dakar";"dakar";"DAKAR";"Dakar ";"Thiès";"TOUBA";"Kaolack";"Saint-Louis"},RANDBETWEEN(1,8))</f>
        <v>Saint-Louis</v>
      </c>
      <c r="E96" t="str" cm="1">
        <f t="array" aca="1" ref="E96" ca="1">INDEX({"Laptop";"Souris";"Clavier";"Ecran";"Casque";"Tablete";"Imprimante";"Disque dur"},RANDBETWEEN(1,8))</f>
        <v>Casque</v>
      </c>
      <c r="F96">
        <f t="shared" ca="1" si="8"/>
        <v>4</v>
      </c>
      <c r="G96" t="str">
        <f t="shared" ca="1" si="9"/>
        <v>225485€</v>
      </c>
    </row>
    <row r="97" spans="1:7" x14ac:dyDescent="0.45">
      <c r="A97" t="str">
        <f t="shared" si="5"/>
        <v>V0096</v>
      </c>
      <c r="B97" t="str">
        <f t="shared" ca="1" si="6"/>
        <v>10-09-26</v>
      </c>
      <c r="C97" t="str">
        <f t="shared" ca="1" si="7"/>
        <v>Abdoulaye Gueye</v>
      </c>
      <c r="D97" t="str" cm="1">
        <f t="array" aca="1" ref="D97" ca="1">INDEX({"Dakar";"dakar";"DAKAR";"Dakar ";"Thiès";"TOUBA";"Kaolack";"Saint-Louis"},RANDBETWEEN(1,8))</f>
        <v>dakar</v>
      </c>
      <c r="E97" t="str" cm="1">
        <f t="array" aca="1" ref="E97" ca="1">INDEX({"Laptop";"Souris";"Clavier";"Ecran";"Casque";"Tablete";"Imprimante";"Disque dur"},RANDBETWEEN(1,8))</f>
        <v>Souris</v>
      </c>
      <c r="F97">
        <f t="shared" ca="1" si="8"/>
        <v>4</v>
      </c>
      <c r="G97" t="str">
        <f t="shared" ca="1" si="9"/>
        <v>302143 €</v>
      </c>
    </row>
    <row r="98" spans="1:7" x14ac:dyDescent="0.45">
      <c r="A98" t="str">
        <f t="shared" si="5"/>
        <v>V0097</v>
      </c>
      <c r="B98" t="str">
        <f t="shared" ca="1" si="6"/>
        <v>2026-09-04</v>
      </c>
      <c r="C98" t="str">
        <f t="shared" ca="1" si="7"/>
        <v>Fatou Fall</v>
      </c>
      <c r="D98" t="str" cm="1">
        <f t="array" aca="1" ref="D98" ca="1">INDEX({"Dakar";"dakar";"DAKAR";"Dakar ";"Thiès";"TOUBA";"Kaolack";"Saint-Louis"},RANDBETWEEN(1,8))</f>
        <v>TOUBA</v>
      </c>
      <c r="E98" t="str" cm="1">
        <f t="array" aca="1" ref="E98" ca="1">INDEX({"Laptop";"Souris";"Clavier";"Ecran";"Casque";"Tablete";"Imprimante";"Disque dur"},RANDBETWEEN(1,8))</f>
        <v>Tablete</v>
      </c>
      <c r="F98">
        <f t="shared" ca="1" si="8"/>
        <v>2</v>
      </c>
      <c r="G98" t="str">
        <f t="shared" ca="1" si="9"/>
        <v>448618</v>
      </c>
    </row>
    <row r="99" spans="1:7" x14ac:dyDescent="0.45">
      <c r="A99" t="str">
        <f t="shared" si="5"/>
        <v>V0098</v>
      </c>
      <c r="B99" t="str">
        <f t="shared" ca="1" si="6"/>
        <v>10/09/2026</v>
      </c>
      <c r="C99" t="str">
        <f t="shared" ca="1" si="7"/>
        <v>Sokhna Diallo</v>
      </c>
      <c r="D99" t="str" cm="1">
        <f t="array" aca="1" ref="D99" ca="1">INDEX({"Dakar";"dakar";"DAKAR";"Dakar ";"Thiès";"TOUBA";"Kaolack";"Saint-Louis"},RANDBETWEEN(1,8))</f>
        <v>TOUBA</v>
      </c>
      <c r="E99" t="str" cm="1">
        <f t="array" aca="1" ref="E99" ca="1">INDEX({"Laptop";"Souris";"Clavier";"Ecran";"Casque";"Tablete";"Imprimante";"Disque dur"},RANDBETWEEN(1,8))</f>
        <v>Casque</v>
      </c>
      <c r="F99" t="str">
        <f t="shared" ca="1" si="8"/>
        <v>9</v>
      </c>
      <c r="G99" t="str">
        <f t="shared" ca="1" si="9"/>
        <v>60810€</v>
      </c>
    </row>
    <row r="100" spans="1:7" x14ac:dyDescent="0.45">
      <c r="A100" t="str">
        <f t="shared" si="5"/>
        <v>V0099</v>
      </c>
      <c r="B100" t="str">
        <f t="shared" ca="1" si="6"/>
        <v>06/09/2026</v>
      </c>
      <c r="C100" t="str">
        <f t="shared" ca="1" si="7"/>
        <v xml:space="preserve">  Cheikh Ba</v>
      </c>
      <c r="D100" t="str" cm="1">
        <f t="array" aca="1" ref="D100" ca="1">INDEX({"Dakar";"dakar";"DAKAR";"Dakar ";"Thiès";"TOUBA";"Kaolack";"Saint-Louis"},RANDBETWEEN(1,8))</f>
        <v>Saint-Louis</v>
      </c>
      <c r="E100" t="str" cm="1">
        <f t="array" aca="1" ref="E100" ca="1">INDEX({"Laptop";"Souris";"Clavier";"Ecran";"Casque";"Tablete";"Imprimante";"Disque dur"},RANDBETWEEN(1,8))</f>
        <v>Ecran</v>
      </c>
      <c r="F100">
        <f t="shared" ca="1" si="8"/>
        <v>8</v>
      </c>
      <c r="G100" t="str">
        <f t="shared" ca="1" si="9"/>
        <v>13442</v>
      </c>
    </row>
    <row r="101" spans="1:7" x14ac:dyDescent="0.45">
      <c r="A101" t="str">
        <f t="shared" si="5"/>
        <v>V0100</v>
      </c>
      <c r="B101" t="str">
        <f t="shared" ca="1" si="6"/>
        <v>20-09-26</v>
      </c>
      <c r="C101" t="str">
        <f t="shared" ca="1" si="7"/>
        <v>Abdoulaye Gueye</v>
      </c>
      <c r="D101" t="str" cm="1">
        <f t="array" aca="1" ref="D101" ca="1">INDEX({"Dakar";"dakar";"DAKAR";"Dakar ";"Thiès";"TOUBA";"Kaolack";"Saint-Louis"},RANDBETWEEN(1,8))</f>
        <v xml:space="preserve">Dakar </v>
      </c>
      <c r="E101" t="str" cm="1">
        <f t="array" aca="1" ref="E101" ca="1">INDEX({"Laptop";"Souris";"Clavier";"Ecran";"Casque";"Tablete";"Imprimante";"Disque dur"},RANDBETWEEN(1,8))</f>
        <v>Imprimante</v>
      </c>
      <c r="F101">
        <f t="shared" ca="1" si="8"/>
        <v>2</v>
      </c>
      <c r="G101" t="str">
        <f t="shared" ca="1" si="9"/>
        <v>63855 €</v>
      </c>
    </row>
    <row r="102" spans="1:7" x14ac:dyDescent="0.45">
      <c r="A102" t="str">
        <f t="shared" si="5"/>
        <v>V0101</v>
      </c>
      <c r="B102" t="str">
        <f t="shared" ca="1" si="6"/>
        <v>19/09/2026</v>
      </c>
      <c r="C102" t="str">
        <f t="shared" ca="1" si="7"/>
        <v>Awa Ndiaye</v>
      </c>
      <c r="D102" t="str" cm="1">
        <f t="array" aca="1" ref="D102" ca="1">INDEX({"Dakar";"dakar";"DAKAR";"Dakar ";"Thiès";"TOUBA";"Kaolack";"Saint-Louis"},RANDBETWEEN(1,8))</f>
        <v>Saint-Louis</v>
      </c>
      <c r="E102" t="str" cm="1">
        <f t="array" aca="1" ref="E102" ca="1">INDEX({"Laptop";"Souris";"Clavier";"Ecran";"Casque";"Tablete";"Imprimante";"Disque dur"},RANDBETWEEN(1,8))</f>
        <v>Souris</v>
      </c>
      <c r="F102">
        <f t="shared" ca="1" si="8"/>
        <v>2</v>
      </c>
      <c r="G102" t="str">
        <f t="shared" ca="1" si="9"/>
        <v>€17046</v>
      </c>
    </row>
    <row r="103" spans="1:7" x14ac:dyDescent="0.45">
      <c r="A103" t="str">
        <f t="shared" si="5"/>
        <v>V0102</v>
      </c>
      <c r="B103" t="str">
        <f t="shared" ca="1" si="6"/>
        <v>20-09-26</v>
      </c>
      <c r="C103" t="str">
        <f t="shared" ca="1" si="7"/>
        <v>Awa Ndiaye</v>
      </c>
      <c r="D103" t="str" cm="1">
        <f t="array" aca="1" ref="D103" ca="1">INDEX({"Dakar";"dakar";"DAKAR";"Dakar ";"Thiès";"TOUBA";"Kaolack";"Saint-Louis"},RANDBETWEEN(1,8))</f>
        <v>Saint-Louis</v>
      </c>
      <c r="E103" t="str" cm="1">
        <f t="array" aca="1" ref="E103" ca="1">INDEX({"Laptop";"Souris";"Clavier";"Ecran";"Casque";"Tablete";"Imprimante";"Disque dur"},RANDBETWEEN(1,8))</f>
        <v>Souris</v>
      </c>
      <c r="F103">
        <f t="shared" ca="1" si="8"/>
        <v>1</v>
      </c>
      <c r="G103" t="str">
        <f t="shared" ca="1" si="9"/>
        <v>34700 €</v>
      </c>
    </row>
    <row r="104" spans="1:7" x14ac:dyDescent="0.45">
      <c r="A104" t="str">
        <f t="shared" si="5"/>
        <v>V0103</v>
      </c>
      <c r="B104" t="str">
        <f t="shared" ca="1" si="6"/>
        <v>07-09-26</v>
      </c>
      <c r="C104" t="str">
        <f t="shared" ca="1" si="7"/>
        <v>Abdoulaye Gueye</v>
      </c>
      <c r="D104" t="str" cm="1">
        <f t="array" aca="1" ref="D104" ca="1">INDEX({"Dakar";"dakar";"DAKAR";"Dakar ";"Thiès";"TOUBA";"Kaolack";"Saint-Louis"},RANDBETWEEN(1,8))</f>
        <v>TOUBA</v>
      </c>
      <c r="E104" t="str" cm="1">
        <f t="array" aca="1" ref="E104" ca="1">INDEX({"Laptop";"Souris";"Clavier";"Ecran";"Casque";"Tablete";"Imprimante";"Disque dur"},RANDBETWEEN(1,8))</f>
        <v>Laptop</v>
      </c>
      <c r="F104">
        <f t="shared" ca="1" si="8"/>
        <v>2</v>
      </c>
      <c r="G104" t="str">
        <f t="shared" ca="1" si="9"/>
        <v>166881</v>
      </c>
    </row>
    <row r="105" spans="1:7" x14ac:dyDescent="0.45">
      <c r="A105" t="str">
        <f t="shared" si="5"/>
        <v>V0104</v>
      </c>
      <c r="B105" t="str">
        <f t="shared" ca="1" si="6"/>
        <v>03-09-26</v>
      </c>
      <c r="C105" t="str">
        <f t="shared" ca="1" si="7"/>
        <v>Mariama Sow</v>
      </c>
      <c r="D105" t="str" cm="1">
        <f t="array" aca="1" ref="D105" ca="1">INDEX({"Dakar";"dakar";"DAKAR";"Dakar ";"Thiès";"TOUBA";"Kaolack";"Saint-Louis"},RANDBETWEEN(1,8))</f>
        <v>dakar</v>
      </c>
      <c r="E105" t="str" cm="1">
        <f t="array" aca="1" ref="E105" ca="1">INDEX({"Laptop";"Souris";"Clavier";"Ecran";"Casque";"Tablete";"Imprimante";"Disque dur"},RANDBETWEEN(1,8))</f>
        <v>Laptop</v>
      </c>
      <c r="F105">
        <f t="shared" ca="1" si="8"/>
        <v>7</v>
      </c>
      <c r="G105" t="str">
        <f t="shared" ca="1" si="9"/>
        <v>€49461</v>
      </c>
    </row>
    <row r="106" spans="1:7" x14ac:dyDescent="0.45">
      <c r="A106" t="str">
        <f t="shared" si="5"/>
        <v>V0105</v>
      </c>
      <c r="B106" t="str">
        <f t="shared" ca="1" si="6"/>
        <v>14/09/2026</v>
      </c>
      <c r="C106" t="str">
        <f t="shared" ca="1" si="7"/>
        <v>Fatou Fall</v>
      </c>
      <c r="D106" t="str" cm="1">
        <f t="array" aca="1" ref="D106" ca="1">INDEX({"Dakar";"dakar";"DAKAR";"Dakar ";"Thiès";"TOUBA";"Kaolack";"Saint-Louis"},RANDBETWEEN(1,8))</f>
        <v>Dakar</v>
      </c>
      <c r="E106" t="str" cm="1">
        <f t="array" aca="1" ref="E106" ca="1">INDEX({"Laptop";"Souris";"Clavier";"Ecran";"Casque";"Tablete";"Imprimante";"Disque dur"},RANDBETWEEN(1,8))</f>
        <v>Casque</v>
      </c>
      <c r="F106">
        <f t="shared" ca="1" si="8"/>
        <v>2</v>
      </c>
      <c r="G106" t="str">
        <f t="shared" ca="1" si="9"/>
        <v>417501 €</v>
      </c>
    </row>
    <row r="107" spans="1:7" x14ac:dyDescent="0.45">
      <c r="A107" t="str">
        <f t="shared" si="5"/>
        <v>V0106</v>
      </c>
      <c r="B107" t="str">
        <f t="shared" ca="1" si="6"/>
        <v>2026-09-30</v>
      </c>
      <c r="C107" t="str">
        <f t="shared" ca="1" si="7"/>
        <v>Awa Ndiaye</v>
      </c>
      <c r="D107" t="str" cm="1">
        <f t="array" aca="1" ref="D107" ca="1">INDEX({"Dakar";"dakar";"DAKAR";"Dakar ";"Thiès";"TOUBA";"Kaolack";"Saint-Louis"},RANDBETWEEN(1,8))</f>
        <v xml:space="preserve">Dakar </v>
      </c>
      <c r="E107" t="str" cm="1">
        <f t="array" aca="1" ref="E107" ca="1">INDEX({"Laptop";"Souris";"Clavier";"Ecran";"Casque";"Tablete";"Imprimante";"Disque dur"},RANDBETWEEN(1,8))</f>
        <v>Souris</v>
      </c>
      <c r="F107">
        <f t="shared" ca="1" si="8"/>
        <v>2</v>
      </c>
      <c r="G107" t="str">
        <f t="shared" ca="1" si="9"/>
        <v>€201228</v>
      </c>
    </row>
    <row r="108" spans="1:7" x14ac:dyDescent="0.45">
      <c r="A108" t="str">
        <f t="shared" si="5"/>
        <v>V0107</v>
      </c>
      <c r="B108" t="str">
        <f t="shared" ca="1" si="6"/>
        <v>10-09-26</v>
      </c>
      <c r="C108" t="str">
        <f t="shared" ca="1" si="7"/>
        <v>Awa Ndiaye</v>
      </c>
      <c r="D108" t="str" cm="1">
        <f t="array" aca="1" ref="D108" ca="1">INDEX({"Dakar";"dakar";"DAKAR";"Dakar ";"Thiès";"TOUBA";"Kaolack";"Saint-Louis"},RANDBETWEEN(1,8))</f>
        <v>DAKAR</v>
      </c>
      <c r="E108" t="str" cm="1">
        <f t="array" aca="1" ref="E108" ca="1">INDEX({"Laptop";"Souris";"Clavier";"Ecran";"Casque";"Tablete";"Imprimante";"Disque dur"},RANDBETWEEN(1,8))</f>
        <v>Casque</v>
      </c>
      <c r="F108">
        <f t="shared" ca="1" si="8"/>
        <v>8</v>
      </c>
      <c r="G108" t="str">
        <f t="shared" ca="1" si="9"/>
        <v>371689 €</v>
      </c>
    </row>
    <row r="109" spans="1:7" x14ac:dyDescent="0.45">
      <c r="A109" t="str">
        <f t="shared" si="5"/>
        <v>V0108</v>
      </c>
      <c r="B109" t="str">
        <f t="shared" ca="1" si="6"/>
        <v>2026-09-22</v>
      </c>
      <c r="C109" t="str">
        <f t="shared" ca="1" si="7"/>
        <v>Fatou Fall</v>
      </c>
      <c r="D109" t="str" cm="1">
        <f t="array" aca="1" ref="D109" ca="1">INDEX({"Dakar";"dakar";"DAKAR";"Dakar ";"Thiès";"TOUBA";"Kaolack";"Saint-Louis"},RANDBETWEEN(1,8))</f>
        <v>Saint-Louis</v>
      </c>
      <c r="E109" t="str" cm="1">
        <f t="array" aca="1" ref="E109" ca="1">INDEX({"Laptop";"Souris";"Clavier";"Ecran";"Casque";"Tablete";"Imprimante";"Disque dur"},RANDBETWEEN(1,8))</f>
        <v>Tablete</v>
      </c>
      <c r="F109">
        <f t="shared" ca="1" si="8"/>
        <v>9</v>
      </c>
      <c r="G109" t="str">
        <f t="shared" ca="1" si="9"/>
        <v>330741 €</v>
      </c>
    </row>
    <row r="110" spans="1:7" x14ac:dyDescent="0.45">
      <c r="A110" t="str">
        <f t="shared" si="5"/>
        <v>V0109</v>
      </c>
      <c r="B110" t="str">
        <f t="shared" ca="1" si="6"/>
        <v>2026-09-23</v>
      </c>
      <c r="C110" t="str">
        <f t="shared" ca="1" si="7"/>
        <v>Mamadou Diop</v>
      </c>
      <c r="D110" t="str" cm="1">
        <f t="array" aca="1" ref="D110" ca="1">INDEX({"Dakar";"dakar";"DAKAR";"Dakar ";"Thiès";"TOUBA";"Kaolack";"Saint-Louis"},RANDBETWEEN(1,8))</f>
        <v>TOUBA</v>
      </c>
      <c r="E110" t="str" cm="1">
        <f t="array" aca="1" ref="E110" ca="1">INDEX({"Laptop";"Souris";"Clavier";"Ecran";"Casque";"Tablete";"Imprimante";"Disque dur"},RANDBETWEEN(1,8))</f>
        <v>Clavier</v>
      </c>
      <c r="F110">
        <f t="shared" ca="1" si="8"/>
        <v>6</v>
      </c>
      <c r="G110" t="str">
        <f t="shared" ca="1" si="9"/>
        <v>91550 €</v>
      </c>
    </row>
    <row r="111" spans="1:7" x14ac:dyDescent="0.45">
      <c r="A111" t="str">
        <f t="shared" si="5"/>
        <v>V0110</v>
      </c>
      <c r="B111" t="str">
        <f t="shared" ca="1" si="6"/>
        <v>13-09-26</v>
      </c>
      <c r="C111" t="str">
        <f t="shared" ca="1" si="7"/>
        <v>Awa Ndiaye</v>
      </c>
      <c r="D111" t="str" cm="1">
        <f t="array" aca="1" ref="D111" ca="1">INDEX({"Dakar";"dakar";"DAKAR";"Dakar ";"Thiès";"TOUBA";"Kaolack";"Saint-Louis"},RANDBETWEEN(1,8))</f>
        <v xml:space="preserve">Dakar </v>
      </c>
      <c r="E111" t="str" cm="1">
        <f t="array" aca="1" ref="E111" ca="1">INDEX({"Laptop";"Souris";"Clavier";"Ecran";"Casque";"Tablete";"Imprimante";"Disque dur"},RANDBETWEEN(1,8))</f>
        <v>Ecran</v>
      </c>
      <c r="F111">
        <f t="shared" ca="1" si="8"/>
        <v>6</v>
      </c>
      <c r="G111" t="str">
        <f t="shared" ca="1" si="9"/>
        <v>87425€</v>
      </c>
    </row>
    <row r="112" spans="1:7" x14ac:dyDescent="0.45">
      <c r="A112" t="str">
        <f t="shared" si="5"/>
        <v>V0111</v>
      </c>
      <c r="B112" t="str">
        <f t="shared" ca="1" si="6"/>
        <v>23-09-26</v>
      </c>
      <c r="C112" t="str">
        <f t="shared" ca="1" si="7"/>
        <v>Mamadou Diop</v>
      </c>
      <c r="D112" t="str" cm="1">
        <f t="array" aca="1" ref="D112" ca="1">INDEX({"Dakar";"dakar";"DAKAR";"Dakar ";"Thiès";"TOUBA";"Kaolack";"Saint-Louis"},RANDBETWEEN(1,8))</f>
        <v>Saint-Louis</v>
      </c>
      <c r="E112" t="str" cm="1">
        <f t="array" aca="1" ref="E112" ca="1">INDEX({"Laptop";"Souris";"Clavier";"Ecran";"Casque";"Tablete";"Imprimante";"Disque dur"},RANDBETWEEN(1,8))</f>
        <v>Laptop</v>
      </c>
      <c r="F112">
        <f t="shared" ca="1" si="8"/>
        <v>10</v>
      </c>
      <c r="G112" t="str">
        <f t="shared" ca="1" si="9"/>
        <v>383653 €</v>
      </c>
    </row>
    <row r="113" spans="1:7" x14ac:dyDescent="0.45">
      <c r="A113" t="str">
        <f t="shared" si="5"/>
        <v>V0112</v>
      </c>
      <c r="B113" t="str">
        <f t="shared" ca="1" si="6"/>
        <v>2026-09-14</v>
      </c>
      <c r="C113" t="str">
        <f t="shared" ca="1" si="7"/>
        <v>Abdoulaye Gueye</v>
      </c>
      <c r="D113" t="str" cm="1">
        <f t="array" aca="1" ref="D113" ca="1">INDEX({"Dakar";"dakar";"DAKAR";"Dakar ";"Thiès";"TOUBA";"Kaolack";"Saint-Louis"},RANDBETWEEN(1,8))</f>
        <v>TOUBA</v>
      </c>
      <c r="E113" t="str" cm="1">
        <f t="array" aca="1" ref="E113" ca="1">INDEX({"Laptop";"Souris";"Clavier";"Ecran";"Casque";"Tablete";"Imprimante";"Disque dur"},RANDBETWEEN(1,8))</f>
        <v>Casque</v>
      </c>
      <c r="F113">
        <f t="shared" ca="1" si="8"/>
        <v>10</v>
      </c>
      <c r="G113" t="str">
        <f t="shared" ca="1" si="9"/>
        <v>€127287</v>
      </c>
    </row>
    <row r="114" spans="1:7" x14ac:dyDescent="0.45">
      <c r="A114" t="str">
        <f t="shared" si="5"/>
        <v>V0113</v>
      </c>
      <c r="B114" t="str">
        <f t="shared" ca="1" si="6"/>
        <v>07-09-26</v>
      </c>
      <c r="C114" t="str">
        <f t="shared" ca="1" si="7"/>
        <v>Mariama Sow</v>
      </c>
      <c r="D114" t="str" cm="1">
        <f t="array" aca="1" ref="D114" ca="1">INDEX({"Dakar";"dakar";"DAKAR";"Dakar ";"Thiès";"TOUBA";"Kaolack";"Saint-Louis"},RANDBETWEEN(1,8))</f>
        <v>Thiès</v>
      </c>
      <c r="E114" t="str" cm="1">
        <f t="array" aca="1" ref="E114" ca="1">INDEX({"Laptop";"Souris";"Clavier";"Ecran";"Casque";"Tablete";"Imprimante";"Disque dur"},RANDBETWEEN(1,8))</f>
        <v>Tablete</v>
      </c>
      <c r="F114">
        <f t="shared" ca="1" si="8"/>
        <v>5</v>
      </c>
      <c r="G114" t="str">
        <f t="shared" ca="1" si="9"/>
        <v>167041€</v>
      </c>
    </row>
    <row r="115" spans="1:7" x14ac:dyDescent="0.45">
      <c r="A115" t="str">
        <f t="shared" si="5"/>
        <v>V0114</v>
      </c>
      <c r="B115" t="str">
        <f t="shared" ca="1" si="6"/>
        <v>18-09-26</v>
      </c>
      <c r="C115" t="str">
        <f t="shared" ca="1" si="7"/>
        <v>Abdoulaye Gueye</v>
      </c>
      <c r="D115" t="str" cm="1">
        <f t="array" aca="1" ref="D115" ca="1">INDEX({"Dakar";"dakar";"DAKAR";"Dakar ";"Thiès";"TOUBA";"Kaolack";"Saint-Louis"},RANDBETWEEN(1,8))</f>
        <v>dakar</v>
      </c>
      <c r="E115" t="str" cm="1">
        <f t="array" aca="1" ref="E115" ca="1">INDEX({"Laptop";"Souris";"Clavier";"Ecran";"Casque";"Tablete";"Imprimante";"Disque dur"},RANDBETWEEN(1,8))</f>
        <v>Ecran</v>
      </c>
      <c r="F115">
        <f t="shared" ca="1" si="8"/>
        <v>6</v>
      </c>
      <c r="G115" t="str">
        <f t="shared" ca="1" si="9"/>
        <v>19869 €</v>
      </c>
    </row>
    <row r="116" spans="1:7" x14ac:dyDescent="0.45">
      <c r="A116" t="str">
        <f t="shared" si="5"/>
        <v>V0115</v>
      </c>
      <c r="B116" t="str">
        <f t="shared" ca="1" si="6"/>
        <v>15-09-26</v>
      </c>
      <c r="C116" t="str">
        <f t="shared" ca="1" si="7"/>
        <v>Mariama Sow</v>
      </c>
      <c r="D116" t="str" cm="1">
        <f t="array" aca="1" ref="D116" ca="1">INDEX({"Dakar";"dakar";"DAKAR";"Dakar ";"Thiès";"TOUBA";"Kaolack";"Saint-Louis"},RANDBETWEEN(1,8))</f>
        <v>TOUBA</v>
      </c>
      <c r="E116" t="str" cm="1">
        <f t="array" aca="1" ref="E116" ca="1">INDEX({"Laptop";"Souris";"Clavier";"Ecran";"Casque";"Tablete";"Imprimante";"Disque dur"},RANDBETWEEN(1,8))</f>
        <v>Laptop</v>
      </c>
      <c r="F116">
        <f t="shared" ca="1" si="8"/>
        <v>1</v>
      </c>
      <c r="G116" t="str">
        <f t="shared" ca="1" si="9"/>
        <v>26209</v>
      </c>
    </row>
    <row r="117" spans="1:7" x14ac:dyDescent="0.45">
      <c r="A117" t="str">
        <f t="shared" si="5"/>
        <v>V0116</v>
      </c>
      <c r="B117" t="str">
        <f t="shared" ca="1" si="6"/>
        <v>29-09-26</v>
      </c>
      <c r="C117" t="str">
        <f t="shared" ca="1" si="7"/>
        <v>Sokhna Diallo</v>
      </c>
      <c r="D117" t="str" cm="1">
        <f t="array" aca="1" ref="D117" ca="1">INDEX({"Dakar";"dakar";"DAKAR";"Dakar ";"Thiès";"TOUBA";"Kaolack";"Saint-Louis"},RANDBETWEEN(1,8))</f>
        <v xml:space="preserve">Dakar </v>
      </c>
      <c r="E117" t="str" cm="1">
        <f t="array" aca="1" ref="E117" ca="1">INDEX({"Laptop";"Souris";"Clavier";"Ecran";"Casque";"Tablete";"Imprimante";"Disque dur"},RANDBETWEEN(1,8))</f>
        <v>Ecran</v>
      </c>
      <c r="F117">
        <f t="shared" ca="1" si="8"/>
        <v>2</v>
      </c>
      <c r="G117" t="str">
        <f t="shared" ca="1" si="9"/>
        <v>245948</v>
      </c>
    </row>
    <row r="118" spans="1:7" x14ac:dyDescent="0.45">
      <c r="A118" t="str">
        <f t="shared" si="5"/>
        <v>V0117</v>
      </c>
      <c r="B118" t="str">
        <f t="shared" ca="1" si="6"/>
        <v>23-09-26</v>
      </c>
      <c r="C118" t="str">
        <f t="shared" ca="1" si="7"/>
        <v>Fatou Fall</v>
      </c>
      <c r="D118" t="str" cm="1">
        <f t="array" aca="1" ref="D118" ca="1">INDEX({"Dakar";"dakar";"DAKAR";"Dakar ";"Thiès";"TOUBA";"Kaolack";"Saint-Louis"},RANDBETWEEN(1,8))</f>
        <v>DAKAR</v>
      </c>
      <c r="E118" t="str" cm="1">
        <f t="array" aca="1" ref="E118" ca="1">INDEX({"Laptop";"Souris";"Clavier";"Ecran";"Casque";"Tablete";"Imprimante";"Disque dur"},RANDBETWEEN(1,8))</f>
        <v>Imprimante</v>
      </c>
      <c r="F118">
        <f t="shared" ca="1" si="8"/>
        <v>1</v>
      </c>
      <c r="G118" t="str">
        <f t="shared" ca="1" si="9"/>
        <v>320482€</v>
      </c>
    </row>
    <row r="119" spans="1:7" x14ac:dyDescent="0.45">
      <c r="A119" t="str">
        <f t="shared" si="5"/>
        <v>V0118</v>
      </c>
      <c r="B119" t="str">
        <f t="shared" ca="1" si="6"/>
        <v>2026-09-01</v>
      </c>
      <c r="C119" t="str">
        <f t="shared" ca="1" si="7"/>
        <v xml:space="preserve">  Cheikh Ba</v>
      </c>
      <c r="D119" t="str" cm="1">
        <f t="array" aca="1" ref="D119" ca="1">INDEX({"Dakar";"dakar";"DAKAR";"Dakar ";"Thiès";"TOUBA";"Kaolack";"Saint-Louis"},RANDBETWEEN(1,8))</f>
        <v>Saint-Louis</v>
      </c>
      <c r="E119" t="str" cm="1">
        <f t="array" aca="1" ref="E119" ca="1">INDEX({"Laptop";"Souris";"Clavier";"Ecran";"Casque";"Tablete";"Imprimante";"Disque dur"},RANDBETWEEN(1,8))</f>
        <v>Imprimante</v>
      </c>
      <c r="F119">
        <f t="shared" ca="1" si="8"/>
        <v>7</v>
      </c>
      <c r="G119" t="str">
        <f t="shared" ca="1" si="9"/>
        <v>35261€</v>
      </c>
    </row>
    <row r="120" spans="1:7" x14ac:dyDescent="0.45">
      <c r="A120" t="str">
        <f t="shared" si="5"/>
        <v>V0119</v>
      </c>
      <c r="B120" t="str">
        <f t="shared" ca="1" si="6"/>
        <v>2026-09-23</v>
      </c>
      <c r="C120" t="str">
        <f t="shared" ca="1" si="7"/>
        <v>Sokhna Diallo</v>
      </c>
      <c r="D120" t="str" cm="1">
        <f t="array" aca="1" ref="D120" ca="1">INDEX({"Dakar";"dakar";"DAKAR";"Dakar ";"Thiès";"TOUBA";"Kaolack";"Saint-Louis"},RANDBETWEEN(1,8))</f>
        <v>dakar</v>
      </c>
      <c r="E120" t="str" cm="1">
        <f t="array" aca="1" ref="E120" ca="1">INDEX({"Laptop";"Souris";"Clavier";"Ecran";"Casque";"Tablete";"Imprimante";"Disque dur"},RANDBETWEEN(1,8))</f>
        <v>Casque</v>
      </c>
      <c r="F120">
        <f t="shared" ca="1" si="8"/>
        <v>3</v>
      </c>
      <c r="G120" t="str">
        <f t="shared" ca="1" si="9"/>
        <v>€65009</v>
      </c>
    </row>
    <row r="121" spans="1:7" x14ac:dyDescent="0.45">
      <c r="A121" t="str">
        <f t="shared" si="5"/>
        <v>V0120</v>
      </c>
      <c r="B121" t="str">
        <f t="shared" ca="1" si="6"/>
        <v>2026-09-21</v>
      </c>
      <c r="C121" t="str">
        <f t="shared" ca="1" si="7"/>
        <v>Mariama Sow</v>
      </c>
      <c r="D121" t="str" cm="1">
        <f t="array" aca="1" ref="D121" ca="1">INDEX({"Dakar";"dakar";"DAKAR";"Dakar ";"Thiès";"TOUBA";"Kaolack";"Saint-Louis"},RANDBETWEEN(1,8))</f>
        <v>Dakar</v>
      </c>
      <c r="E121" t="str" cm="1">
        <f t="array" aca="1" ref="E121" ca="1">INDEX({"Laptop";"Souris";"Clavier";"Ecran";"Casque";"Tablete";"Imprimante";"Disque dur"},RANDBETWEEN(1,8))</f>
        <v>Tablete</v>
      </c>
      <c r="F121">
        <f t="shared" ca="1" si="8"/>
        <v>7</v>
      </c>
      <c r="G121" t="str">
        <f t="shared" ca="1" si="9"/>
        <v>60132 €</v>
      </c>
    </row>
    <row r="122" spans="1:7" x14ac:dyDescent="0.45">
      <c r="A122" t="str">
        <f t="shared" si="5"/>
        <v>V0121</v>
      </c>
      <c r="B122" t="str">
        <f t="shared" ca="1" si="6"/>
        <v>2026-09-07</v>
      </c>
      <c r="C122" t="str">
        <f t="shared" ca="1" si="7"/>
        <v xml:space="preserve">  Cheikh Ba</v>
      </c>
      <c r="D122" t="str" cm="1">
        <f t="array" aca="1" ref="D122" ca="1">INDEX({"Dakar";"dakar";"DAKAR";"Dakar ";"Thiès";"TOUBA";"Kaolack";"Saint-Louis"},RANDBETWEEN(1,8))</f>
        <v>Dakar</v>
      </c>
      <c r="E122" t="str" cm="1">
        <f t="array" aca="1" ref="E122" ca="1">INDEX({"Laptop";"Souris";"Clavier";"Ecran";"Casque";"Tablete";"Imprimante";"Disque dur"},RANDBETWEEN(1,8))</f>
        <v>Casque</v>
      </c>
      <c r="F122">
        <f t="shared" ca="1" si="8"/>
        <v>5</v>
      </c>
      <c r="G122" t="str">
        <f t="shared" ca="1" si="9"/>
        <v>295772€</v>
      </c>
    </row>
    <row r="123" spans="1:7" x14ac:dyDescent="0.45">
      <c r="A123" t="str">
        <f t="shared" si="5"/>
        <v>V0122</v>
      </c>
      <c r="B123" t="str">
        <f t="shared" ca="1" si="6"/>
        <v>15/09/2026</v>
      </c>
      <c r="C123" t="str">
        <f t="shared" ca="1" si="7"/>
        <v>Mariama Sow</v>
      </c>
      <c r="D123" t="str" cm="1">
        <f t="array" aca="1" ref="D123" ca="1">INDEX({"Dakar";"dakar";"DAKAR";"Dakar ";"Thiès";"TOUBA";"Kaolack";"Saint-Louis"},RANDBETWEEN(1,8))</f>
        <v>Kaolack</v>
      </c>
      <c r="E123" t="str" cm="1">
        <f t="array" aca="1" ref="E123" ca="1">INDEX({"Laptop";"Souris";"Clavier";"Ecran";"Casque";"Tablete";"Imprimante";"Disque dur"},RANDBETWEEN(1,8))</f>
        <v>Tablete</v>
      </c>
      <c r="F123">
        <f t="shared" ca="1" si="8"/>
        <v>3</v>
      </c>
      <c r="G123" t="str">
        <f t="shared" ca="1" si="9"/>
        <v>182279</v>
      </c>
    </row>
    <row r="124" spans="1:7" x14ac:dyDescent="0.45">
      <c r="A124" t="str">
        <f t="shared" si="5"/>
        <v>V0123</v>
      </c>
      <c r="B124" t="str">
        <f t="shared" ca="1" si="6"/>
        <v>17/09/2026</v>
      </c>
      <c r="C124" t="str">
        <f t="shared" ca="1" si="7"/>
        <v>Mariama Sow</v>
      </c>
      <c r="D124" t="str" cm="1">
        <f t="array" aca="1" ref="D124" ca="1">INDEX({"Dakar";"dakar";"DAKAR";"Dakar ";"Thiès";"TOUBA";"Kaolack";"Saint-Louis"},RANDBETWEEN(1,8))</f>
        <v>TOUBA</v>
      </c>
      <c r="E124" t="str" cm="1">
        <f t="array" aca="1" ref="E124" ca="1">INDEX({"Laptop";"Souris";"Clavier";"Ecran";"Casque";"Tablete";"Imprimante";"Disque dur"},RANDBETWEEN(1,8))</f>
        <v>Laptop</v>
      </c>
      <c r="F124" t="str">
        <f t="shared" ca="1" si="8"/>
        <v>3</v>
      </c>
      <c r="G124" t="str">
        <f t="shared" ca="1" si="9"/>
        <v>479033</v>
      </c>
    </row>
    <row r="125" spans="1:7" x14ac:dyDescent="0.45">
      <c r="A125" t="str">
        <f t="shared" si="5"/>
        <v>V0124</v>
      </c>
      <c r="B125" t="str">
        <f t="shared" ca="1" si="6"/>
        <v>06-09-26</v>
      </c>
      <c r="C125" t="str">
        <f t="shared" ca="1" si="7"/>
        <v>Mariama Sow</v>
      </c>
      <c r="D125" t="str" cm="1">
        <f t="array" aca="1" ref="D125" ca="1">INDEX({"Dakar";"dakar";"DAKAR";"Dakar ";"Thiès";"TOUBA";"Kaolack";"Saint-Louis"},RANDBETWEEN(1,8))</f>
        <v>TOUBA</v>
      </c>
      <c r="E125" t="str" cm="1">
        <f t="array" aca="1" ref="E125" ca="1">INDEX({"Laptop";"Souris";"Clavier";"Ecran";"Casque";"Tablete";"Imprimante";"Disque dur"},RANDBETWEEN(1,8))</f>
        <v>Imprimante</v>
      </c>
      <c r="F125">
        <f t="shared" ca="1" si="8"/>
        <v>4</v>
      </c>
      <c r="G125" t="str">
        <f t="shared" ca="1" si="9"/>
        <v>404023 €</v>
      </c>
    </row>
    <row r="126" spans="1:7" x14ac:dyDescent="0.45">
      <c r="A126" t="str">
        <f t="shared" si="5"/>
        <v>V0125</v>
      </c>
      <c r="B126" t="str">
        <f t="shared" ca="1" si="6"/>
        <v>10/09/2026</v>
      </c>
      <c r="C126" t="str">
        <f t="shared" ca="1" si="7"/>
        <v xml:space="preserve">Ousmane Ndiaye  </v>
      </c>
      <c r="D126" t="str" cm="1">
        <f t="array" aca="1" ref="D126" ca="1">INDEX({"Dakar";"dakar";"DAKAR";"Dakar ";"Thiès";"TOUBA";"Kaolack";"Saint-Louis"},RANDBETWEEN(1,8))</f>
        <v>dakar</v>
      </c>
      <c r="E126" t="str" cm="1">
        <f t="array" aca="1" ref="E126" ca="1">INDEX({"Laptop";"Souris";"Clavier";"Ecran";"Casque";"Tablete";"Imprimante";"Disque dur"},RANDBETWEEN(1,8))</f>
        <v>Imprimante</v>
      </c>
      <c r="F126">
        <f t="shared" ca="1" si="8"/>
        <v>2</v>
      </c>
      <c r="G126" t="str">
        <f t="shared" ca="1" si="9"/>
        <v>€151569</v>
      </c>
    </row>
    <row r="127" spans="1:7" x14ac:dyDescent="0.45">
      <c r="A127" t="str">
        <f t="shared" si="5"/>
        <v>V0126</v>
      </c>
      <c r="B127" t="str">
        <f t="shared" ca="1" si="6"/>
        <v>03/09/2026</v>
      </c>
      <c r="C127" t="str">
        <f t="shared" ca="1" si="7"/>
        <v>Abdoulaye Gueye</v>
      </c>
      <c r="D127" t="str" cm="1">
        <f t="array" aca="1" ref="D127" ca="1">INDEX({"Dakar";"dakar";"DAKAR";"Dakar ";"Thiès";"TOUBA";"Kaolack";"Saint-Louis"},RANDBETWEEN(1,8))</f>
        <v>Kaolack</v>
      </c>
      <c r="E127" t="str" cm="1">
        <f t="array" aca="1" ref="E127" ca="1">INDEX({"Laptop";"Souris";"Clavier";"Ecran";"Casque";"Tablete";"Imprimante";"Disque dur"},RANDBETWEEN(1,8))</f>
        <v>Disque dur</v>
      </c>
      <c r="F127">
        <f t="shared" ca="1" si="8"/>
        <v>9</v>
      </c>
      <c r="G127" t="str">
        <f t="shared" ca="1" si="9"/>
        <v>260303 €</v>
      </c>
    </row>
    <row r="128" spans="1:7" x14ac:dyDescent="0.45">
      <c r="A128" t="str">
        <f t="shared" si="5"/>
        <v>V0127</v>
      </c>
      <c r="B128" t="str">
        <f t="shared" ca="1" si="6"/>
        <v>2026-09-10</v>
      </c>
      <c r="C128" t="str">
        <f t="shared" ca="1" si="7"/>
        <v>Sokhna Diallo</v>
      </c>
      <c r="D128" t="str" cm="1">
        <f t="array" aca="1" ref="D128" ca="1">INDEX({"Dakar";"dakar";"DAKAR";"Dakar ";"Thiès";"TOUBA";"Kaolack";"Saint-Louis"},RANDBETWEEN(1,8))</f>
        <v xml:space="preserve">Dakar </v>
      </c>
      <c r="E128" t="str" cm="1">
        <f t="array" aca="1" ref="E128" ca="1">INDEX({"Laptop";"Souris";"Clavier";"Ecran";"Casque";"Tablete";"Imprimante";"Disque dur"},RANDBETWEEN(1,8))</f>
        <v>Disque dur</v>
      </c>
      <c r="F128">
        <f t="shared" ca="1" si="8"/>
        <v>3</v>
      </c>
      <c r="G128" t="str">
        <f t="shared" ca="1" si="9"/>
        <v>479291</v>
      </c>
    </row>
    <row r="129" spans="1:7" x14ac:dyDescent="0.45">
      <c r="A129" t="str">
        <f t="shared" si="5"/>
        <v>V0128</v>
      </c>
      <c r="B129" t="str">
        <f t="shared" ca="1" si="6"/>
        <v>28-09-26</v>
      </c>
      <c r="C129" t="str">
        <f t="shared" ca="1" si="7"/>
        <v>Awa Ndiaye</v>
      </c>
      <c r="D129" t="str" cm="1">
        <f t="array" aca="1" ref="D129" ca="1">INDEX({"Dakar";"dakar";"DAKAR";"Dakar ";"Thiès";"TOUBA";"Kaolack";"Saint-Louis"},RANDBETWEEN(1,8))</f>
        <v>Dakar</v>
      </c>
      <c r="E129" t="str" cm="1">
        <f t="array" aca="1" ref="E129" ca="1">INDEX({"Laptop";"Souris";"Clavier";"Ecran";"Casque";"Tablete";"Imprimante";"Disque dur"},RANDBETWEEN(1,8))</f>
        <v>Ecran</v>
      </c>
      <c r="F129">
        <f t="shared" ca="1" si="8"/>
        <v>1</v>
      </c>
      <c r="G129" t="str">
        <f t="shared" ca="1" si="9"/>
        <v>€262766</v>
      </c>
    </row>
    <row r="130" spans="1:7" x14ac:dyDescent="0.45">
      <c r="A130" t="str">
        <f t="shared" si="5"/>
        <v>V0129</v>
      </c>
      <c r="B130" t="str">
        <f t="shared" ca="1" si="6"/>
        <v>13-09-26</v>
      </c>
      <c r="C130" t="str">
        <f t="shared" ca="1" si="7"/>
        <v>Sokhna Diallo</v>
      </c>
      <c r="D130" t="str" cm="1">
        <f t="array" aca="1" ref="D130" ca="1">INDEX({"Dakar";"dakar";"DAKAR";"Dakar ";"Thiès";"TOUBA";"Kaolack";"Saint-Louis"},RANDBETWEEN(1,8))</f>
        <v>Thiès</v>
      </c>
      <c r="E130" t="str" cm="1">
        <f t="array" aca="1" ref="E130" ca="1">INDEX({"Laptop";"Souris";"Clavier";"Ecran";"Casque";"Tablete";"Imprimante";"Disque dur"},RANDBETWEEN(1,8))</f>
        <v>Casque</v>
      </c>
      <c r="F130">
        <f t="shared" ca="1" si="8"/>
        <v>9</v>
      </c>
      <c r="G130" t="str">
        <f t="shared" ca="1" si="9"/>
        <v>186980</v>
      </c>
    </row>
    <row r="131" spans="1:7" x14ac:dyDescent="0.45">
      <c r="A131" t="str">
        <f t="shared" ref="A131:A194" si="10">"V" &amp; TEXT(ROW()-1, "0000")</f>
        <v>V0130</v>
      </c>
      <c r="B131" t="str">
        <f t="shared" ref="B131:B194" ca="1" si="11">IF(RAND()&lt;0.3,
    TEXT(DATE(2026,9,RANDBETWEEN(1,30)),"jj/mm/aaaa"),
    IF(RAND()&lt;0.5,
        TEXT(DATE(2026,9,RANDBETWEEN(1,30)),"aaaa-mm-jj"),
        TEXT(DATE(2026,9,RANDBETWEEN(1,30)),"jj-mm-aa")
    )
)</f>
        <v>2026-09-29</v>
      </c>
      <c r="C131" t="str">
        <f t="shared" ref="C131:C194" ca="1" si="12">CHOOSE(RANDBETWEEN(1,8),"Awa Ndiaye","Mamadou Diop","Fatou Fall","  Cheikh Ba","Mariama Sow","Ousmane Ndiaye  ","Sokhna Diallo","Abdoulaye Gueye")</f>
        <v>Awa Ndiaye</v>
      </c>
      <c r="D131" t="str" cm="1">
        <f t="array" aca="1" ref="D131" ca="1">INDEX({"Dakar";"dakar";"DAKAR";"Dakar ";"Thiès";"TOUBA";"Kaolack";"Saint-Louis"},RANDBETWEEN(1,8))</f>
        <v>TOUBA</v>
      </c>
      <c r="E131" t="str" cm="1">
        <f t="array" aca="1" ref="E131" ca="1">INDEX({"Laptop";"Souris";"Clavier";"Ecran";"Casque";"Tablete";"Imprimante";"Disque dur"},RANDBETWEEN(1,8))</f>
        <v>Laptop</v>
      </c>
      <c r="F131">
        <f t="shared" ref="F131:F194" ca="1" si="13">IF(RAND()&lt;0.1, TEXT(RANDBETWEEN(1,10),"0"), RANDBETWEEN(1,10))</f>
        <v>9</v>
      </c>
      <c r="G131" t="str">
        <f t="shared" ref="G131:G194" ca="1" si="14">CHOOSE(RANDBETWEEN(1,4),
    TEXT(RANDBETWEEN(10000,500000),"0") &amp; " €",
    TEXT(RANDBETWEEN(10000,500000),"0") &amp; "€",
    TEXT(RANDBETWEEN(10000,500000),"0"),
    "€" &amp; TEXT(RANDBETWEEN(10000,500000),"0")
)</f>
        <v>419366 €</v>
      </c>
    </row>
    <row r="132" spans="1:7" x14ac:dyDescent="0.45">
      <c r="A132" t="str">
        <f t="shared" si="10"/>
        <v>V0131</v>
      </c>
      <c r="B132" t="str">
        <f t="shared" ca="1" si="11"/>
        <v>05-09-26</v>
      </c>
      <c r="C132" t="str">
        <f t="shared" ca="1" si="12"/>
        <v xml:space="preserve">  Cheikh Ba</v>
      </c>
      <c r="D132" t="str" cm="1">
        <f t="array" aca="1" ref="D132" ca="1">INDEX({"Dakar";"dakar";"DAKAR";"Dakar ";"Thiès";"TOUBA";"Kaolack";"Saint-Louis"},RANDBETWEEN(1,8))</f>
        <v>Dakar</v>
      </c>
      <c r="E132" t="str" cm="1">
        <f t="array" aca="1" ref="E132" ca="1">INDEX({"Laptop";"Souris";"Clavier";"Ecran";"Casque";"Tablete";"Imprimante";"Disque dur"},RANDBETWEEN(1,8))</f>
        <v>Souris</v>
      </c>
      <c r="F132">
        <f t="shared" ca="1" si="13"/>
        <v>2</v>
      </c>
      <c r="G132" t="str">
        <f t="shared" ca="1" si="14"/>
        <v>161350</v>
      </c>
    </row>
    <row r="133" spans="1:7" x14ac:dyDescent="0.45">
      <c r="A133" t="str">
        <f t="shared" si="10"/>
        <v>V0132</v>
      </c>
      <c r="B133" t="str">
        <f t="shared" ca="1" si="11"/>
        <v>29/09/2026</v>
      </c>
      <c r="C133" t="str">
        <f t="shared" ca="1" si="12"/>
        <v xml:space="preserve">  Cheikh Ba</v>
      </c>
      <c r="D133" t="str" cm="1">
        <f t="array" aca="1" ref="D133" ca="1">INDEX({"Dakar";"dakar";"DAKAR";"Dakar ";"Thiès";"TOUBA";"Kaolack";"Saint-Louis"},RANDBETWEEN(1,8))</f>
        <v>Thiès</v>
      </c>
      <c r="E133" t="str" cm="1">
        <f t="array" aca="1" ref="E133" ca="1">INDEX({"Laptop";"Souris";"Clavier";"Ecran";"Casque";"Tablete";"Imprimante";"Disque dur"},RANDBETWEEN(1,8))</f>
        <v>Clavier</v>
      </c>
      <c r="F133">
        <f t="shared" ca="1" si="13"/>
        <v>7</v>
      </c>
      <c r="G133" t="str">
        <f t="shared" ca="1" si="14"/>
        <v>188568 €</v>
      </c>
    </row>
    <row r="134" spans="1:7" x14ac:dyDescent="0.45">
      <c r="A134" t="str">
        <f t="shared" si="10"/>
        <v>V0133</v>
      </c>
      <c r="B134" t="str">
        <f t="shared" ca="1" si="11"/>
        <v>17/09/2026</v>
      </c>
      <c r="C134" t="str">
        <f t="shared" ca="1" si="12"/>
        <v>Mariama Sow</v>
      </c>
      <c r="D134" t="str" cm="1">
        <f t="array" aca="1" ref="D134" ca="1">INDEX({"Dakar";"dakar";"DAKAR";"Dakar ";"Thiès";"TOUBA";"Kaolack";"Saint-Louis"},RANDBETWEEN(1,8))</f>
        <v>Kaolack</v>
      </c>
      <c r="E134" t="str" cm="1">
        <f t="array" aca="1" ref="E134" ca="1">INDEX({"Laptop";"Souris";"Clavier";"Ecran";"Casque";"Tablete";"Imprimante";"Disque dur"},RANDBETWEEN(1,8))</f>
        <v>Casque</v>
      </c>
      <c r="F134">
        <f t="shared" ca="1" si="13"/>
        <v>1</v>
      </c>
      <c r="G134" t="str">
        <f t="shared" ca="1" si="14"/>
        <v>483683</v>
      </c>
    </row>
    <row r="135" spans="1:7" x14ac:dyDescent="0.45">
      <c r="A135" t="str">
        <f t="shared" si="10"/>
        <v>V0134</v>
      </c>
      <c r="B135" t="str">
        <f t="shared" ca="1" si="11"/>
        <v>22-09-26</v>
      </c>
      <c r="C135" t="str">
        <f t="shared" ca="1" si="12"/>
        <v>Fatou Fall</v>
      </c>
      <c r="D135" t="str" cm="1">
        <f t="array" aca="1" ref="D135" ca="1">INDEX({"Dakar";"dakar";"DAKAR";"Dakar ";"Thiès";"TOUBA";"Kaolack";"Saint-Louis"},RANDBETWEEN(1,8))</f>
        <v>Thiès</v>
      </c>
      <c r="E135" t="str" cm="1">
        <f t="array" aca="1" ref="E135" ca="1">INDEX({"Laptop";"Souris";"Clavier";"Ecran";"Casque";"Tablete";"Imprimante";"Disque dur"},RANDBETWEEN(1,8))</f>
        <v>Tablete</v>
      </c>
      <c r="F135">
        <f t="shared" ca="1" si="13"/>
        <v>3</v>
      </c>
      <c r="G135" t="str">
        <f t="shared" ca="1" si="14"/>
        <v>229348</v>
      </c>
    </row>
    <row r="136" spans="1:7" x14ac:dyDescent="0.45">
      <c r="A136" t="str">
        <f t="shared" si="10"/>
        <v>V0135</v>
      </c>
      <c r="B136" t="str">
        <f t="shared" ca="1" si="11"/>
        <v>25-09-26</v>
      </c>
      <c r="C136" t="str">
        <f t="shared" ca="1" si="12"/>
        <v xml:space="preserve">Ousmane Ndiaye  </v>
      </c>
      <c r="D136" t="str" cm="1">
        <f t="array" aca="1" ref="D136" ca="1">INDEX({"Dakar";"dakar";"DAKAR";"Dakar ";"Thiès";"TOUBA";"Kaolack";"Saint-Louis"},RANDBETWEEN(1,8))</f>
        <v>Thiès</v>
      </c>
      <c r="E136" t="str" cm="1">
        <f t="array" aca="1" ref="E136" ca="1">INDEX({"Laptop";"Souris";"Clavier";"Ecran";"Casque";"Tablete";"Imprimante";"Disque dur"},RANDBETWEEN(1,8))</f>
        <v>Tablete</v>
      </c>
      <c r="F136">
        <f t="shared" ca="1" si="13"/>
        <v>6</v>
      </c>
      <c r="G136" t="str">
        <f t="shared" ca="1" si="14"/>
        <v>€65146</v>
      </c>
    </row>
    <row r="137" spans="1:7" x14ac:dyDescent="0.45">
      <c r="A137" t="str">
        <f t="shared" si="10"/>
        <v>V0136</v>
      </c>
      <c r="B137" t="str">
        <f t="shared" ca="1" si="11"/>
        <v>23-09-26</v>
      </c>
      <c r="C137" t="str">
        <f t="shared" ca="1" si="12"/>
        <v>Mamadou Diop</v>
      </c>
      <c r="D137" t="str" cm="1">
        <f t="array" aca="1" ref="D137" ca="1">INDEX({"Dakar";"dakar";"DAKAR";"Dakar ";"Thiès";"TOUBA";"Kaolack";"Saint-Louis"},RANDBETWEEN(1,8))</f>
        <v>Thiès</v>
      </c>
      <c r="E137" t="str" cm="1">
        <f t="array" aca="1" ref="E137" ca="1">INDEX({"Laptop";"Souris";"Clavier";"Ecran";"Casque";"Tablete";"Imprimante";"Disque dur"},RANDBETWEEN(1,8))</f>
        <v>Tablete</v>
      </c>
      <c r="F137">
        <f t="shared" ca="1" si="13"/>
        <v>4</v>
      </c>
      <c r="G137" t="str">
        <f t="shared" ca="1" si="14"/>
        <v>348743</v>
      </c>
    </row>
    <row r="138" spans="1:7" x14ac:dyDescent="0.45">
      <c r="A138" t="str">
        <f t="shared" si="10"/>
        <v>V0137</v>
      </c>
      <c r="B138" t="str">
        <f t="shared" ca="1" si="11"/>
        <v>2026-09-03</v>
      </c>
      <c r="C138" t="str">
        <f t="shared" ca="1" si="12"/>
        <v>Abdoulaye Gueye</v>
      </c>
      <c r="D138" t="str" cm="1">
        <f t="array" aca="1" ref="D138" ca="1">INDEX({"Dakar";"dakar";"DAKAR";"Dakar ";"Thiès";"TOUBA";"Kaolack";"Saint-Louis"},RANDBETWEEN(1,8))</f>
        <v>Kaolack</v>
      </c>
      <c r="E138" t="str" cm="1">
        <f t="array" aca="1" ref="E138" ca="1">INDEX({"Laptop";"Souris";"Clavier";"Ecran";"Casque";"Tablete";"Imprimante";"Disque dur"},RANDBETWEEN(1,8))</f>
        <v>Disque dur</v>
      </c>
      <c r="F138">
        <f t="shared" ca="1" si="13"/>
        <v>5</v>
      </c>
      <c r="G138" t="str">
        <f t="shared" ca="1" si="14"/>
        <v>390312</v>
      </c>
    </row>
    <row r="139" spans="1:7" x14ac:dyDescent="0.45">
      <c r="A139" t="str">
        <f t="shared" si="10"/>
        <v>V0138</v>
      </c>
      <c r="B139" t="str">
        <f t="shared" ca="1" si="11"/>
        <v>17/09/2026</v>
      </c>
      <c r="C139" t="str">
        <f t="shared" ca="1" si="12"/>
        <v>Sokhna Diallo</v>
      </c>
      <c r="D139" t="str" cm="1">
        <f t="array" aca="1" ref="D139" ca="1">INDEX({"Dakar";"dakar";"DAKAR";"Dakar ";"Thiès";"TOUBA";"Kaolack";"Saint-Louis"},RANDBETWEEN(1,8))</f>
        <v>DAKAR</v>
      </c>
      <c r="E139" t="str" cm="1">
        <f t="array" aca="1" ref="E139" ca="1">INDEX({"Laptop";"Souris";"Clavier";"Ecran";"Casque";"Tablete";"Imprimante";"Disque dur"},RANDBETWEEN(1,8))</f>
        <v>Disque dur</v>
      </c>
      <c r="F139">
        <f t="shared" ca="1" si="13"/>
        <v>10</v>
      </c>
      <c r="G139" t="str">
        <f t="shared" ca="1" si="14"/>
        <v>426833 €</v>
      </c>
    </row>
    <row r="140" spans="1:7" x14ac:dyDescent="0.45">
      <c r="A140" t="str">
        <f t="shared" si="10"/>
        <v>V0139</v>
      </c>
      <c r="B140" t="str">
        <f t="shared" ca="1" si="11"/>
        <v>2026-09-19</v>
      </c>
      <c r="C140" t="str">
        <f t="shared" ca="1" si="12"/>
        <v>Awa Ndiaye</v>
      </c>
      <c r="D140" t="str" cm="1">
        <f t="array" aca="1" ref="D140" ca="1">INDEX({"Dakar";"dakar";"DAKAR";"Dakar ";"Thiès";"TOUBA";"Kaolack";"Saint-Louis"},RANDBETWEEN(1,8))</f>
        <v>Saint-Louis</v>
      </c>
      <c r="E140" t="str" cm="1">
        <f t="array" aca="1" ref="E140" ca="1">INDEX({"Laptop";"Souris";"Clavier";"Ecran";"Casque";"Tablete";"Imprimante";"Disque dur"},RANDBETWEEN(1,8))</f>
        <v>Souris</v>
      </c>
      <c r="F140">
        <f t="shared" ca="1" si="13"/>
        <v>8</v>
      </c>
      <c r="G140" t="str">
        <f t="shared" ca="1" si="14"/>
        <v>177719</v>
      </c>
    </row>
    <row r="141" spans="1:7" x14ac:dyDescent="0.45">
      <c r="A141" t="str">
        <f t="shared" si="10"/>
        <v>V0140</v>
      </c>
      <c r="B141" t="str">
        <f t="shared" ca="1" si="11"/>
        <v>03-09-26</v>
      </c>
      <c r="C141" t="str">
        <f t="shared" ca="1" si="12"/>
        <v>Sokhna Diallo</v>
      </c>
      <c r="D141" t="str" cm="1">
        <f t="array" aca="1" ref="D141" ca="1">INDEX({"Dakar";"dakar";"DAKAR";"Dakar ";"Thiès";"TOUBA";"Kaolack";"Saint-Louis"},RANDBETWEEN(1,8))</f>
        <v>TOUBA</v>
      </c>
      <c r="E141" t="str" cm="1">
        <f t="array" aca="1" ref="E141" ca="1">INDEX({"Laptop";"Souris";"Clavier";"Ecran";"Casque";"Tablete";"Imprimante";"Disque dur"},RANDBETWEEN(1,8))</f>
        <v>Casque</v>
      </c>
      <c r="F141">
        <f t="shared" ca="1" si="13"/>
        <v>9</v>
      </c>
      <c r="G141" t="str">
        <f t="shared" ca="1" si="14"/>
        <v>€162291</v>
      </c>
    </row>
    <row r="142" spans="1:7" x14ac:dyDescent="0.45">
      <c r="A142" t="str">
        <f t="shared" si="10"/>
        <v>V0141</v>
      </c>
      <c r="B142" t="str">
        <f t="shared" ca="1" si="11"/>
        <v>05-09-26</v>
      </c>
      <c r="C142" t="str">
        <f t="shared" ca="1" si="12"/>
        <v>Mamadou Diop</v>
      </c>
      <c r="D142" t="str" cm="1">
        <f t="array" aca="1" ref="D142" ca="1">INDEX({"Dakar";"dakar";"DAKAR";"Dakar ";"Thiès";"TOUBA";"Kaolack";"Saint-Louis"},RANDBETWEEN(1,8))</f>
        <v>Saint-Louis</v>
      </c>
      <c r="E142" t="str" cm="1">
        <f t="array" aca="1" ref="E142" ca="1">INDEX({"Laptop";"Souris";"Clavier";"Ecran";"Casque";"Tablete";"Imprimante";"Disque dur"},RANDBETWEEN(1,8))</f>
        <v>Imprimante</v>
      </c>
      <c r="F142">
        <f t="shared" ca="1" si="13"/>
        <v>1</v>
      </c>
      <c r="G142" t="str">
        <f t="shared" ca="1" si="14"/>
        <v>438866</v>
      </c>
    </row>
    <row r="143" spans="1:7" x14ac:dyDescent="0.45">
      <c r="A143" t="str">
        <f t="shared" si="10"/>
        <v>V0142</v>
      </c>
      <c r="B143" t="str">
        <f t="shared" ca="1" si="11"/>
        <v>06/09/2026</v>
      </c>
      <c r="C143" t="str">
        <f t="shared" ca="1" si="12"/>
        <v>Mamadou Diop</v>
      </c>
      <c r="D143" t="str" cm="1">
        <f t="array" aca="1" ref="D143" ca="1">INDEX({"Dakar";"dakar";"DAKAR";"Dakar ";"Thiès";"TOUBA";"Kaolack";"Saint-Louis"},RANDBETWEEN(1,8))</f>
        <v>Thiès</v>
      </c>
      <c r="E143" t="str" cm="1">
        <f t="array" aca="1" ref="E143" ca="1">INDEX({"Laptop";"Souris";"Clavier";"Ecran";"Casque";"Tablete";"Imprimante";"Disque dur"},RANDBETWEEN(1,8))</f>
        <v>Ecran</v>
      </c>
      <c r="F143">
        <f t="shared" ca="1" si="13"/>
        <v>10</v>
      </c>
      <c r="G143" t="str">
        <f t="shared" ca="1" si="14"/>
        <v>330352€</v>
      </c>
    </row>
    <row r="144" spans="1:7" x14ac:dyDescent="0.45">
      <c r="A144" t="str">
        <f t="shared" si="10"/>
        <v>V0143</v>
      </c>
      <c r="B144" t="str">
        <f t="shared" ca="1" si="11"/>
        <v>20/09/2026</v>
      </c>
      <c r="C144" t="str">
        <f t="shared" ca="1" si="12"/>
        <v xml:space="preserve">Ousmane Ndiaye  </v>
      </c>
      <c r="D144" t="str" cm="1">
        <f t="array" aca="1" ref="D144" ca="1">INDEX({"Dakar";"dakar";"DAKAR";"Dakar ";"Thiès";"TOUBA";"Kaolack";"Saint-Louis"},RANDBETWEEN(1,8))</f>
        <v>TOUBA</v>
      </c>
      <c r="E144" t="str" cm="1">
        <f t="array" aca="1" ref="E144" ca="1">INDEX({"Laptop";"Souris";"Clavier";"Ecran";"Casque";"Tablete";"Imprimante";"Disque dur"},RANDBETWEEN(1,8))</f>
        <v>Casque</v>
      </c>
      <c r="F144">
        <f t="shared" ca="1" si="13"/>
        <v>3</v>
      </c>
      <c r="G144" t="str">
        <f t="shared" ca="1" si="14"/>
        <v>€310837</v>
      </c>
    </row>
    <row r="145" spans="1:7" x14ac:dyDescent="0.45">
      <c r="A145" t="str">
        <f t="shared" si="10"/>
        <v>V0144</v>
      </c>
      <c r="B145" t="str">
        <f t="shared" ca="1" si="11"/>
        <v>12/09/2026</v>
      </c>
      <c r="C145" t="str">
        <f t="shared" ca="1" si="12"/>
        <v xml:space="preserve">Ousmane Ndiaye  </v>
      </c>
      <c r="D145" t="str" cm="1">
        <f t="array" aca="1" ref="D145" ca="1">INDEX({"Dakar";"dakar";"DAKAR";"Dakar ";"Thiès";"TOUBA";"Kaolack";"Saint-Louis"},RANDBETWEEN(1,8))</f>
        <v>TOUBA</v>
      </c>
      <c r="E145" t="str" cm="1">
        <f t="array" aca="1" ref="E145" ca="1">INDEX({"Laptop";"Souris";"Clavier";"Ecran";"Casque";"Tablete";"Imprimante";"Disque dur"},RANDBETWEEN(1,8))</f>
        <v>Casque</v>
      </c>
      <c r="F145">
        <f t="shared" ca="1" si="13"/>
        <v>10</v>
      </c>
      <c r="G145" t="str">
        <f t="shared" ca="1" si="14"/>
        <v>31715€</v>
      </c>
    </row>
    <row r="146" spans="1:7" x14ac:dyDescent="0.45">
      <c r="A146" t="str">
        <f t="shared" si="10"/>
        <v>V0145</v>
      </c>
      <c r="B146" t="str">
        <f t="shared" ca="1" si="11"/>
        <v>2026-09-20</v>
      </c>
      <c r="C146" t="str">
        <f t="shared" ca="1" si="12"/>
        <v>Fatou Fall</v>
      </c>
      <c r="D146" t="str" cm="1">
        <f t="array" aca="1" ref="D146" ca="1">INDEX({"Dakar";"dakar";"DAKAR";"Dakar ";"Thiès";"TOUBA";"Kaolack";"Saint-Louis"},RANDBETWEEN(1,8))</f>
        <v xml:space="preserve">Dakar </v>
      </c>
      <c r="E146" t="str" cm="1">
        <f t="array" aca="1" ref="E146" ca="1">INDEX({"Laptop";"Souris";"Clavier";"Ecran";"Casque";"Tablete";"Imprimante";"Disque dur"},RANDBETWEEN(1,8))</f>
        <v>Ecran</v>
      </c>
      <c r="F146">
        <f t="shared" ca="1" si="13"/>
        <v>7</v>
      </c>
      <c r="G146" t="str">
        <f t="shared" ca="1" si="14"/>
        <v>€78313</v>
      </c>
    </row>
    <row r="147" spans="1:7" x14ac:dyDescent="0.45">
      <c r="A147" t="str">
        <f t="shared" si="10"/>
        <v>V0146</v>
      </c>
      <c r="B147" t="str">
        <f t="shared" ca="1" si="11"/>
        <v>14/09/2026</v>
      </c>
      <c r="C147" t="str">
        <f t="shared" ca="1" si="12"/>
        <v>Mariama Sow</v>
      </c>
      <c r="D147" t="str" cm="1">
        <f t="array" aca="1" ref="D147" ca="1">INDEX({"Dakar";"dakar";"DAKAR";"Dakar ";"Thiès";"TOUBA";"Kaolack";"Saint-Louis"},RANDBETWEEN(1,8))</f>
        <v>DAKAR</v>
      </c>
      <c r="E147" t="str" cm="1">
        <f t="array" aca="1" ref="E147" ca="1">INDEX({"Laptop";"Souris";"Clavier";"Ecran";"Casque";"Tablete";"Imprimante";"Disque dur"},RANDBETWEEN(1,8))</f>
        <v>Laptop</v>
      </c>
      <c r="F147" t="str">
        <f t="shared" ca="1" si="13"/>
        <v>10</v>
      </c>
      <c r="G147" t="str">
        <f t="shared" ca="1" si="14"/>
        <v>125498 €</v>
      </c>
    </row>
    <row r="148" spans="1:7" x14ac:dyDescent="0.45">
      <c r="A148" t="str">
        <f t="shared" si="10"/>
        <v>V0147</v>
      </c>
      <c r="B148" t="str">
        <f t="shared" ca="1" si="11"/>
        <v>2026-09-22</v>
      </c>
      <c r="C148" t="str">
        <f t="shared" ca="1" si="12"/>
        <v xml:space="preserve">Ousmane Ndiaye  </v>
      </c>
      <c r="D148" t="str" cm="1">
        <f t="array" aca="1" ref="D148" ca="1">INDEX({"Dakar";"dakar";"DAKAR";"Dakar ";"Thiès";"TOUBA";"Kaolack";"Saint-Louis"},RANDBETWEEN(1,8))</f>
        <v xml:space="preserve">Dakar </v>
      </c>
      <c r="E148" t="str" cm="1">
        <f t="array" aca="1" ref="E148" ca="1">INDEX({"Laptop";"Souris";"Clavier";"Ecran";"Casque";"Tablete";"Imprimante";"Disque dur"},RANDBETWEEN(1,8))</f>
        <v>Casque</v>
      </c>
      <c r="F148">
        <f t="shared" ca="1" si="13"/>
        <v>7</v>
      </c>
      <c r="G148" t="str">
        <f t="shared" ca="1" si="14"/>
        <v>42206€</v>
      </c>
    </row>
    <row r="149" spans="1:7" x14ac:dyDescent="0.45">
      <c r="A149" t="str">
        <f t="shared" si="10"/>
        <v>V0148</v>
      </c>
      <c r="B149" t="str">
        <f t="shared" ca="1" si="11"/>
        <v>15-09-26</v>
      </c>
      <c r="C149" t="str">
        <f t="shared" ca="1" si="12"/>
        <v>Fatou Fall</v>
      </c>
      <c r="D149" t="str" cm="1">
        <f t="array" aca="1" ref="D149" ca="1">INDEX({"Dakar";"dakar";"DAKAR";"Dakar ";"Thiès";"TOUBA";"Kaolack";"Saint-Louis"},RANDBETWEEN(1,8))</f>
        <v>DAKAR</v>
      </c>
      <c r="E149" t="str" cm="1">
        <f t="array" aca="1" ref="E149" ca="1">INDEX({"Laptop";"Souris";"Clavier";"Ecran";"Casque";"Tablete";"Imprimante";"Disque dur"},RANDBETWEEN(1,8))</f>
        <v>Disque dur</v>
      </c>
      <c r="F149" t="str">
        <f t="shared" ca="1" si="13"/>
        <v>2</v>
      </c>
      <c r="G149" t="str">
        <f t="shared" ca="1" si="14"/>
        <v>€28675</v>
      </c>
    </row>
    <row r="150" spans="1:7" x14ac:dyDescent="0.45">
      <c r="A150" t="str">
        <f t="shared" si="10"/>
        <v>V0149</v>
      </c>
      <c r="B150" t="str">
        <f t="shared" ca="1" si="11"/>
        <v>2026-09-28</v>
      </c>
      <c r="C150" t="str">
        <f t="shared" ca="1" si="12"/>
        <v>Sokhna Diallo</v>
      </c>
      <c r="D150" t="str" cm="1">
        <f t="array" aca="1" ref="D150" ca="1">INDEX({"Dakar";"dakar";"DAKAR";"Dakar ";"Thiès";"TOUBA";"Kaolack";"Saint-Louis"},RANDBETWEEN(1,8))</f>
        <v>dakar</v>
      </c>
      <c r="E150" t="str" cm="1">
        <f t="array" aca="1" ref="E150" ca="1">INDEX({"Laptop";"Souris";"Clavier";"Ecran";"Casque";"Tablete";"Imprimante";"Disque dur"},RANDBETWEEN(1,8))</f>
        <v>Laptop</v>
      </c>
      <c r="F150">
        <f t="shared" ca="1" si="13"/>
        <v>4</v>
      </c>
      <c r="G150" t="str">
        <f t="shared" ca="1" si="14"/>
        <v>195295€</v>
      </c>
    </row>
    <row r="151" spans="1:7" x14ac:dyDescent="0.45">
      <c r="A151" t="str">
        <f t="shared" si="10"/>
        <v>V0150</v>
      </c>
      <c r="B151" t="str">
        <f t="shared" ca="1" si="11"/>
        <v>04-09-26</v>
      </c>
      <c r="C151" t="str">
        <f t="shared" ca="1" si="12"/>
        <v>Sokhna Diallo</v>
      </c>
      <c r="D151" t="str" cm="1">
        <f t="array" aca="1" ref="D151" ca="1">INDEX({"Dakar";"dakar";"DAKAR";"Dakar ";"Thiès";"TOUBA";"Kaolack";"Saint-Louis"},RANDBETWEEN(1,8))</f>
        <v>Kaolack</v>
      </c>
      <c r="E151" t="str" cm="1">
        <f t="array" aca="1" ref="E151" ca="1">INDEX({"Laptop";"Souris";"Clavier";"Ecran";"Casque";"Tablete";"Imprimante";"Disque dur"},RANDBETWEEN(1,8))</f>
        <v>Disque dur</v>
      </c>
      <c r="F151">
        <f t="shared" ca="1" si="13"/>
        <v>7</v>
      </c>
      <c r="G151" t="str">
        <f t="shared" ca="1" si="14"/>
        <v>471508 €</v>
      </c>
    </row>
    <row r="152" spans="1:7" x14ac:dyDescent="0.45">
      <c r="A152" t="str">
        <f t="shared" si="10"/>
        <v>V0151</v>
      </c>
      <c r="B152" t="str">
        <f t="shared" ca="1" si="11"/>
        <v>04/09/2026</v>
      </c>
      <c r="C152" t="str">
        <f t="shared" ca="1" si="12"/>
        <v xml:space="preserve">  Cheikh Ba</v>
      </c>
      <c r="D152" t="str" cm="1">
        <f t="array" aca="1" ref="D152" ca="1">INDEX({"Dakar";"dakar";"DAKAR";"Dakar ";"Thiès";"TOUBA";"Kaolack";"Saint-Louis"},RANDBETWEEN(1,8))</f>
        <v>Thiès</v>
      </c>
      <c r="E152" t="str" cm="1">
        <f t="array" aca="1" ref="E152" ca="1">INDEX({"Laptop";"Souris";"Clavier";"Ecran";"Casque";"Tablete";"Imprimante";"Disque dur"},RANDBETWEEN(1,8))</f>
        <v>Ecran</v>
      </c>
      <c r="F152">
        <f t="shared" ca="1" si="13"/>
        <v>7</v>
      </c>
      <c r="G152" t="str">
        <f t="shared" ca="1" si="14"/>
        <v>€469124</v>
      </c>
    </row>
    <row r="153" spans="1:7" x14ac:dyDescent="0.45">
      <c r="A153" t="str">
        <f t="shared" si="10"/>
        <v>V0152</v>
      </c>
      <c r="B153" t="str">
        <f t="shared" ca="1" si="11"/>
        <v>2026-09-29</v>
      </c>
      <c r="C153" t="str">
        <f t="shared" ca="1" si="12"/>
        <v>Fatou Fall</v>
      </c>
      <c r="D153" t="str" cm="1">
        <f t="array" aca="1" ref="D153" ca="1">INDEX({"Dakar";"dakar";"DAKAR";"Dakar ";"Thiès";"TOUBA";"Kaolack";"Saint-Louis"},RANDBETWEEN(1,8))</f>
        <v>DAKAR</v>
      </c>
      <c r="E153" t="str" cm="1">
        <f t="array" aca="1" ref="E153" ca="1">INDEX({"Laptop";"Souris";"Clavier";"Ecran";"Casque";"Tablete";"Imprimante";"Disque dur"},RANDBETWEEN(1,8))</f>
        <v>Casque</v>
      </c>
      <c r="F153" t="str">
        <f t="shared" ca="1" si="13"/>
        <v>2</v>
      </c>
      <c r="G153" t="str">
        <f t="shared" ca="1" si="14"/>
        <v>€300176</v>
      </c>
    </row>
    <row r="154" spans="1:7" x14ac:dyDescent="0.45">
      <c r="A154" t="str">
        <f t="shared" si="10"/>
        <v>V0153</v>
      </c>
      <c r="B154" t="str">
        <f t="shared" ca="1" si="11"/>
        <v>07-09-26</v>
      </c>
      <c r="C154" t="str">
        <f t="shared" ca="1" si="12"/>
        <v>Mariama Sow</v>
      </c>
      <c r="D154" t="str" cm="1">
        <f t="array" aca="1" ref="D154" ca="1">INDEX({"Dakar";"dakar";"DAKAR";"Dakar ";"Thiès";"TOUBA";"Kaolack";"Saint-Louis"},RANDBETWEEN(1,8))</f>
        <v>dakar</v>
      </c>
      <c r="E154" t="str" cm="1">
        <f t="array" aca="1" ref="E154" ca="1">INDEX({"Laptop";"Souris";"Clavier";"Ecran";"Casque";"Tablete";"Imprimante";"Disque dur"},RANDBETWEEN(1,8))</f>
        <v>Casque</v>
      </c>
      <c r="F154">
        <f t="shared" ca="1" si="13"/>
        <v>10</v>
      </c>
      <c r="G154" t="str">
        <f t="shared" ca="1" si="14"/>
        <v>€189430</v>
      </c>
    </row>
    <row r="155" spans="1:7" x14ac:dyDescent="0.45">
      <c r="A155" t="str">
        <f t="shared" si="10"/>
        <v>V0154</v>
      </c>
      <c r="B155" t="str">
        <f t="shared" ca="1" si="11"/>
        <v>08/09/2026</v>
      </c>
      <c r="C155" t="str">
        <f t="shared" ca="1" si="12"/>
        <v>Awa Ndiaye</v>
      </c>
      <c r="D155" t="str" cm="1">
        <f t="array" aca="1" ref="D155" ca="1">INDEX({"Dakar";"dakar";"DAKAR";"Dakar ";"Thiès";"TOUBA";"Kaolack";"Saint-Louis"},RANDBETWEEN(1,8))</f>
        <v>TOUBA</v>
      </c>
      <c r="E155" t="str" cm="1">
        <f t="array" aca="1" ref="E155" ca="1">INDEX({"Laptop";"Souris";"Clavier";"Ecran";"Casque";"Tablete";"Imprimante";"Disque dur"},RANDBETWEEN(1,8))</f>
        <v>Laptop</v>
      </c>
      <c r="F155">
        <f t="shared" ca="1" si="13"/>
        <v>7</v>
      </c>
      <c r="G155" t="str">
        <f t="shared" ca="1" si="14"/>
        <v>312221</v>
      </c>
    </row>
    <row r="156" spans="1:7" x14ac:dyDescent="0.45">
      <c r="A156" t="str">
        <f t="shared" si="10"/>
        <v>V0155</v>
      </c>
      <c r="B156" t="str">
        <f t="shared" ca="1" si="11"/>
        <v>15-09-26</v>
      </c>
      <c r="C156" t="str">
        <f t="shared" ca="1" si="12"/>
        <v>Fatou Fall</v>
      </c>
      <c r="D156" t="str" cm="1">
        <f t="array" aca="1" ref="D156" ca="1">INDEX({"Dakar";"dakar";"DAKAR";"Dakar ";"Thiès";"TOUBA";"Kaolack";"Saint-Louis"},RANDBETWEEN(1,8))</f>
        <v>dakar</v>
      </c>
      <c r="E156" t="str" cm="1">
        <f t="array" aca="1" ref="E156" ca="1">INDEX({"Laptop";"Souris";"Clavier";"Ecran";"Casque";"Tablete";"Imprimante";"Disque dur"},RANDBETWEEN(1,8))</f>
        <v>Laptop</v>
      </c>
      <c r="F156">
        <f t="shared" ca="1" si="13"/>
        <v>2</v>
      </c>
      <c r="G156" t="str">
        <f t="shared" ca="1" si="14"/>
        <v>293573</v>
      </c>
    </row>
    <row r="157" spans="1:7" x14ac:dyDescent="0.45">
      <c r="A157" t="str">
        <f t="shared" si="10"/>
        <v>V0156</v>
      </c>
      <c r="B157" t="str">
        <f t="shared" ca="1" si="11"/>
        <v>19/09/2026</v>
      </c>
      <c r="C157" t="str">
        <f t="shared" ca="1" si="12"/>
        <v xml:space="preserve">Ousmane Ndiaye  </v>
      </c>
      <c r="D157" t="str" cm="1">
        <f t="array" aca="1" ref="D157" ca="1">INDEX({"Dakar";"dakar";"DAKAR";"Dakar ";"Thiès";"TOUBA";"Kaolack";"Saint-Louis"},RANDBETWEEN(1,8))</f>
        <v xml:space="preserve">Dakar </v>
      </c>
      <c r="E157" t="str" cm="1">
        <f t="array" aca="1" ref="E157" ca="1">INDEX({"Laptop";"Souris";"Clavier";"Ecran";"Casque";"Tablete";"Imprimante";"Disque dur"},RANDBETWEEN(1,8))</f>
        <v>Souris</v>
      </c>
      <c r="F157">
        <f t="shared" ca="1" si="13"/>
        <v>4</v>
      </c>
      <c r="G157" t="str">
        <f t="shared" ca="1" si="14"/>
        <v>145066€</v>
      </c>
    </row>
    <row r="158" spans="1:7" x14ac:dyDescent="0.45">
      <c r="A158" t="str">
        <f t="shared" si="10"/>
        <v>V0157</v>
      </c>
      <c r="B158" t="str">
        <f t="shared" ca="1" si="11"/>
        <v>21/09/2026</v>
      </c>
      <c r="C158" t="str">
        <f t="shared" ca="1" si="12"/>
        <v xml:space="preserve">  Cheikh Ba</v>
      </c>
      <c r="D158" t="str" cm="1">
        <f t="array" aca="1" ref="D158" ca="1">INDEX({"Dakar";"dakar";"DAKAR";"Dakar ";"Thiès";"TOUBA";"Kaolack";"Saint-Louis"},RANDBETWEEN(1,8))</f>
        <v>Kaolack</v>
      </c>
      <c r="E158" t="str" cm="1">
        <f t="array" aca="1" ref="E158" ca="1">INDEX({"Laptop";"Souris";"Clavier";"Ecran";"Casque";"Tablete";"Imprimante";"Disque dur"},RANDBETWEEN(1,8))</f>
        <v>Imprimante</v>
      </c>
      <c r="F158">
        <f t="shared" ca="1" si="13"/>
        <v>9</v>
      </c>
      <c r="G158" t="str">
        <f t="shared" ca="1" si="14"/>
        <v>223406€</v>
      </c>
    </row>
    <row r="159" spans="1:7" x14ac:dyDescent="0.45">
      <c r="A159" t="str">
        <f t="shared" si="10"/>
        <v>V0158</v>
      </c>
      <c r="B159" t="str">
        <f t="shared" ca="1" si="11"/>
        <v>2026-09-07</v>
      </c>
      <c r="C159" t="str">
        <f t="shared" ca="1" si="12"/>
        <v xml:space="preserve">  Cheikh Ba</v>
      </c>
      <c r="D159" t="str" cm="1">
        <f t="array" aca="1" ref="D159" ca="1">INDEX({"Dakar";"dakar";"DAKAR";"Dakar ";"Thiès";"TOUBA";"Kaolack";"Saint-Louis"},RANDBETWEEN(1,8))</f>
        <v>Dakar</v>
      </c>
      <c r="E159" t="str" cm="1">
        <f t="array" aca="1" ref="E159" ca="1">INDEX({"Laptop";"Souris";"Clavier";"Ecran";"Casque";"Tablete";"Imprimante";"Disque dur"},RANDBETWEEN(1,8))</f>
        <v>Casque</v>
      </c>
      <c r="F159">
        <f t="shared" ca="1" si="13"/>
        <v>2</v>
      </c>
      <c r="G159" t="str">
        <f t="shared" ca="1" si="14"/>
        <v>451584 €</v>
      </c>
    </row>
    <row r="160" spans="1:7" x14ac:dyDescent="0.45">
      <c r="A160" t="str">
        <f t="shared" si="10"/>
        <v>V0159</v>
      </c>
      <c r="B160" t="str">
        <f t="shared" ca="1" si="11"/>
        <v>10-09-26</v>
      </c>
      <c r="C160" t="str">
        <f t="shared" ca="1" si="12"/>
        <v xml:space="preserve">  Cheikh Ba</v>
      </c>
      <c r="D160" t="str" cm="1">
        <f t="array" aca="1" ref="D160" ca="1">INDEX({"Dakar";"dakar";"DAKAR";"Dakar ";"Thiès";"TOUBA";"Kaolack";"Saint-Louis"},RANDBETWEEN(1,8))</f>
        <v>dakar</v>
      </c>
      <c r="E160" t="str" cm="1">
        <f t="array" aca="1" ref="E160" ca="1">INDEX({"Laptop";"Souris";"Clavier";"Ecran";"Casque";"Tablete";"Imprimante";"Disque dur"},RANDBETWEEN(1,8))</f>
        <v>Imprimante</v>
      </c>
      <c r="F160">
        <f t="shared" ca="1" si="13"/>
        <v>2</v>
      </c>
      <c r="G160" t="str">
        <f t="shared" ca="1" si="14"/>
        <v>118435€</v>
      </c>
    </row>
    <row r="161" spans="1:7" x14ac:dyDescent="0.45">
      <c r="A161" t="str">
        <f t="shared" si="10"/>
        <v>V0160</v>
      </c>
      <c r="B161" t="str">
        <f t="shared" ca="1" si="11"/>
        <v>2026-09-29</v>
      </c>
      <c r="C161" t="str">
        <f t="shared" ca="1" si="12"/>
        <v>Abdoulaye Gueye</v>
      </c>
      <c r="D161" t="str" cm="1">
        <f t="array" aca="1" ref="D161" ca="1">INDEX({"Dakar";"dakar";"DAKAR";"Dakar ";"Thiès";"TOUBA";"Kaolack";"Saint-Louis"},RANDBETWEEN(1,8))</f>
        <v>Saint-Louis</v>
      </c>
      <c r="E161" t="str" cm="1">
        <f t="array" aca="1" ref="E161" ca="1">INDEX({"Laptop";"Souris";"Clavier";"Ecran";"Casque";"Tablete";"Imprimante";"Disque dur"},RANDBETWEEN(1,8))</f>
        <v>Clavier</v>
      </c>
      <c r="F161">
        <f t="shared" ca="1" si="13"/>
        <v>5</v>
      </c>
      <c r="G161" t="str">
        <f t="shared" ca="1" si="14"/>
        <v>€194088</v>
      </c>
    </row>
    <row r="162" spans="1:7" x14ac:dyDescent="0.45">
      <c r="A162" t="str">
        <f t="shared" si="10"/>
        <v>V0161</v>
      </c>
      <c r="B162" t="str">
        <f t="shared" ca="1" si="11"/>
        <v>23/09/2026</v>
      </c>
      <c r="C162" t="str">
        <f t="shared" ca="1" si="12"/>
        <v xml:space="preserve">  Cheikh Ba</v>
      </c>
      <c r="D162" t="str" cm="1">
        <f t="array" aca="1" ref="D162" ca="1">INDEX({"Dakar";"dakar";"DAKAR";"Dakar ";"Thiès";"TOUBA";"Kaolack";"Saint-Louis"},RANDBETWEEN(1,8))</f>
        <v>Thiès</v>
      </c>
      <c r="E162" t="str" cm="1">
        <f t="array" aca="1" ref="E162" ca="1">INDEX({"Laptop";"Souris";"Clavier";"Ecran";"Casque";"Tablete";"Imprimante";"Disque dur"},RANDBETWEEN(1,8))</f>
        <v>Disque dur</v>
      </c>
      <c r="F162">
        <f t="shared" ca="1" si="13"/>
        <v>3</v>
      </c>
      <c r="G162" t="str">
        <f t="shared" ca="1" si="14"/>
        <v>407453</v>
      </c>
    </row>
    <row r="163" spans="1:7" x14ac:dyDescent="0.45">
      <c r="A163" t="str">
        <f t="shared" si="10"/>
        <v>V0162</v>
      </c>
      <c r="B163" t="str">
        <f t="shared" ca="1" si="11"/>
        <v>30-09-26</v>
      </c>
      <c r="C163" t="str">
        <f t="shared" ca="1" si="12"/>
        <v xml:space="preserve">Ousmane Ndiaye  </v>
      </c>
      <c r="D163" t="str" cm="1">
        <f t="array" aca="1" ref="D163" ca="1">INDEX({"Dakar";"dakar";"DAKAR";"Dakar ";"Thiès";"TOUBA";"Kaolack";"Saint-Louis"},RANDBETWEEN(1,8))</f>
        <v>TOUBA</v>
      </c>
      <c r="E163" t="str" cm="1">
        <f t="array" aca="1" ref="E163" ca="1">INDEX({"Laptop";"Souris";"Clavier";"Ecran";"Casque";"Tablete";"Imprimante";"Disque dur"},RANDBETWEEN(1,8))</f>
        <v>Casque</v>
      </c>
      <c r="F163">
        <f t="shared" ca="1" si="13"/>
        <v>2</v>
      </c>
      <c r="G163" t="str">
        <f t="shared" ca="1" si="14"/>
        <v>491937 €</v>
      </c>
    </row>
    <row r="164" spans="1:7" x14ac:dyDescent="0.45">
      <c r="A164" t="str">
        <f t="shared" si="10"/>
        <v>V0163</v>
      </c>
      <c r="B164" t="str">
        <f t="shared" ca="1" si="11"/>
        <v>2026-09-04</v>
      </c>
      <c r="C164" t="str">
        <f t="shared" ca="1" si="12"/>
        <v>Fatou Fall</v>
      </c>
      <c r="D164" t="str" cm="1">
        <f t="array" aca="1" ref="D164" ca="1">INDEX({"Dakar";"dakar";"DAKAR";"Dakar ";"Thiès";"TOUBA";"Kaolack";"Saint-Louis"},RANDBETWEEN(1,8))</f>
        <v>dakar</v>
      </c>
      <c r="E164" t="str" cm="1">
        <f t="array" aca="1" ref="E164" ca="1">INDEX({"Laptop";"Souris";"Clavier";"Ecran";"Casque";"Tablete";"Imprimante";"Disque dur"},RANDBETWEEN(1,8))</f>
        <v>Souris</v>
      </c>
      <c r="F164">
        <f t="shared" ca="1" si="13"/>
        <v>2</v>
      </c>
      <c r="G164" t="str">
        <f t="shared" ca="1" si="14"/>
        <v>463218€</v>
      </c>
    </row>
    <row r="165" spans="1:7" x14ac:dyDescent="0.45">
      <c r="A165" t="str">
        <f t="shared" si="10"/>
        <v>V0164</v>
      </c>
      <c r="B165" t="str">
        <f t="shared" ca="1" si="11"/>
        <v>25/09/2026</v>
      </c>
      <c r="C165" t="str">
        <f t="shared" ca="1" si="12"/>
        <v>Awa Ndiaye</v>
      </c>
      <c r="D165" t="str" cm="1">
        <f t="array" aca="1" ref="D165" ca="1">INDEX({"Dakar";"dakar";"DAKAR";"Dakar ";"Thiès";"TOUBA";"Kaolack";"Saint-Louis"},RANDBETWEEN(1,8))</f>
        <v>TOUBA</v>
      </c>
      <c r="E165" t="str" cm="1">
        <f t="array" aca="1" ref="E165" ca="1">INDEX({"Laptop";"Souris";"Clavier";"Ecran";"Casque";"Tablete";"Imprimante";"Disque dur"},RANDBETWEEN(1,8))</f>
        <v>Ecran</v>
      </c>
      <c r="F165">
        <f t="shared" ca="1" si="13"/>
        <v>5</v>
      </c>
      <c r="G165" t="str">
        <f t="shared" ca="1" si="14"/>
        <v>468631</v>
      </c>
    </row>
    <row r="166" spans="1:7" x14ac:dyDescent="0.45">
      <c r="A166" t="str">
        <f t="shared" si="10"/>
        <v>V0165</v>
      </c>
      <c r="B166" t="str">
        <f t="shared" ca="1" si="11"/>
        <v>17-09-26</v>
      </c>
      <c r="C166" t="str">
        <f t="shared" ca="1" si="12"/>
        <v>Mariama Sow</v>
      </c>
      <c r="D166" t="str" cm="1">
        <f t="array" aca="1" ref="D166" ca="1">INDEX({"Dakar";"dakar";"DAKAR";"Dakar ";"Thiès";"TOUBA";"Kaolack";"Saint-Louis"},RANDBETWEEN(1,8))</f>
        <v>dakar</v>
      </c>
      <c r="E166" t="str" cm="1">
        <f t="array" aca="1" ref="E166" ca="1">INDEX({"Laptop";"Souris";"Clavier";"Ecran";"Casque";"Tablete";"Imprimante";"Disque dur"},RANDBETWEEN(1,8))</f>
        <v>Tablete</v>
      </c>
      <c r="F166">
        <f t="shared" ca="1" si="13"/>
        <v>2</v>
      </c>
      <c r="G166" t="str">
        <f t="shared" ca="1" si="14"/>
        <v>€222999</v>
      </c>
    </row>
    <row r="167" spans="1:7" x14ac:dyDescent="0.45">
      <c r="A167" t="str">
        <f t="shared" si="10"/>
        <v>V0166</v>
      </c>
      <c r="B167" t="str">
        <f t="shared" ca="1" si="11"/>
        <v>2026-09-13</v>
      </c>
      <c r="C167" t="str">
        <f t="shared" ca="1" si="12"/>
        <v xml:space="preserve">Ousmane Ndiaye  </v>
      </c>
      <c r="D167" t="str" cm="1">
        <f t="array" aca="1" ref="D167" ca="1">INDEX({"Dakar";"dakar";"DAKAR";"Dakar ";"Thiès";"TOUBA";"Kaolack";"Saint-Louis"},RANDBETWEEN(1,8))</f>
        <v xml:space="preserve">Dakar </v>
      </c>
      <c r="E167" t="str" cm="1">
        <f t="array" aca="1" ref="E167" ca="1">INDEX({"Laptop";"Souris";"Clavier";"Ecran";"Casque";"Tablete";"Imprimante";"Disque dur"},RANDBETWEEN(1,8))</f>
        <v>Clavier</v>
      </c>
      <c r="F167">
        <f t="shared" ca="1" si="13"/>
        <v>2</v>
      </c>
      <c r="G167" t="str">
        <f t="shared" ca="1" si="14"/>
        <v>289890 €</v>
      </c>
    </row>
    <row r="168" spans="1:7" x14ac:dyDescent="0.45">
      <c r="A168" t="str">
        <f t="shared" si="10"/>
        <v>V0167</v>
      </c>
      <c r="B168" t="str">
        <f t="shared" ca="1" si="11"/>
        <v>2026-09-02</v>
      </c>
      <c r="C168" t="str">
        <f t="shared" ca="1" si="12"/>
        <v>Awa Ndiaye</v>
      </c>
      <c r="D168" t="str" cm="1">
        <f t="array" aca="1" ref="D168" ca="1">INDEX({"Dakar";"dakar";"DAKAR";"Dakar ";"Thiès";"TOUBA";"Kaolack";"Saint-Louis"},RANDBETWEEN(1,8))</f>
        <v>dakar</v>
      </c>
      <c r="E168" t="str" cm="1">
        <f t="array" aca="1" ref="E168" ca="1">INDEX({"Laptop";"Souris";"Clavier";"Ecran";"Casque";"Tablete";"Imprimante";"Disque dur"},RANDBETWEEN(1,8))</f>
        <v>Ecran</v>
      </c>
      <c r="F168">
        <f t="shared" ca="1" si="13"/>
        <v>4</v>
      </c>
      <c r="G168" t="str">
        <f t="shared" ca="1" si="14"/>
        <v>30750€</v>
      </c>
    </row>
    <row r="169" spans="1:7" x14ac:dyDescent="0.45">
      <c r="A169" t="str">
        <f t="shared" si="10"/>
        <v>V0168</v>
      </c>
      <c r="B169" t="str">
        <f t="shared" ca="1" si="11"/>
        <v>07-09-26</v>
      </c>
      <c r="C169" t="str">
        <f t="shared" ca="1" si="12"/>
        <v>Sokhna Diallo</v>
      </c>
      <c r="D169" t="str" cm="1">
        <f t="array" aca="1" ref="D169" ca="1">INDEX({"Dakar";"dakar";"DAKAR";"Dakar ";"Thiès";"TOUBA";"Kaolack";"Saint-Louis"},RANDBETWEEN(1,8))</f>
        <v>Saint-Louis</v>
      </c>
      <c r="E169" t="str" cm="1">
        <f t="array" aca="1" ref="E169" ca="1">INDEX({"Laptop";"Souris";"Clavier";"Ecran";"Casque";"Tablete";"Imprimante";"Disque dur"},RANDBETWEEN(1,8))</f>
        <v>Disque dur</v>
      </c>
      <c r="F169">
        <f t="shared" ca="1" si="13"/>
        <v>9</v>
      </c>
      <c r="G169" t="str">
        <f t="shared" ca="1" si="14"/>
        <v>65057</v>
      </c>
    </row>
    <row r="170" spans="1:7" x14ac:dyDescent="0.45">
      <c r="A170" t="str">
        <f t="shared" si="10"/>
        <v>V0169</v>
      </c>
      <c r="B170" t="str">
        <f t="shared" ca="1" si="11"/>
        <v>2026-09-28</v>
      </c>
      <c r="C170" t="str">
        <f t="shared" ca="1" si="12"/>
        <v xml:space="preserve">  Cheikh Ba</v>
      </c>
      <c r="D170" t="str" cm="1">
        <f t="array" aca="1" ref="D170" ca="1">INDEX({"Dakar";"dakar";"DAKAR";"Dakar ";"Thiès";"TOUBA";"Kaolack";"Saint-Louis"},RANDBETWEEN(1,8))</f>
        <v xml:space="preserve">Dakar </v>
      </c>
      <c r="E170" t="str" cm="1">
        <f t="array" aca="1" ref="E170" ca="1">INDEX({"Laptop";"Souris";"Clavier";"Ecran";"Casque";"Tablete";"Imprimante";"Disque dur"},RANDBETWEEN(1,8))</f>
        <v>Tablete</v>
      </c>
      <c r="F170">
        <f t="shared" ca="1" si="13"/>
        <v>8</v>
      </c>
      <c r="G170" t="str">
        <f t="shared" ca="1" si="14"/>
        <v>233673 €</v>
      </c>
    </row>
    <row r="171" spans="1:7" x14ac:dyDescent="0.45">
      <c r="A171" t="str">
        <f t="shared" si="10"/>
        <v>V0170</v>
      </c>
      <c r="B171" t="str">
        <f t="shared" ca="1" si="11"/>
        <v>2026-09-25</v>
      </c>
      <c r="C171" t="str">
        <f t="shared" ca="1" si="12"/>
        <v>Awa Ndiaye</v>
      </c>
      <c r="D171" t="str" cm="1">
        <f t="array" aca="1" ref="D171" ca="1">INDEX({"Dakar";"dakar";"DAKAR";"Dakar ";"Thiès";"TOUBA";"Kaolack";"Saint-Louis"},RANDBETWEEN(1,8))</f>
        <v>DAKAR</v>
      </c>
      <c r="E171" t="str" cm="1">
        <f t="array" aca="1" ref="E171" ca="1">INDEX({"Laptop";"Souris";"Clavier";"Ecran";"Casque";"Tablete";"Imprimante";"Disque dur"},RANDBETWEEN(1,8))</f>
        <v>Ecran</v>
      </c>
      <c r="F171">
        <f t="shared" ca="1" si="13"/>
        <v>8</v>
      </c>
      <c r="G171" t="str">
        <f t="shared" ca="1" si="14"/>
        <v>373722 €</v>
      </c>
    </row>
    <row r="172" spans="1:7" x14ac:dyDescent="0.45">
      <c r="A172" t="str">
        <f t="shared" si="10"/>
        <v>V0171</v>
      </c>
      <c r="B172" t="str">
        <f t="shared" ca="1" si="11"/>
        <v>2026-09-11</v>
      </c>
      <c r="C172" t="str">
        <f t="shared" ca="1" si="12"/>
        <v>Fatou Fall</v>
      </c>
      <c r="D172" t="str" cm="1">
        <f t="array" aca="1" ref="D172" ca="1">INDEX({"Dakar";"dakar";"DAKAR";"Dakar ";"Thiès";"TOUBA";"Kaolack";"Saint-Louis"},RANDBETWEEN(1,8))</f>
        <v>dakar</v>
      </c>
      <c r="E172" t="str" cm="1">
        <f t="array" aca="1" ref="E172" ca="1">INDEX({"Laptop";"Souris";"Clavier";"Ecran";"Casque";"Tablete";"Imprimante";"Disque dur"},RANDBETWEEN(1,8))</f>
        <v>Disque dur</v>
      </c>
      <c r="F172">
        <f t="shared" ca="1" si="13"/>
        <v>9</v>
      </c>
      <c r="G172" t="str">
        <f t="shared" ca="1" si="14"/>
        <v>399057€</v>
      </c>
    </row>
    <row r="173" spans="1:7" x14ac:dyDescent="0.45">
      <c r="A173" t="str">
        <f t="shared" si="10"/>
        <v>V0172</v>
      </c>
      <c r="B173" t="str">
        <f t="shared" ca="1" si="11"/>
        <v>03/09/2026</v>
      </c>
      <c r="C173" t="str">
        <f t="shared" ca="1" si="12"/>
        <v>Mariama Sow</v>
      </c>
      <c r="D173" t="str" cm="1">
        <f t="array" aca="1" ref="D173" ca="1">INDEX({"Dakar";"dakar";"DAKAR";"Dakar ";"Thiès";"TOUBA";"Kaolack";"Saint-Louis"},RANDBETWEEN(1,8))</f>
        <v>dakar</v>
      </c>
      <c r="E173" t="str" cm="1">
        <f t="array" aca="1" ref="E173" ca="1">INDEX({"Laptop";"Souris";"Clavier";"Ecran";"Casque";"Tablete";"Imprimante";"Disque dur"},RANDBETWEEN(1,8))</f>
        <v>Tablete</v>
      </c>
      <c r="F173">
        <f t="shared" ca="1" si="13"/>
        <v>5</v>
      </c>
      <c r="G173" t="str">
        <f t="shared" ca="1" si="14"/>
        <v>288523 €</v>
      </c>
    </row>
    <row r="174" spans="1:7" x14ac:dyDescent="0.45">
      <c r="A174" t="str">
        <f t="shared" si="10"/>
        <v>V0173</v>
      </c>
      <c r="B174" t="str">
        <f t="shared" ca="1" si="11"/>
        <v>02/09/2026</v>
      </c>
      <c r="C174" t="str">
        <f t="shared" ca="1" si="12"/>
        <v xml:space="preserve">Ousmane Ndiaye  </v>
      </c>
      <c r="D174" t="str" cm="1">
        <f t="array" aca="1" ref="D174" ca="1">INDEX({"Dakar";"dakar";"DAKAR";"Dakar ";"Thiès";"TOUBA";"Kaolack";"Saint-Louis"},RANDBETWEEN(1,8))</f>
        <v>Kaolack</v>
      </c>
      <c r="E174" t="str" cm="1">
        <f t="array" aca="1" ref="E174" ca="1">INDEX({"Laptop";"Souris";"Clavier";"Ecran";"Casque";"Tablete";"Imprimante";"Disque dur"},RANDBETWEEN(1,8))</f>
        <v>Clavier</v>
      </c>
      <c r="F174">
        <f t="shared" ca="1" si="13"/>
        <v>3</v>
      </c>
      <c r="G174" t="str">
        <f t="shared" ca="1" si="14"/>
        <v>266069</v>
      </c>
    </row>
    <row r="175" spans="1:7" x14ac:dyDescent="0.45">
      <c r="A175" t="str">
        <f t="shared" si="10"/>
        <v>V0174</v>
      </c>
      <c r="B175" t="str">
        <f t="shared" ca="1" si="11"/>
        <v>03-09-26</v>
      </c>
      <c r="C175" t="str">
        <f t="shared" ca="1" si="12"/>
        <v xml:space="preserve">Ousmane Ndiaye  </v>
      </c>
      <c r="D175" t="str" cm="1">
        <f t="array" aca="1" ref="D175" ca="1">INDEX({"Dakar";"dakar";"DAKAR";"Dakar ";"Thiès";"TOUBA";"Kaolack";"Saint-Louis"},RANDBETWEEN(1,8))</f>
        <v>Kaolack</v>
      </c>
      <c r="E175" t="str" cm="1">
        <f t="array" aca="1" ref="E175" ca="1">INDEX({"Laptop";"Souris";"Clavier";"Ecran";"Casque";"Tablete";"Imprimante";"Disque dur"},RANDBETWEEN(1,8))</f>
        <v>Souris</v>
      </c>
      <c r="F175">
        <f t="shared" ca="1" si="13"/>
        <v>8</v>
      </c>
      <c r="G175" t="str">
        <f t="shared" ca="1" si="14"/>
        <v>331135</v>
      </c>
    </row>
    <row r="176" spans="1:7" x14ac:dyDescent="0.45">
      <c r="A176" t="str">
        <f t="shared" si="10"/>
        <v>V0175</v>
      </c>
      <c r="B176" t="str">
        <f t="shared" ca="1" si="11"/>
        <v>10-09-26</v>
      </c>
      <c r="C176" t="str">
        <f t="shared" ca="1" si="12"/>
        <v>Mariama Sow</v>
      </c>
      <c r="D176" t="str" cm="1">
        <f t="array" aca="1" ref="D176" ca="1">INDEX({"Dakar";"dakar";"DAKAR";"Dakar ";"Thiès";"TOUBA";"Kaolack";"Saint-Louis"},RANDBETWEEN(1,8))</f>
        <v>TOUBA</v>
      </c>
      <c r="E176" t="str" cm="1">
        <f t="array" aca="1" ref="E176" ca="1">INDEX({"Laptop";"Souris";"Clavier";"Ecran";"Casque";"Tablete";"Imprimante";"Disque dur"},RANDBETWEEN(1,8))</f>
        <v>Casque</v>
      </c>
      <c r="F176">
        <f t="shared" ca="1" si="13"/>
        <v>1</v>
      </c>
      <c r="G176" t="str">
        <f t="shared" ca="1" si="14"/>
        <v>55817 €</v>
      </c>
    </row>
    <row r="177" spans="1:7" x14ac:dyDescent="0.45">
      <c r="A177" t="str">
        <f t="shared" si="10"/>
        <v>V0176</v>
      </c>
      <c r="B177" t="str">
        <f t="shared" ca="1" si="11"/>
        <v>2026-09-05</v>
      </c>
      <c r="C177" t="str">
        <f t="shared" ca="1" si="12"/>
        <v>Sokhna Diallo</v>
      </c>
      <c r="D177" t="str" cm="1">
        <f t="array" aca="1" ref="D177" ca="1">INDEX({"Dakar";"dakar";"DAKAR";"Dakar ";"Thiès";"TOUBA";"Kaolack";"Saint-Louis"},RANDBETWEEN(1,8))</f>
        <v xml:space="preserve">Dakar </v>
      </c>
      <c r="E177" t="str" cm="1">
        <f t="array" aca="1" ref="E177" ca="1">INDEX({"Laptop";"Souris";"Clavier";"Ecran";"Casque";"Tablete";"Imprimante";"Disque dur"},RANDBETWEEN(1,8))</f>
        <v>Souris</v>
      </c>
      <c r="F177">
        <f t="shared" ca="1" si="13"/>
        <v>10</v>
      </c>
      <c r="G177" t="str">
        <f t="shared" ca="1" si="14"/>
        <v>139098 €</v>
      </c>
    </row>
    <row r="178" spans="1:7" x14ac:dyDescent="0.45">
      <c r="A178" t="str">
        <f t="shared" si="10"/>
        <v>V0177</v>
      </c>
      <c r="B178" t="str">
        <f t="shared" ca="1" si="11"/>
        <v>2026-09-03</v>
      </c>
      <c r="C178" t="str">
        <f t="shared" ca="1" si="12"/>
        <v>Mamadou Diop</v>
      </c>
      <c r="D178" t="str" cm="1">
        <f t="array" aca="1" ref="D178" ca="1">INDEX({"Dakar";"dakar";"DAKAR";"Dakar ";"Thiès";"TOUBA";"Kaolack";"Saint-Louis"},RANDBETWEEN(1,8))</f>
        <v>DAKAR</v>
      </c>
      <c r="E178" t="str" cm="1">
        <f t="array" aca="1" ref="E178" ca="1">INDEX({"Laptop";"Souris";"Clavier";"Ecran";"Casque";"Tablete";"Imprimante";"Disque dur"},RANDBETWEEN(1,8))</f>
        <v>Tablete</v>
      </c>
      <c r="F178">
        <f t="shared" ca="1" si="13"/>
        <v>9</v>
      </c>
      <c r="G178" t="str">
        <f t="shared" ca="1" si="14"/>
        <v>112575 €</v>
      </c>
    </row>
    <row r="179" spans="1:7" x14ac:dyDescent="0.45">
      <c r="A179" t="str">
        <f t="shared" si="10"/>
        <v>V0178</v>
      </c>
      <c r="B179" t="str">
        <f t="shared" ca="1" si="11"/>
        <v>28-09-26</v>
      </c>
      <c r="C179" t="str">
        <f t="shared" ca="1" si="12"/>
        <v xml:space="preserve">Ousmane Ndiaye  </v>
      </c>
      <c r="D179" t="str" cm="1">
        <f t="array" aca="1" ref="D179" ca="1">INDEX({"Dakar";"dakar";"DAKAR";"Dakar ";"Thiès";"TOUBA";"Kaolack";"Saint-Louis"},RANDBETWEEN(1,8))</f>
        <v>Kaolack</v>
      </c>
      <c r="E179" t="str" cm="1">
        <f t="array" aca="1" ref="E179" ca="1">INDEX({"Laptop";"Souris";"Clavier";"Ecran";"Casque";"Tablete";"Imprimante";"Disque dur"},RANDBETWEEN(1,8))</f>
        <v>Souris</v>
      </c>
      <c r="F179">
        <f t="shared" ca="1" si="13"/>
        <v>1</v>
      </c>
      <c r="G179" t="str">
        <f t="shared" ca="1" si="14"/>
        <v>494748 €</v>
      </c>
    </row>
    <row r="180" spans="1:7" x14ac:dyDescent="0.45">
      <c r="A180" t="str">
        <f t="shared" si="10"/>
        <v>V0179</v>
      </c>
      <c r="B180" t="str">
        <f t="shared" ca="1" si="11"/>
        <v>02/09/2026</v>
      </c>
      <c r="C180" t="str">
        <f t="shared" ca="1" si="12"/>
        <v>Mamadou Diop</v>
      </c>
      <c r="D180" t="str" cm="1">
        <f t="array" aca="1" ref="D180" ca="1">INDEX({"Dakar";"dakar";"DAKAR";"Dakar ";"Thiès";"TOUBA";"Kaolack";"Saint-Louis"},RANDBETWEEN(1,8))</f>
        <v>Kaolack</v>
      </c>
      <c r="E180" t="str" cm="1">
        <f t="array" aca="1" ref="E180" ca="1">INDEX({"Laptop";"Souris";"Clavier";"Ecran";"Casque";"Tablete";"Imprimante";"Disque dur"},RANDBETWEEN(1,8))</f>
        <v>Tablete</v>
      </c>
      <c r="F180">
        <f t="shared" ca="1" si="13"/>
        <v>4</v>
      </c>
      <c r="G180" t="str">
        <f t="shared" ca="1" si="14"/>
        <v>25727</v>
      </c>
    </row>
    <row r="181" spans="1:7" x14ac:dyDescent="0.45">
      <c r="A181" t="str">
        <f t="shared" si="10"/>
        <v>V0180</v>
      </c>
      <c r="B181" t="str">
        <f t="shared" ca="1" si="11"/>
        <v>2026-09-15</v>
      </c>
      <c r="C181" t="str">
        <f t="shared" ca="1" si="12"/>
        <v>Fatou Fall</v>
      </c>
      <c r="D181" t="str" cm="1">
        <f t="array" aca="1" ref="D181" ca="1">INDEX({"Dakar";"dakar";"DAKAR";"Dakar ";"Thiès";"TOUBA";"Kaolack";"Saint-Louis"},RANDBETWEEN(1,8))</f>
        <v>dakar</v>
      </c>
      <c r="E181" t="str" cm="1">
        <f t="array" aca="1" ref="E181" ca="1">INDEX({"Laptop";"Souris";"Clavier";"Ecran";"Casque";"Tablete";"Imprimante";"Disque dur"},RANDBETWEEN(1,8))</f>
        <v>Laptop</v>
      </c>
      <c r="F181">
        <f t="shared" ca="1" si="13"/>
        <v>1</v>
      </c>
      <c r="G181" t="str">
        <f t="shared" ca="1" si="14"/>
        <v>128387 €</v>
      </c>
    </row>
    <row r="182" spans="1:7" x14ac:dyDescent="0.45">
      <c r="A182" t="str">
        <f t="shared" si="10"/>
        <v>V0181</v>
      </c>
      <c r="B182" t="str">
        <f t="shared" ca="1" si="11"/>
        <v>08/09/2026</v>
      </c>
      <c r="C182" t="str">
        <f t="shared" ca="1" si="12"/>
        <v>Awa Ndiaye</v>
      </c>
      <c r="D182" t="str" cm="1">
        <f t="array" aca="1" ref="D182" ca="1">INDEX({"Dakar";"dakar";"DAKAR";"Dakar ";"Thiès";"TOUBA";"Kaolack";"Saint-Louis"},RANDBETWEEN(1,8))</f>
        <v>DAKAR</v>
      </c>
      <c r="E182" t="str" cm="1">
        <f t="array" aca="1" ref="E182" ca="1">INDEX({"Laptop";"Souris";"Clavier";"Ecran";"Casque";"Tablete";"Imprimante";"Disque dur"},RANDBETWEEN(1,8))</f>
        <v>Disque dur</v>
      </c>
      <c r="F182" t="str">
        <f t="shared" ca="1" si="13"/>
        <v>2</v>
      </c>
      <c r="G182" t="str">
        <f t="shared" ca="1" si="14"/>
        <v>300971</v>
      </c>
    </row>
    <row r="183" spans="1:7" x14ac:dyDescent="0.45">
      <c r="A183" t="str">
        <f t="shared" si="10"/>
        <v>V0182</v>
      </c>
      <c r="B183" t="str">
        <f t="shared" ca="1" si="11"/>
        <v>21-09-26</v>
      </c>
      <c r="C183" t="str">
        <f t="shared" ca="1" si="12"/>
        <v xml:space="preserve">  Cheikh Ba</v>
      </c>
      <c r="D183" t="str" cm="1">
        <f t="array" aca="1" ref="D183" ca="1">INDEX({"Dakar";"dakar";"DAKAR";"Dakar ";"Thiès";"TOUBA";"Kaolack";"Saint-Louis"},RANDBETWEEN(1,8))</f>
        <v xml:space="preserve">Dakar </v>
      </c>
      <c r="E183" t="str" cm="1">
        <f t="array" aca="1" ref="E183" ca="1">INDEX({"Laptop";"Souris";"Clavier";"Ecran";"Casque";"Tablete";"Imprimante";"Disque dur"},RANDBETWEEN(1,8))</f>
        <v>Laptop</v>
      </c>
      <c r="F183">
        <f t="shared" ca="1" si="13"/>
        <v>7</v>
      </c>
      <c r="G183" t="str">
        <f t="shared" ca="1" si="14"/>
        <v>12425 €</v>
      </c>
    </row>
    <row r="184" spans="1:7" x14ac:dyDescent="0.45">
      <c r="A184" t="str">
        <f t="shared" si="10"/>
        <v>V0183</v>
      </c>
      <c r="B184" t="str">
        <f t="shared" ca="1" si="11"/>
        <v>19/09/2026</v>
      </c>
      <c r="C184" t="str">
        <f t="shared" ca="1" si="12"/>
        <v>Sokhna Diallo</v>
      </c>
      <c r="D184" t="str" cm="1">
        <f t="array" aca="1" ref="D184" ca="1">INDEX({"Dakar";"dakar";"DAKAR";"Dakar ";"Thiès";"TOUBA";"Kaolack";"Saint-Louis"},RANDBETWEEN(1,8))</f>
        <v>Kaolack</v>
      </c>
      <c r="E184" t="str" cm="1">
        <f t="array" aca="1" ref="E184" ca="1">INDEX({"Laptop";"Souris";"Clavier";"Ecran";"Casque";"Tablete";"Imprimante";"Disque dur"},RANDBETWEEN(1,8))</f>
        <v>Tablete</v>
      </c>
      <c r="F184">
        <f t="shared" ca="1" si="13"/>
        <v>3</v>
      </c>
      <c r="G184" t="str">
        <f t="shared" ca="1" si="14"/>
        <v>205958€</v>
      </c>
    </row>
    <row r="185" spans="1:7" x14ac:dyDescent="0.45">
      <c r="A185" t="str">
        <f t="shared" si="10"/>
        <v>V0184</v>
      </c>
      <c r="B185" t="str">
        <f t="shared" ca="1" si="11"/>
        <v>2026-09-18</v>
      </c>
      <c r="C185" t="str">
        <f t="shared" ca="1" si="12"/>
        <v xml:space="preserve">  Cheikh Ba</v>
      </c>
      <c r="D185" t="str" cm="1">
        <f t="array" aca="1" ref="D185" ca="1">INDEX({"Dakar";"dakar";"DAKAR";"Dakar ";"Thiès";"TOUBA";"Kaolack";"Saint-Louis"},RANDBETWEEN(1,8))</f>
        <v xml:space="preserve">Dakar </v>
      </c>
      <c r="E185" t="str" cm="1">
        <f t="array" aca="1" ref="E185" ca="1">INDEX({"Laptop";"Souris";"Clavier";"Ecran";"Casque";"Tablete";"Imprimante";"Disque dur"},RANDBETWEEN(1,8))</f>
        <v>Souris</v>
      </c>
      <c r="F185">
        <f t="shared" ca="1" si="13"/>
        <v>3</v>
      </c>
      <c r="G185" t="str">
        <f t="shared" ca="1" si="14"/>
        <v>27321€</v>
      </c>
    </row>
    <row r="186" spans="1:7" x14ac:dyDescent="0.45">
      <c r="A186" t="str">
        <f t="shared" si="10"/>
        <v>V0185</v>
      </c>
      <c r="B186" t="str">
        <f t="shared" ca="1" si="11"/>
        <v>10/09/2026</v>
      </c>
      <c r="C186" t="str">
        <f t="shared" ca="1" si="12"/>
        <v xml:space="preserve">  Cheikh Ba</v>
      </c>
      <c r="D186" t="str" cm="1">
        <f t="array" aca="1" ref="D186" ca="1">INDEX({"Dakar";"dakar";"DAKAR";"Dakar ";"Thiès";"TOUBA";"Kaolack";"Saint-Louis"},RANDBETWEEN(1,8))</f>
        <v>DAKAR</v>
      </c>
      <c r="E186" t="str" cm="1">
        <f t="array" aca="1" ref="E186" ca="1">INDEX({"Laptop";"Souris";"Clavier";"Ecran";"Casque";"Tablete";"Imprimante";"Disque dur"},RANDBETWEEN(1,8))</f>
        <v>Tablete</v>
      </c>
      <c r="F186">
        <f t="shared" ca="1" si="13"/>
        <v>5</v>
      </c>
      <c r="G186" t="str">
        <f t="shared" ca="1" si="14"/>
        <v>249768</v>
      </c>
    </row>
    <row r="187" spans="1:7" x14ac:dyDescent="0.45">
      <c r="A187" t="str">
        <f t="shared" si="10"/>
        <v>V0186</v>
      </c>
      <c r="B187" t="str">
        <f t="shared" ca="1" si="11"/>
        <v>01-09-26</v>
      </c>
      <c r="C187" t="str">
        <f t="shared" ca="1" si="12"/>
        <v xml:space="preserve">  Cheikh Ba</v>
      </c>
      <c r="D187" t="str" cm="1">
        <f t="array" aca="1" ref="D187" ca="1">INDEX({"Dakar";"dakar";"DAKAR";"Dakar ";"Thiès";"TOUBA";"Kaolack";"Saint-Louis"},RANDBETWEEN(1,8))</f>
        <v>Dakar</v>
      </c>
      <c r="E187" t="str" cm="1">
        <f t="array" aca="1" ref="E187" ca="1">INDEX({"Laptop";"Souris";"Clavier";"Ecran";"Casque";"Tablete";"Imprimante";"Disque dur"},RANDBETWEEN(1,8))</f>
        <v>Laptop</v>
      </c>
      <c r="F187">
        <f t="shared" ca="1" si="13"/>
        <v>9</v>
      </c>
      <c r="G187" t="str">
        <f t="shared" ca="1" si="14"/>
        <v>84548 €</v>
      </c>
    </row>
    <row r="188" spans="1:7" x14ac:dyDescent="0.45">
      <c r="A188" t="str">
        <f t="shared" si="10"/>
        <v>V0187</v>
      </c>
      <c r="B188" t="str">
        <f t="shared" ca="1" si="11"/>
        <v>2026-09-25</v>
      </c>
      <c r="C188" t="str">
        <f t="shared" ca="1" si="12"/>
        <v>Sokhna Diallo</v>
      </c>
      <c r="D188" t="str" cm="1">
        <f t="array" aca="1" ref="D188" ca="1">INDEX({"Dakar";"dakar";"DAKAR";"Dakar ";"Thiès";"TOUBA";"Kaolack";"Saint-Louis"},RANDBETWEEN(1,8))</f>
        <v>Kaolack</v>
      </c>
      <c r="E188" t="str" cm="1">
        <f t="array" aca="1" ref="E188" ca="1">INDEX({"Laptop";"Souris";"Clavier";"Ecran";"Casque";"Tablete";"Imprimante";"Disque dur"},RANDBETWEEN(1,8))</f>
        <v>Clavier</v>
      </c>
      <c r="F188">
        <f t="shared" ca="1" si="13"/>
        <v>8</v>
      </c>
      <c r="G188" t="str">
        <f t="shared" ca="1" si="14"/>
        <v>€132704</v>
      </c>
    </row>
    <row r="189" spans="1:7" x14ac:dyDescent="0.45">
      <c r="A189" t="str">
        <f t="shared" si="10"/>
        <v>V0188</v>
      </c>
      <c r="B189" t="str">
        <f t="shared" ca="1" si="11"/>
        <v>2026-09-02</v>
      </c>
      <c r="C189" t="str">
        <f t="shared" ca="1" si="12"/>
        <v>Fatou Fall</v>
      </c>
      <c r="D189" t="str" cm="1">
        <f t="array" aca="1" ref="D189" ca="1">INDEX({"Dakar";"dakar";"DAKAR";"Dakar ";"Thiès";"TOUBA";"Kaolack";"Saint-Louis"},RANDBETWEEN(1,8))</f>
        <v>Thiès</v>
      </c>
      <c r="E189" t="str" cm="1">
        <f t="array" aca="1" ref="E189" ca="1">INDEX({"Laptop";"Souris";"Clavier";"Ecran";"Casque";"Tablete";"Imprimante";"Disque dur"},RANDBETWEEN(1,8))</f>
        <v>Laptop</v>
      </c>
      <c r="F189">
        <f t="shared" ca="1" si="13"/>
        <v>9</v>
      </c>
      <c r="G189" t="str">
        <f t="shared" ca="1" si="14"/>
        <v>€439856</v>
      </c>
    </row>
    <row r="190" spans="1:7" x14ac:dyDescent="0.45">
      <c r="A190" t="str">
        <f t="shared" si="10"/>
        <v>V0189</v>
      </c>
      <c r="B190" t="str">
        <f t="shared" ca="1" si="11"/>
        <v>2026-09-15</v>
      </c>
      <c r="C190" t="str">
        <f t="shared" ca="1" si="12"/>
        <v>Mariama Sow</v>
      </c>
      <c r="D190" t="str" cm="1">
        <f t="array" aca="1" ref="D190" ca="1">INDEX({"Dakar";"dakar";"DAKAR";"Dakar ";"Thiès";"TOUBA";"Kaolack";"Saint-Louis"},RANDBETWEEN(1,8))</f>
        <v>Thiès</v>
      </c>
      <c r="E190" t="str" cm="1">
        <f t="array" aca="1" ref="E190" ca="1">INDEX({"Laptop";"Souris";"Clavier";"Ecran";"Casque";"Tablete";"Imprimante";"Disque dur"},RANDBETWEEN(1,8))</f>
        <v>Souris</v>
      </c>
      <c r="F190" t="str">
        <f t="shared" ca="1" si="13"/>
        <v>10</v>
      </c>
      <c r="G190" t="str">
        <f t="shared" ca="1" si="14"/>
        <v>160450</v>
      </c>
    </row>
    <row r="191" spans="1:7" x14ac:dyDescent="0.45">
      <c r="A191" t="str">
        <f t="shared" si="10"/>
        <v>V0190</v>
      </c>
      <c r="B191" t="str">
        <f t="shared" ca="1" si="11"/>
        <v>2026-09-26</v>
      </c>
      <c r="C191" t="str">
        <f t="shared" ca="1" si="12"/>
        <v>Fatou Fall</v>
      </c>
      <c r="D191" t="str" cm="1">
        <f t="array" aca="1" ref="D191" ca="1">INDEX({"Dakar";"dakar";"DAKAR";"Dakar ";"Thiès";"TOUBA";"Kaolack";"Saint-Louis"},RANDBETWEEN(1,8))</f>
        <v>DAKAR</v>
      </c>
      <c r="E191" t="str" cm="1">
        <f t="array" aca="1" ref="E191" ca="1">INDEX({"Laptop";"Souris";"Clavier";"Ecran";"Casque";"Tablete";"Imprimante";"Disque dur"},RANDBETWEEN(1,8))</f>
        <v>Disque dur</v>
      </c>
      <c r="F191">
        <f t="shared" ca="1" si="13"/>
        <v>4</v>
      </c>
      <c r="G191" t="str">
        <f t="shared" ca="1" si="14"/>
        <v>38079 €</v>
      </c>
    </row>
    <row r="192" spans="1:7" x14ac:dyDescent="0.45">
      <c r="A192" t="str">
        <f t="shared" si="10"/>
        <v>V0191</v>
      </c>
      <c r="B192" t="str">
        <f t="shared" ca="1" si="11"/>
        <v>09-09-26</v>
      </c>
      <c r="C192" t="str">
        <f t="shared" ca="1" si="12"/>
        <v>Fatou Fall</v>
      </c>
      <c r="D192" t="str" cm="1">
        <f t="array" aca="1" ref="D192" ca="1">INDEX({"Dakar";"dakar";"DAKAR";"Dakar ";"Thiès";"TOUBA";"Kaolack";"Saint-Louis"},RANDBETWEEN(1,8))</f>
        <v>Dakar</v>
      </c>
      <c r="E192" t="str" cm="1">
        <f t="array" aca="1" ref="E192" ca="1">INDEX({"Laptop";"Souris";"Clavier";"Ecran";"Casque";"Tablete";"Imprimante";"Disque dur"},RANDBETWEEN(1,8))</f>
        <v>Clavier</v>
      </c>
      <c r="F192" t="str">
        <f t="shared" ca="1" si="13"/>
        <v>8</v>
      </c>
      <c r="G192" t="str">
        <f t="shared" ca="1" si="14"/>
        <v>25483€</v>
      </c>
    </row>
    <row r="193" spans="1:7" x14ac:dyDescent="0.45">
      <c r="A193" t="str">
        <f t="shared" si="10"/>
        <v>V0192</v>
      </c>
      <c r="B193" t="str">
        <f t="shared" ca="1" si="11"/>
        <v>13-09-26</v>
      </c>
      <c r="C193" t="str">
        <f t="shared" ca="1" si="12"/>
        <v>Mariama Sow</v>
      </c>
      <c r="D193" t="str" cm="1">
        <f t="array" aca="1" ref="D193" ca="1">INDEX({"Dakar";"dakar";"DAKAR";"Dakar ";"Thiès";"TOUBA";"Kaolack";"Saint-Louis"},RANDBETWEEN(1,8))</f>
        <v>TOUBA</v>
      </c>
      <c r="E193" t="str" cm="1">
        <f t="array" aca="1" ref="E193" ca="1">INDEX({"Laptop";"Souris";"Clavier";"Ecran";"Casque";"Tablete";"Imprimante";"Disque dur"},RANDBETWEEN(1,8))</f>
        <v>Imprimante</v>
      </c>
      <c r="F193">
        <f t="shared" ca="1" si="13"/>
        <v>6</v>
      </c>
      <c r="G193" t="str">
        <f t="shared" ca="1" si="14"/>
        <v>197197</v>
      </c>
    </row>
    <row r="194" spans="1:7" x14ac:dyDescent="0.45">
      <c r="A194" t="str">
        <f t="shared" si="10"/>
        <v>V0193</v>
      </c>
      <c r="B194" t="str">
        <f t="shared" ca="1" si="11"/>
        <v>18-09-26</v>
      </c>
      <c r="C194" t="str">
        <f t="shared" ca="1" si="12"/>
        <v>Mariama Sow</v>
      </c>
      <c r="D194" t="str" cm="1">
        <f t="array" aca="1" ref="D194" ca="1">INDEX({"Dakar";"dakar";"DAKAR";"Dakar ";"Thiès";"TOUBA";"Kaolack";"Saint-Louis"},RANDBETWEEN(1,8))</f>
        <v>TOUBA</v>
      </c>
      <c r="E194" t="str" cm="1">
        <f t="array" aca="1" ref="E194" ca="1">INDEX({"Laptop";"Souris";"Clavier";"Ecran";"Casque";"Tablete";"Imprimante";"Disque dur"},RANDBETWEEN(1,8))</f>
        <v>Imprimante</v>
      </c>
      <c r="F194">
        <f t="shared" ca="1" si="13"/>
        <v>3</v>
      </c>
      <c r="G194" t="str">
        <f t="shared" ca="1" si="14"/>
        <v>399618 €</v>
      </c>
    </row>
    <row r="195" spans="1:7" x14ac:dyDescent="0.45">
      <c r="A195" t="str">
        <f t="shared" ref="A195:A258" si="15">"V" &amp; TEXT(ROW()-1, "0000")</f>
        <v>V0194</v>
      </c>
      <c r="B195" t="str">
        <f t="shared" ref="B195:B258" ca="1" si="16">IF(RAND()&lt;0.3,
    TEXT(DATE(2026,9,RANDBETWEEN(1,30)),"jj/mm/aaaa"),
    IF(RAND()&lt;0.5,
        TEXT(DATE(2026,9,RANDBETWEEN(1,30)),"aaaa-mm-jj"),
        TEXT(DATE(2026,9,RANDBETWEEN(1,30)),"jj-mm-aa")
    )
)</f>
        <v>09/09/2026</v>
      </c>
      <c r="C195" t="str">
        <f t="shared" ref="C195:C258" ca="1" si="17">CHOOSE(RANDBETWEEN(1,8),"Awa Ndiaye","Mamadou Diop","Fatou Fall","  Cheikh Ba","Mariama Sow","Ousmane Ndiaye  ","Sokhna Diallo","Abdoulaye Gueye")</f>
        <v>Mariama Sow</v>
      </c>
      <c r="D195" t="str" cm="1">
        <f t="array" aca="1" ref="D195" ca="1">INDEX({"Dakar";"dakar";"DAKAR";"Dakar ";"Thiès";"TOUBA";"Kaolack";"Saint-Louis"},RANDBETWEEN(1,8))</f>
        <v>Thiès</v>
      </c>
      <c r="E195" t="str" cm="1">
        <f t="array" aca="1" ref="E195" ca="1">INDEX({"Laptop";"Souris";"Clavier";"Ecran";"Casque";"Tablete";"Imprimante";"Disque dur"},RANDBETWEEN(1,8))</f>
        <v>Imprimante</v>
      </c>
      <c r="F195">
        <f t="shared" ref="F195:F258" ca="1" si="18">IF(RAND()&lt;0.1, TEXT(RANDBETWEEN(1,10),"0"), RANDBETWEEN(1,10))</f>
        <v>5</v>
      </c>
      <c r="G195" t="str">
        <f t="shared" ref="G195:G258" ca="1" si="19">CHOOSE(RANDBETWEEN(1,4),
    TEXT(RANDBETWEEN(10000,500000),"0") &amp; " €",
    TEXT(RANDBETWEEN(10000,500000),"0") &amp; "€",
    TEXT(RANDBETWEEN(10000,500000),"0"),
    "€" &amp; TEXT(RANDBETWEEN(10000,500000),"0")
)</f>
        <v>€257902</v>
      </c>
    </row>
    <row r="196" spans="1:7" x14ac:dyDescent="0.45">
      <c r="A196" t="str">
        <f t="shared" si="15"/>
        <v>V0195</v>
      </c>
      <c r="B196" t="str">
        <f t="shared" ca="1" si="16"/>
        <v>2026-09-10</v>
      </c>
      <c r="C196" t="str">
        <f t="shared" ca="1" si="17"/>
        <v xml:space="preserve">  Cheikh Ba</v>
      </c>
      <c r="D196" t="str" cm="1">
        <f t="array" aca="1" ref="D196" ca="1">INDEX({"Dakar";"dakar";"DAKAR";"Dakar ";"Thiès";"TOUBA";"Kaolack";"Saint-Louis"},RANDBETWEEN(1,8))</f>
        <v>DAKAR</v>
      </c>
      <c r="E196" t="str" cm="1">
        <f t="array" aca="1" ref="E196" ca="1">INDEX({"Laptop";"Souris";"Clavier";"Ecran";"Casque";"Tablete";"Imprimante";"Disque dur"},RANDBETWEEN(1,8))</f>
        <v>Clavier</v>
      </c>
      <c r="F196" t="str">
        <f t="shared" ca="1" si="18"/>
        <v>10</v>
      </c>
      <c r="G196" t="str">
        <f t="shared" ca="1" si="19"/>
        <v>219503 €</v>
      </c>
    </row>
    <row r="197" spans="1:7" x14ac:dyDescent="0.45">
      <c r="A197" t="str">
        <f t="shared" si="15"/>
        <v>V0196</v>
      </c>
      <c r="B197" t="str">
        <f t="shared" ca="1" si="16"/>
        <v>12/09/2026</v>
      </c>
      <c r="C197" t="str">
        <f t="shared" ca="1" si="17"/>
        <v>Sokhna Diallo</v>
      </c>
      <c r="D197" t="str" cm="1">
        <f t="array" aca="1" ref="D197" ca="1">INDEX({"Dakar";"dakar";"DAKAR";"Dakar ";"Thiès";"TOUBA";"Kaolack";"Saint-Louis"},RANDBETWEEN(1,8))</f>
        <v>Saint-Louis</v>
      </c>
      <c r="E197" t="str" cm="1">
        <f t="array" aca="1" ref="E197" ca="1">INDEX({"Laptop";"Souris";"Clavier";"Ecran";"Casque";"Tablete";"Imprimante";"Disque dur"},RANDBETWEEN(1,8))</f>
        <v>Ecran</v>
      </c>
      <c r="F197">
        <f t="shared" ca="1" si="18"/>
        <v>2</v>
      </c>
      <c r="G197" t="str">
        <f t="shared" ca="1" si="19"/>
        <v>276598</v>
      </c>
    </row>
    <row r="198" spans="1:7" x14ac:dyDescent="0.45">
      <c r="A198" t="str">
        <f t="shared" si="15"/>
        <v>V0197</v>
      </c>
      <c r="B198" t="str">
        <f t="shared" ca="1" si="16"/>
        <v>2026-09-08</v>
      </c>
      <c r="C198" t="str">
        <f t="shared" ca="1" si="17"/>
        <v>Abdoulaye Gueye</v>
      </c>
      <c r="D198" t="str" cm="1">
        <f t="array" aca="1" ref="D198" ca="1">INDEX({"Dakar";"dakar";"DAKAR";"Dakar ";"Thiès";"TOUBA";"Kaolack";"Saint-Louis"},RANDBETWEEN(1,8))</f>
        <v>dakar</v>
      </c>
      <c r="E198" t="str" cm="1">
        <f t="array" aca="1" ref="E198" ca="1">INDEX({"Laptop";"Souris";"Clavier";"Ecran";"Casque";"Tablete";"Imprimante";"Disque dur"},RANDBETWEEN(1,8))</f>
        <v>Clavier</v>
      </c>
      <c r="F198">
        <f t="shared" ca="1" si="18"/>
        <v>7</v>
      </c>
      <c r="G198" t="str">
        <f t="shared" ca="1" si="19"/>
        <v>412899€</v>
      </c>
    </row>
    <row r="199" spans="1:7" x14ac:dyDescent="0.45">
      <c r="A199" t="str">
        <f t="shared" si="15"/>
        <v>V0198</v>
      </c>
      <c r="B199" t="str">
        <f t="shared" ca="1" si="16"/>
        <v>26-09-26</v>
      </c>
      <c r="C199" t="str">
        <f t="shared" ca="1" si="17"/>
        <v xml:space="preserve">Ousmane Ndiaye  </v>
      </c>
      <c r="D199" t="str" cm="1">
        <f t="array" aca="1" ref="D199" ca="1">INDEX({"Dakar";"dakar";"DAKAR";"Dakar ";"Thiès";"TOUBA";"Kaolack";"Saint-Louis"},RANDBETWEEN(1,8))</f>
        <v>DAKAR</v>
      </c>
      <c r="E199" t="str" cm="1">
        <f t="array" aca="1" ref="E199" ca="1">INDEX({"Laptop";"Souris";"Clavier";"Ecran";"Casque";"Tablete";"Imprimante";"Disque dur"},RANDBETWEEN(1,8))</f>
        <v>Clavier</v>
      </c>
      <c r="F199" t="str">
        <f t="shared" ca="1" si="18"/>
        <v>9</v>
      </c>
      <c r="G199" t="str">
        <f t="shared" ca="1" si="19"/>
        <v>201415</v>
      </c>
    </row>
    <row r="200" spans="1:7" x14ac:dyDescent="0.45">
      <c r="A200" t="str">
        <f t="shared" si="15"/>
        <v>V0199</v>
      </c>
      <c r="B200" t="str">
        <f t="shared" ca="1" si="16"/>
        <v>12-09-26</v>
      </c>
      <c r="C200" t="str">
        <f t="shared" ca="1" si="17"/>
        <v>Sokhna Diallo</v>
      </c>
      <c r="D200" t="str" cm="1">
        <f t="array" aca="1" ref="D200" ca="1">INDEX({"Dakar";"dakar";"DAKAR";"Dakar ";"Thiès";"TOUBA";"Kaolack";"Saint-Louis"},RANDBETWEEN(1,8))</f>
        <v>TOUBA</v>
      </c>
      <c r="E200" t="str" cm="1">
        <f t="array" aca="1" ref="E200" ca="1">INDEX({"Laptop";"Souris";"Clavier";"Ecran";"Casque";"Tablete";"Imprimante";"Disque dur"},RANDBETWEEN(1,8))</f>
        <v>Ecran</v>
      </c>
      <c r="F200">
        <f t="shared" ca="1" si="18"/>
        <v>10</v>
      </c>
      <c r="G200" t="str">
        <f t="shared" ca="1" si="19"/>
        <v>418451</v>
      </c>
    </row>
    <row r="201" spans="1:7" x14ac:dyDescent="0.45">
      <c r="A201" t="str">
        <f t="shared" si="15"/>
        <v>V0200</v>
      </c>
      <c r="B201" t="str">
        <f t="shared" ca="1" si="16"/>
        <v>2026-09-28</v>
      </c>
      <c r="C201" t="str">
        <f t="shared" ca="1" si="17"/>
        <v>Abdoulaye Gueye</v>
      </c>
      <c r="D201" t="str" cm="1">
        <f t="array" aca="1" ref="D201" ca="1">INDEX({"Dakar";"dakar";"DAKAR";"Dakar ";"Thiès";"TOUBA";"Kaolack";"Saint-Louis"},RANDBETWEEN(1,8))</f>
        <v xml:space="preserve">Dakar </v>
      </c>
      <c r="E201" t="str" cm="1">
        <f t="array" aca="1" ref="E201" ca="1">INDEX({"Laptop";"Souris";"Clavier";"Ecran";"Casque";"Tablete";"Imprimante";"Disque dur"},RANDBETWEEN(1,8))</f>
        <v>Tablete</v>
      </c>
      <c r="F201">
        <f t="shared" ca="1" si="18"/>
        <v>2</v>
      </c>
      <c r="G201" t="str">
        <f t="shared" ca="1" si="19"/>
        <v>€223336</v>
      </c>
    </row>
    <row r="202" spans="1:7" x14ac:dyDescent="0.45">
      <c r="A202" t="str">
        <f t="shared" si="15"/>
        <v>V0201</v>
      </c>
      <c r="B202" t="str">
        <f t="shared" ca="1" si="16"/>
        <v>2026-09-04</v>
      </c>
      <c r="C202" t="str">
        <f t="shared" ca="1" si="17"/>
        <v>Mamadou Diop</v>
      </c>
      <c r="D202" t="str" cm="1">
        <f t="array" aca="1" ref="D202" ca="1">INDEX({"Dakar";"dakar";"DAKAR";"Dakar ";"Thiès";"TOUBA";"Kaolack";"Saint-Louis"},RANDBETWEEN(1,8))</f>
        <v>Thiès</v>
      </c>
      <c r="E202" t="str" cm="1">
        <f t="array" aca="1" ref="E202" ca="1">INDEX({"Laptop";"Souris";"Clavier";"Ecran";"Casque";"Tablete";"Imprimante";"Disque dur"},RANDBETWEEN(1,8))</f>
        <v>Souris</v>
      </c>
      <c r="F202">
        <f t="shared" ca="1" si="18"/>
        <v>2</v>
      </c>
      <c r="G202" t="str">
        <f t="shared" ca="1" si="19"/>
        <v>142810€</v>
      </c>
    </row>
    <row r="203" spans="1:7" x14ac:dyDescent="0.45">
      <c r="A203" t="str">
        <f t="shared" si="15"/>
        <v>V0202</v>
      </c>
      <c r="B203" t="str">
        <f t="shared" ca="1" si="16"/>
        <v>2026-09-07</v>
      </c>
      <c r="C203" t="str">
        <f t="shared" ca="1" si="17"/>
        <v>Mariama Sow</v>
      </c>
      <c r="D203" t="str" cm="1">
        <f t="array" aca="1" ref="D203" ca="1">INDEX({"Dakar";"dakar";"DAKAR";"Dakar ";"Thiès";"TOUBA";"Kaolack";"Saint-Louis"},RANDBETWEEN(1,8))</f>
        <v xml:space="preserve">Dakar </v>
      </c>
      <c r="E203" t="str" cm="1">
        <f t="array" aca="1" ref="E203" ca="1">INDEX({"Laptop";"Souris";"Clavier";"Ecran";"Casque";"Tablete";"Imprimante";"Disque dur"},RANDBETWEEN(1,8))</f>
        <v>Imprimante</v>
      </c>
      <c r="F203">
        <f t="shared" ca="1" si="18"/>
        <v>6</v>
      </c>
      <c r="G203" t="str">
        <f t="shared" ca="1" si="19"/>
        <v>286643€</v>
      </c>
    </row>
    <row r="204" spans="1:7" x14ac:dyDescent="0.45">
      <c r="A204" t="str">
        <f t="shared" si="15"/>
        <v>V0203</v>
      </c>
      <c r="B204" t="str">
        <f t="shared" ca="1" si="16"/>
        <v>26-09-26</v>
      </c>
      <c r="C204" t="str">
        <f t="shared" ca="1" si="17"/>
        <v>Mariama Sow</v>
      </c>
      <c r="D204" t="str" cm="1">
        <f t="array" aca="1" ref="D204" ca="1">INDEX({"Dakar";"dakar";"DAKAR";"Dakar ";"Thiès";"TOUBA";"Kaolack";"Saint-Louis"},RANDBETWEEN(1,8))</f>
        <v>Kaolack</v>
      </c>
      <c r="E204" t="str" cm="1">
        <f t="array" aca="1" ref="E204" ca="1">INDEX({"Laptop";"Souris";"Clavier";"Ecran";"Casque";"Tablete";"Imprimante";"Disque dur"},RANDBETWEEN(1,8))</f>
        <v>Imprimante</v>
      </c>
      <c r="F204">
        <f t="shared" ca="1" si="18"/>
        <v>2</v>
      </c>
      <c r="G204" t="str">
        <f t="shared" ca="1" si="19"/>
        <v>458217€</v>
      </c>
    </row>
    <row r="205" spans="1:7" x14ac:dyDescent="0.45">
      <c r="A205" t="str">
        <f t="shared" si="15"/>
        <v>V0204</v>
      </c>
      <c r="B205" t="str">
        <f t="shared" ca="1" si="16"/>
        <v>24/09/2026</v>
      </c>
      <c r="C205" t="str">
        <f t="shared" ca="1" si="17"/>
        <v xml:space="preserve">Ousmane Ndiaye  </v>
      </c>
      <c r="D205" t="str" cm="1">
        <f t="array" aca="1" ref="D205" ca="1">INDEX({"Dakar";"dakar";"DAKAR";"Dakar ";"Thiès";"TOUBA";"Kaolack";"Saint-Louis"},RANDBETWEEN(1,8))</f>
        <v>Saint-Louis</v>
      </c>
      <c r="E205" t="str" cm="1">
        <f t="array" aca="1" ref="E205" ca="1">INDEX({"Laptop";"Souris";"Clavier";"Ecran";"Casque";"Tablete";"Imprimante";"Disque dur"},RANDBETWEEN(1,8))</f>
        <v>Imprimante</v>
      </c>
      <c r="F205">
        <f t="shared" ca="1" si="18"/>
        <v>10</v>
      </c>
      <c r="G205" t="str">
        <f t="shared" ca="1" si="19"/>
        <v>122330</v>
      </c>
    </row>
    <row r="206" spans="1:7" x14ac:dyDescent="0.45">
      <c r="A206" t="str">
        <f t="shared" si="15"/>
        <v>V0205</v>
      </c>
      <c r="B206" t="str">
        <f t="shared" ca="1" si="16"/>
        <v>25-09-26</v>
      </c>
      <c r="C206" t="str">
        <f t="shared" ca="1" si="17"/>
        <v>Sokhna Diallo</v>
      </c>
      <c r="D206" t="str" cm="1">
        <f t="array" aca="1" ref="D206" ca="1">INDEX({"Dakar";"dakar";"DAKAR";"Dakar ";"Thiès";"TOUBA";"Kaolack";"Saint-Louis"},RANDBETWEEN(1,8))</f>
        <v>dakar</v>
      </c>
      <c r="E206" t="str" cm="1">
        <f t="array" aca="1" ref="E206" ca="1">INDEX({"Laptop";"Souris";"Clavier";"Ecran";"Casque";"Tablete";"Imprimante";"Disque dur"},RANDBETWEEN(1,8))</f>
        <v>Souris</v>
      </c>
      <c r="F206" t="str">
        <f t="shared" ca="1" si="18"/>
        <v>3</v>
      </c>
      <c r="G206" t="str">
        <f t="shared" ca="1" si="19"/>
        <v>38171 €</v>
      </c>
    </row>
    <row r="207" spans="1:7" x14ac:dyDescent="0.45">
      <c r="A207" t="str">
        <f t="shared" si="15"/>
        <v>V0206</v>
      </c>
      <c r="B207" t="str">
        <f t="shared" ca="1" si="16"/>
        <v>12/09/2026</v>
      </c>
      <c r="C207" t="str">
        <f t="shared" ca="1" si="17"/>
        <v xml:space="preserve">Ousmane Ndiaye  </v>
      </c>
      <c r="D207" t="str" cm="1">
        <f t="array" aca="1" ref="D207" ca="1">INDEX({"Dakar";"dakar";"DAKAR";"Dakar ";"Thiès";"TOUBA";"Kaolack";"Saint-Louis"},RANDBETWEEN(1,8))</f>
        <v>Dakar</v>
      </c>
      <c r="E207" t="str" cm="1">
        <f t="array" aca="1" ref="E207" ca="1">INDEX({"Laptop";"Souris";"Clavier";"Ecran";"Casque";"Tablete";"Imprimante";"Disque dur"},RANDBETWEEN(1,8))</f>
        <v>Disque dur</v>
      </c>
      <c r="F207">
        <f t="shared" ca="1" si="18"/>
        <v>5</v>
      </c>
      <c r="G207" t="str">
        <f t="shared" ca="1" si="19"/>
        <v>152924</v>
      </c>
    </row>
    <row r="208" spans="1:7" x14ac:dyDescent="0.45">
      <c r="A208" t="str">
        <f t="shared" si="15"/>
        <v>V0207</v>
      </c>
      <c r="B208" t="str">
        <f t="shared" ca="1" si="16"/>
        <v>04-09-26</v>
      </c>
      <c r="C208" t="str">
        <f t="shared" ca="1" si="17"/>
        <v>Sokhna Diallo</v>
      </c>
      <c r="D208" t="str" cm="1">
        <f t="array" aca="1" ref="D208" ca="1">INDEX({"Dakar";"dakar";"DAKAR";"Dakar ";"Thiès";"TOUBA";"Kaolack";"Saint-Louis"},RANDBETWEEN(1,8))</f>
        <v>DAKAR</v>
      </c>
      <c r="E208" t="str" cm="1">
        <f t="array" aca="1" ref="E208" ca="1">INDEX({"Laptop";"Souris";"Clavier";"Ecran";"Casque";"Tablete";"Imprimante";"Disque dur"},RANDBETWEEN(1,8))</f>
        <v>Laptop</v>
      </c>
      <c r="F208">
        <f t="shared" ca="1" si="18"/>
        <v>2</v>
      </c>
      <c r="G208" t="str">
        <f t="shared" ca="1" si="19"/>
        <v>167472 €</v>
      </c>
    </row>
    <row r="209" spans="1:7" x14ac:dyDescent="0.45">
      <c r="A209" t="str">
        <f t="shared" si="15"/>
        <v>V0208</v>
      </c>
      <c r="B209" t="str">
        <f t="shared" ca="1" si="16"/>
        <v>28/09/2026</v>
      </c>
      <c r="C209" t="str">
        <f t="shared" ca="1" si="17"/>
        <v>Fatou Fall</v>
      </c>
      <c r="D209" t="str" cm="1">
        <f t="array" aca="1" ref="D209" ca="1">INDEX({"Dakar";"dakar";"DAKAR";"Dakar ";"Thiès";"TOUBA";"Kaolack";"Saint-Louis"},RANDBETWEEN(1,8))</f>
        <v>dakar</v>
      </c>
      <c r="E209" t="str" cm="1">
        <f t="array" aca="1" ref="E209" ca="1">INDEX({"Laptop";"Souris";"Clavier";"Ecran";"Casque";"Tablete";"Imprimante";"Disque dur"},RANDBETWEEN(1,8))</f>
        <v>Laptop</v>
      </c>
      <c r="F209">
        <f t="shared" ca="1" si="18"/>
        <v>9</v>
      </c>
      <c r="G209" t="str">
        <f t="shared" ca="1" si="19"/>
        <v>€396780</v>
      </c>
    </row>
    <row r="210" spans="1:7" x14ac:dyDescent="0.45">
      <c r="A210" t="str">
        <f t="shared" si="15"/>
        <v>V0209</v>
      </c>
      <c r="B210" t="str">
        <f t="shared" ca="1" si="16"/>
        <v>20/09/2026</v>
      </c>
      <c r="C210" t="str">
        <f t="shared" ca="1" si="17"/>
        <v xml:space="preserve">  Cheikh Ba</v>
      </c>
      <c r="D210" t="str" cm="1">
        <f t="array" aca="1" ref="D210" ca="1">INDEX({"Dakar";"dakar";"DAKAR";"Dakar ";"Thiès";"TOUBA";"Kaolack";"Saint-Louis"},RANDBETWEEN(1,8))</f>
        <v xml:space="preserve">Dakar </v>
      </c>
      <c r="E210" t="str" cm="1">
        <f t="array" aca="1" ref="E210" ca="1">INDEX({"Laptop";"Souris";"Clavier";"Ecran";"Casque";"Tablete";"Imprimante";"Disque dur"},RANDBETWEEN(1,8))</f>
        <v>Laptop</v>
      </c>
      <c r="F210">
        <f t="shared" ca="1" si="18"/>
        <v>2</v>
      </c>
      <c r="G210" t="str">
        <f t="shared" ca="1" si="19"/>
        <v>93893 €</v>
      </c>
    </row>
    <row r="211" spans="1:7" x14ac:dyDescent="0.45">
      <c r="A211" t="str">
        <f t="shared" si="15"/>
        <v>V0210</v>
      </c>
      <c r="B211" t="str">
        <f t="shared" ca="1" si="16"/>
        <v>13/09/2026</v>
      </c>
      <c r="C211" t="str">
        <f t="shared" ca="1" si="17"/>
        <v>Abdoulaye Gueye</v>
      </c>
      <c r="D211" t="str" cm="1">
        <f t="array" aca="1" ref="D211" ca="1">INDEX({"Dakar";"dakar";"DAKAR";"Dakar ";"Thiès";"TOUBA";"Kaolack";"Saint-Louis"},RANDBETWEEN(1,8))</f>
        <v>Saint-Louis</v>
      </c>
      <c r="E211" t="str" cm="1">
        <f t="array" aca="1" ref="E211" ca="1">INDEX({"Laptop";"Souris";"Clavier";"Ecran";"Casque";"Tablete";"Imprimante";"Disque dur"},RANDBETWEEN(1,8))</f>
        <v>Imprimante</v>
      </c>
      <c r="F211">
        <f t="shared" ca="1" si="18"/>
        <v>6</v>
      </c>
      <c r="G211" t="str">
        <f t="shared" ca="1" si="19"/>
        <v>192897</v>
      </c>
    </row>
    <row r="212" spans="1:7" x14ac:dyDescent="0.45">
      <c r="A212" t="str">
        <f t="shared" si="15"/>
        <v>V0211</v>
      </c>
      <c r="B212" t="str">
        <f t="shared" ca="1" si="16"/>
        <v>2026-09-30</v>
      </c>
      <c r="C212" t="str">
        <f t="shared" ca="1" si="17"/>
        <v xml:space="preserve">Ousmane Ndiaye  </v>
      </c>
      <c r="D212" t="str" cm="1">
        <f t="array" aca="1" ref="D212" ca="1">INDEX({"Dakar";"dakar";"DAKAR";"Dakar ";"Thiès";"TOUBA";"Kaolack";"Saint-Louis"},RANDBETWEEN(1,8))</f>
        <v>Dakar</v>
      </c>
      <c r="E212" t="str" cm="1">
        <f t="array" aca="1" ref="E212" ca="1">INDEX({"Laptop";"Souris";"Clavier";"Ecran";"Casque";"Tablete";"Imprimante";"Disque dur"},RANDBETWEEN(1,8))</f>
        <v>Ecran</v>
      </c>
      <c r="F212">
        <f t="shared" ca="1" si="18"/>
        <v>9</v>
      </c>
      <c r="G212" t="str">
        <f t="shared" ca="1" si="19"/>
        <v>€414816</v>
      </c>
    </row>
    <row r="213" spans="1:7" x14ac:dyDescent="0.45">
      <c r="A213" t="str">
        <f t="shared" si="15"/>
        <v>V0212</v>
      </c>
      <c r="B213" t="str">
        <f t="shared" ca="1" si="16"/>
        <v>11/09/2026</v>
      </c>
      <c r="C213" t="str">
        <f t="shared" ca="1" si="17"/>
        <v>Awa Ndiaye</v>
      </c>
      <c r="D213" t="str" cm="1">
        <f t="array" aca="1" ref="D213" ca="1">INDEX({"Dakar";"dakar";"DAKAR";"Dakar ";"Thiès";"TOUBA";"Kaolack";"Saint-Louis"},RANDBETWEEN(1,8))</f>
        <v>TOUBA</v>
      </c>
      <c r="E213" t="str" cm="1">
        <f t="array" aca="1" ref="E213" ca="1">INDEX({"Laptop";"Souris";"Clavier";"Ecran";"Casque";"Tablete";"Imprimante";"Disque dur"},RANDBETWEEN(1,8))</f>
        <v>Clavier</v>
      </c>
      <c r="F213">
        <f t="shared" ca="1" si="18"/>
        <v>3</v>
      </c>
      <c r="G213" t="str">
        <f t="shared" ca="1" si="19"/>
        <v>419032 €</v>
      </c>
    </row>
    <row r="214" spans="1:7" x14ac:dyDescent="0.45">
      <c r="A214" t="str">
        <f t="shared" si="15"/>
        <v>V0213</v>
      </c>
      <c r="B214" t="str">
        <f t="shared" ca="1" si="16"/>
        <v>2026-09-05</v>
      </c>
      <c r="C214" t="str">
        <f t="shared" ca="1" si="17"/>
        <v xml:space="preserve">  Cheikh Ba</v>
      </c>
      <c r="D214" t="str" cm="1">
        <f t="array" aca="1" ref="D214" ca="1">INDEX({"Dakar";"dakar";"DAKAR";"Dakar ";"Thiès";"TOUBA";"Kaolack";"Saint-Louis"},RANDBETWEEN(1,8))</f>
        <v>Saint-Louis</v>
      </c>
      <c r="E214" t="str" cm="1">
        <f t="array" aca="1" ref="E214" ca="1">INDEX({"Laptop";"Souris";"Clavier";"Ecran";"Casque";"Tablete";"Imprimante";"Disque dur"},RANDBETWEEN(1,8))</f>
        <v>Ecran</v>
      </c>
      <c r="F214">
        <f t="shared" ca="1" si="18"/>
        <v>8</v>
      </c>
      <c r="G214" t="str">
        <f t="shared" ca="1" si="19"/>
        <v>€336697</v>
      </c>
    </row>
    <row r="215" spans="1:7" x14ac:dyDescent="0.45">
      <c r="A215" t="str">
        <f t="shared" si="15"/>
        <v>V0214</v>
      </c>
      <c r="B215" t="str">
        <f t="shared" ca="1" si="16"/>
        <v>2026-09-21</v>
      </c>
      <c r="C215" t="str">
        <f t="shared" ca="1" si="17"/>
        <v>Mamadou Diop</v>
      </c>
      <c r="D215" t="str" cm="1">
        <f t="array" aca="1" ref="D215" ca="1">INDEX({"Dakar";"dakar";"DAKAR";"Dakar ";"Thiès";"TOUBA";"Kaolack";"Saint-Louis"},RANDBETWEEN(1,8))</f>
        <v>Kaolack</v>
      </c>
      <c r="E215" t="str" cm="1">
        <f t="array" aca="1" ref="E215" ca="1">INDEX({"Laptop";"Souris";"Clavier";"Ecran";"Casque";"Tablete";"Imprimante";"Disque dur"},RANDBETWEEN(1,8))</f>
        <v>Imprimante</v>
      </c>
      <c r="F215">
        <f t="shared" ca="1" si="18"/>
        <v>5</v>
      </c>
      <c r="G215" t="str">
        <f t="shared" ca="1" si="19"/>
        <v>202439€</v>
      </c>
    </row>
    <row r="216" spans="1:7" x14ac:dyDescent="0.45">
      <c r="A216" t="str">
        <f t="shared" si="15"/>
        <v>V0215</v>
      </c>
      <c r="B216" t="str">
        <f t="shared" ca="1" si="16"/>
        <v>12-09-26</v>
      </c>
      <c r="C216" t="str">
        <f t="shared" ca="1" si="17"/>
        <v>Mamadou Diop</v>
      </c>
      <c r="D216" t="str" cm="1">
        <f t="array" aca="1" ref="D216" ca="1">INDEX({"Dakar";"dakar";"DAKAR";"Dakar ";"Thiès";"TOUBA";"Kaolack";"Saint-Louis"},RANDBETWEEN(1,8))</f>
        <v>Thiès</v>
      </c>
      <c r="E216" t="str" cm="1">
        <f t="array" aca="1" ref="E216" ca="1">INDEX({"Laptop";"Souris";"Clavier";"Ecran";"Casque";"Tablete";"Imprimante";"Disque dur"},RANDBETWEEN(1,8))</f>
        <v>Imprimante</v>
      </c>
      <c r="F216">
        <f t="shared" ca="1" si="18"/>
        <v>9</v>
      </c>
      <c r="G216" t="str">
        <f t="shared" ca="1" si="19"/>
        <v>€79317</v>
      </c>
    </row>
    <row r="217" spans="1:7" x14ac:dyDescent="0.45">
      <c r="A217" t="str">
        <f t="shared" si="15"/>
        <v>V0216</v>
      </c>
      <c r="B217" t="str">
        <f t="shared" ca="1" si="16"/>
        <v>2026-09-21</v>
      </c>
      <c r="C217" t="str">
        <f t="shared" ca="1" si="17"/>
        <v>Mamadou Diop</v>
      </c>
      <c r="D217" t="str" cm="1">
        <f t="array" aca="1" ref="D217" ca="1">INDEX({"Dakar";"dakar";"DAKAR";"Dakar ";"Thiès";"TOUBA";"Kaolack";"Saint-Louis"},RANDBETWEEN(1,8))</f>
        <v>DAKAR</v>
      </c>
      <c r="E217" t="str" cm="1">
        <f t="array" aca="1" ref="E217" ca="1">INDEX({"Laptop";"Souris";"Clavier";"Ecran";"Casque";"Tablete";"Imprimante";"Disque dur"},RANDBETWEEN(1,8))</f>
        <v>Ecran</v>
      </c>
      <c r="F217">
        <f t="shared" ca="1" si="18"/>
        <v>10</v>
      </c>
      <c r="G217" t="str">
        <f t="shared" ca="1" si="19"/>
        <v>442302 €</v>
      </c>
    </row>
    <row r="218" spans="1:7" x14ac:dyDescent="0.45">
      <c r="A218" t="str">
        <f t="shared" si="15"/>
        <v>V0217</v>
      </c>
      <c r="B218" t="str">
        <f t="shared" ca="1" si="16"/>
        <v>21/09/2026</v>
      </c>
      <c r="C218" t="str">
        <f t="shared" ca="1" si="17"/>
        <v>Mamadou Diop</v>
      </c>
      <c r="D218" t="str" cm="1">
        <f t="array" aca="1" ref="D218" ca="1">INDEX({"Dakar";"dakar";"DAKAR";"Dakar ";"Thiès";"TOUBA";"Kaolack";"Saint-Louis"},RANDBETWEEN(1,8))</f>
        <v>Kaolack</v>
      </c>
      <c r="E218" t="str" cm="1">
        <f t="array" aca="1" ref="E218" ca="1">INDEX({"Laptop";"Souris";"Clavier";"Ecran";"Casque";"Tablete";"Imprimante";"Disque dur"},RANDBETWEEN(1,8))</f>
        <v>Laptop</v>
      </c>
      <c r="F218" t="str">
        <f t="shared" ca="1" si="18"/>
        <v>10</v>
      </c>
      <c r="G218" t="str">
        <f t="shared" ca="1" si="19"/>
        <v>187253 €</v>
      </c>
    </row>
    <row r="219" spans="1:7" x14ac:dyDescent="0.45">
      <c r="A219" t="str">
        <f t="shared" si="15"/>
        <v>V0218</v>
      </c>
      <c r="B219" t="str">
        <f t="shared" ca="1" si="16"/>
        <v>09/09/2026</v>
      </c>
      <c r="C219" t="str">
        <f t="shared" ca="1" si="17"/>
        <v>Awa Ndiaye</v>
      </c>
      <c r="D219" t="str" cm="1">
        <f t="array" aca="1" ref="D219" ca="1">INDEX({"Dakar";"dakar";"DAKAR";"Dakar ";"Thiès";"TOUBA";"Kaolack";"Saint-Louis"},RANDBETWEEN(1,8))</f>
        <v xml:space="preserve">Dakar </v>
      </c>
      <c r="E219" t="str" cm="1">
        <f t="array" aca="1" ref="E219" ca="1">INDEX({"Laptop";"Souris";"Clavier";"Ecran";"Casque";"Tablete";"Imprimante";"Disque dur"},RANDBETWEEN(1,8))</f>
        <v>Disque dur</v>
      </c>
      <c r="F219">
        <f t="shared" ca="1" si="18"/>
        <v>9</v>
      </c>
      <c r="G219" t="str">
        <f t="shared" ca="1" si="19"/>
        <v>€134125</v>
      </c>
    </row>
    <row r="220" spans="1:7" x14ac:dyDescent="0.45">
      <c r="A220" t="str">
        <f t="shared" si="15"/>
        <v>V0219</v>
      </c>
      <c r="B220" t="str">
        <f t="shared" ca="1" si="16"/>
        <v>24-09-26</v>
      </c>
      <c r="C220" t="str">
        <f t="shared" ca="1" si="17"/>
        <v xml:space="preserve">Ousmane Ndiaye  </v>
      </c>
      <c r="D220" t="str" cm="1">
        <f t="array" aca="1" ref="D220" ca="1">INDEX({"Dakar";"dakar";"DAKAR";"Dakar ";"Thiès";"TOUBA";"Kaolack";"Saint-Louis"},RANDBETWEEN(1,8))</f>
        <v xml:space="preserve">Dakar </v>
      </c>
      <c r="E220" t="str" cm="1">
        <f t="array" aca="1" ref="E220" ca="1">INDEX({"Laptop";"Souris";"Clavier";"Ecran";"Casque";"Tablete";"Imprimante";"Disque dur"},RANDBETWEEN(1,8))</f>
        <v>Souris</v>
      </c>
      <c r="F220">
        <f t="shared" ca="1" si="18"/>
        <v>4</v>
      </c>
      <c r="G220" t="str">
        <f t="shared" ca="1" si="19"/>
        <v>16479 €</v>
      </c>
    </row>
    <row r="221" spans="1:7" x14ac:dyDescent="0.45">
      <c r="A221" t="str">
        <f t="shared" si="15"/>
        <v>V0220</v>
      </c>
      <c r="B221" t="str">
        <f t="shared" ca="1" si="16"/>
        <v>01-09-26</v>
      </c>
      <c r="C221" t="str">
        <f t="shared" ca="1" si="17"/>
        <v>Sokhna Diallo</v>
      </c>
      <c r="D221" t="str" cm="1">
        <f t="array" aca="1" ref="D221" ca="1">INDEX({"Dakar";"dakar";"DAKAR";"Dakar ";"Thiès";"TOUBA";"Kaolack";"Saint-Louis"},RANDBETWEEN(1,8))</f>
        <v>Thiès</v>
      </c>
      <c r="E221" t="str" cm="1">
        <f t="array" aca="1" ref="E221" ca="1">INDEX({"Laptop";"Souris";"Clavier";"Ecran";"Casque";"Tablete";"Imprimante";"Disque dur"},RANDBETWEEN(1,8))</f>
        <v>Casque</v>
      </c>
      <c r="F221" t="str">
        <f t="shared" ca="1" si="18"/>
        <v>4</v>
      </c>
      <c r="G221" t="str">
        <f t="shared" ca="1" si="19"/>
        <v>92381€</v>
      </c>
    </row>
    <row r="222" spans="1:7" x14ac:dyDescent="0.45">
      <c r="A222" t="str">
        <f t="shared" si="15"/>
        <v>V0221</v>
      </c>
      <c r="B222" t="str">
        <f t="shared" ca="1" si="16"/>
        <v>14-09-26</v>
      </c>
      <c r="C222" t="str">
        <f t="shared" ca="1" si="17"/>
        <v xml:space="preserve">  Cheikh Ba</v>
      </c>
      <c r="D222" t="str" cm="1">
        <f t="array" aca="1" ref="D222" ca="1">INDEX({"Dakar";"dakar";"DAKAR";"Dakar ";"Thiès";"TOUBA";"Kaolack";"Saint-Louis"},RANDBETWEEN(1,8))</f>
        <v>Dakar</v>
      </c>
      <c r="E222" t="str" cm="1">
        <f t="array" aca="1" ref="E222" ca="1">INDEX({"Laptop";"Souris";"Clavier";"Ecran";"Casque";"Tablete";"Imprimante";"Disque dur"},RANDBETWEEN(1,8))</f>
        <v>Clavier</v>
      </c>
      <c r="F222">
        <f t="shared" ca="1" si="18"/>
        <v>1</v>
      </c>
      <c r="G222" t="str">
        <f t="shared" ca="1" si="19"/>
        <v>267844€</v>
      </c>
    </row>
    <row r="223" spans="1:7" x14ac:dyDescent="0.45">
      <c r="A223" t="str">
        <f t="shared" si="15"/>
        <v>V0222</v>
      </c>
      <c r="B223" t="str">
        <f t="shared" ca="1" si="16"/>
        <v>29/09/2026</v>
      </c>
      <c r="C223" t="str">
        <f t="shared" ca="1" si="17"/>
        <v>Mamadou Diop</v>
      </c>
      <c r="D223" t="str" cm="1">
        <f t="array" aca="1" ref="D223" ca="1">INDEX({"Dakar";"dakar";"DAKAR";"Dakar ";"Thiès";"TOUBA";"Kaolack";"Saint-Louis"},RANDBETWEEN(1,8))</f>
        <v>Kaolack</v>
      </c>
      <c r="E223" t="str" cm="1">
        <f t="array" aca="1" ref="E223" ca="1">INDEX({"Laptop";"Souris";"Clavier";"Ecran";"Casque";"Tablete";"Imprimante";"Disque dur"},RANDBETWEEN(1,8))</f>
        <v>Ecran</v>
      </c>
      <c r="F223">
        <f t="shared" ca="1" si="18"/>
        <v>5</v>
      </c>
      <c r="G223" t="str">
        <f t="shared" ca="1" si="19"/>
        <v>360466</v>
      </c>
    </row>
    <row r="224" spans="1:7" x14ac:dyDescent="0.45">
      <c r="A224" t="str">
        <f t="shared" si="15"/>
        <v>V0223</v>
      </c>
      <c r="B224" t="str">
        <f t="shared" ca="1" si="16"/>
        <v>28/09/2026</v>
      </c>
      <c r="C224" t="str">
        <f t="shared" ca="1" si="17"/>
        <v>Abdoulaye Gueye</v>
      </c>
      <c r="D224" t="str" cm="1">
        <f t="array" aca="1" ref="D224" ca="1">INDEX({"Dakar";"dakar";"DAKAR";"Dakar ";"Thiès";"TOUBA";"Kaolack";"Saint-Louis"},RANDBETWEEN(1,8))</f>
        <v>TOUBA</v>
      </c>
      <c r="E224" t="str" cm="1">
        <f t="array" aca="1" ref="E224" ca="1">INDEX({"Laptop";"Souris";"Clavier";"Ecran";"Casque";"Tablete";"Imprimante";"Disque dur"},RANDBETWEEN(1,8))</f>
        <v>Ecran</v>
      </c>
      <c r="F224">
        <f t="shared" ca="1" si="18"/>
        <v>5</v>
      </c>
      <c r="G224" t="str">
        <f t="shared" ca="1" si="19"/>
        <v>165162 €</v>
      </c>
    </row>
    <row r="225" spans="1:7" x14ac:dyDescent="0.45">
      <c r="A225" t="str">
        <f t="shared" si="15"/>
        <v>V0224</v>
      </c>
      <c r="B225" t="str">
        <f t="shared" ca="1" si="16"/>
        <v>18-09-26</v>
      </c>
      <c r="C225" t="str">
        <f t="shared" ca="1" si="17"/>
        <v>Fatou Fall</v>
      </c>
      <c r="D225" t="str" cm="1">
        <f t="array" aca="1" ref="D225" ca="1">INDEX({"Dakar";"dakar";"DAKAR";"Dakar ";"Thiès";"TOUBA";"Kaolack";"Saint-Louis"},RANDBETWEEN(1,8))</f>
        <v>Dakar</v>
      </c>
      <c r="E225" t="str" cm="1">
        <f t="array" aca="1" ref="E225" ca="1">INDEX({"Laptop";"Souris";"Clavier";"Ecran";"Casque";"Tablete";"Imprimante";"Disque dur"},RANDBETWEEN(1,8))</f>
        <v>Souris</v>
      </c>
      <c r="F225">
        <f t="shared" ca="1" si="18"/>
        <v>9</v>
      </c>
      <c r="G225" t="str">
        <f t="shared" ca="1" si="19"/>
        <v>456978€</v>
      </c>
    </row>
    <row r="226" spans="1:7" x14ac:dyDescent="0.45">
      <c r="A226" t="str">
        <f t="shared" si="15"/>
        <v>V0225</v>
      </c>
      <c r="B226" t="str">
        <f t="shared" ca="1" si="16"/>
        <v>12/09/2026</v>
      </c>
      <c r="C226" t="str">
        <f t="shared" ca="1" si="17"/>
        <v>Mamadou Diop</v>
      </c>
      <c r="D226" t="str" cm="1">
        <f t="array" aca="1" ref="D226" ca="1">INDEX({"Dakar";"dakar";"DAKAR";"Dakar ";"Thiès";"TOUBA";"Kaolack";"Saint-Louis"},RANDBETWEEN(1,8))</f>
        <v>Thiès</v>
      </c>
      <c r="E226" t="str" cm="1">
        <f t="array" aca="1" ref="E226" ca="1">INDEX({"Laptop";"Souris";"Clavier";"Ecran";"Casque";"Tablete";"Imprimante";"Disque dur"},RANDBETWEEN(1,8))</f>
        <v>Disque dur</v>
      </c>
      <c r="F226">
        <f t="shared" ca="1" si="18"/>
        <v>4</v>
      </c>
      <c r="G226" t="str">
        <f t="shared" ca="1" si="19"/>
        <v>340452€</v>
      </c>
    </row>
    <row r="227" spans="1:7" x14ac:dyDescent="0.45">
      <c r="A227" t="str">
        <f t="shared" si="15"/>
        <v>V0226</v>
      </c>
      <c r="B227" t="str">
        <f t="shared" ca="1" si="16"/>
        <v>2026-09-10</v>
      </c>
      <c r="C227" t="str">
        <f t="shared" ca="1" si="17"/>
        <v>Sokhna Diallo</v>
      </c>
      <c r="D227" t="str" cm="1">
        <f t="array" aca="1" ref="D227" ca="1">INDEX({"Dakar";"dakar";"DAKAR";"Dakar ";"Thiès";"TOUBA";"Kaolack";"Saint-Louis"},RANDBETWEEN(1,8))</f>
        <v>DAKAR</v>
      </c>
      <c r="E227" t="str" cm="1">
        <f t="array" aca="1" ref="E227" ca="1">INDEX({"Laptop";"Souris";"Clavier";"Ecran";"Casque";"Tablete";"Imprimante";"Disque dur"},RANDBETWEEN(1,8))</f>
        <v>Ecran</v>
      </c>
      <c r="F227" t="str">
        <f t="shared" ca="1" si="18"/>
        <v>7</v>
      </c>
      <c r="G227" t="str">
        <f t="shared" ca="1" si="19"/>
        <v>€32790</v>
      </c>
    </row>
    <row r="228" spans="1:7" x14ac:dyDescent="0.45">
      <c r="A228" t="str">
        <f t="shared" si="15"/>
        <v>V0227</v>
      </c>
      <c r="B228" t="str">
        <f t="shared" ca="1" si="16"/>
        <v>25-09-26</v>
      </c>
      <c r="C228" t="str">
        <f t="shared" ca="1" si="17"/>
        <v>Sokhna Diallo</v>
      </c>
      <c r="D228" t="str" cm="1">
        <f t="array" aca="1" ref="D228" ca="1">INDEX({"Dakar";"dakar";"DAKAR";"Dakar ";"Thiès";"TOUBA";"Kaolack";"Saint-Louis"},RANDBETWEEN(1,8))</f>
        <v xml:space="preserve">Dakar </v>
      </c>
      <c r="E228" t="str" cm="1">
        <f t="array" aca="1" ref="E228" ca="1">INDEX({"Laptop";"Souris";"Clavier";"Ecran";"Casque";"Tablete";"Imprimante";"Disque dur"},RANDBETWEEN(1,8))</f>
        <v>Casque</v>
      </c>
      <c r="F228">
        <f t="shared" ca="1" si="18"/>
        <v>6</v>
      </c>
      <c r="G228" t="str">
        <f t="shared" ca="1" si="19"/>
        <v>70694</v>
      </c>
    </row>
    <row r="229" spans="1:7" x14ac:dyDescent="0.45">
      <c r="A229" t="str">
        <f t="shared" si="15"/>
        <v>V0228</v>
      </c>
      <c r="B229" t="str">
        <f t="shared" ca="1" si="16"/>
        <v>01-09-26</v>
      </c>
      <c r="C229" t="str">
        <f t="shared" ca="1" si="17"/>
        <v>Mamadou Diop</v>
      </c>
      <c r="D229" t="str" cm="1">
        <f t="array" aca="1" ref="D229" ca="1">INDEX({"Dakar";"dakar";"DAKAR";"Dakar ";"Thiès";"TOUBA";"Kaolack";"Saint-Louis"},RANDBETWEEN(1,8))</f>
        <v>Dakar</v>
      </c>
      <c r="E229" t="str" cm="1">
        <f t="array" aca="1" ref="E229" ca="1">INDEX({"Laptop";"Souris";"Clavier";"Ecran";"Casque";"Tablete";"Imprimante";"Disque dur"},RANDBETWEEN(1,8))</f>
        <v>Tablete</v>
      </c>
      <c r="F229">
        <f t="shared" ca="1" si="18"/>
        <v>6</v>
      </c>
      <c r="G229" t="str">
        <f t="shared" ca="1" si="19"/>
        <v>€333568</v>
      </c>
    </row>
    <row r="230" spans="1:7" x14ac:dyDescent="0.45">
      <c r="A230" t="str">
        <f t="shared" si="15"/>
        <v>V0229</v>
      </c>
      <c r="B230" t="str">
        <f t="shared" ca="1" si="16"/>
        <v>28/09/2026</v>
      </c>
      <c r="C230" t="str">
        <f t="shared" ca="1" si="17"/>
        <v>Abdoulaye Gueye</v>
      </c>
      <c r="D230" t="str" cm="1">
        <f t="array" aca="1" ref="D230" ca="1">INDEX({"Dakar";"dakar";"DAKAR";"Dakar ";"Thiès";"TOUBA";"Kaolack";"Saint-Louis"},RANDBETWEEN(1,8))</f>
        <v>dakar</v>
      </c>
      <c r="E230" t="str" cm="1">
        <f t="array" aca="1" ref="E230" ca="1">INDEX({"Laptop";"Souris";"Clavier";"Ecran";"Casque";"Tablete";"Imprimante";"Disque dur"},RANDBETWEEN(1,8))</f>
        <v>Tablete</v>
      </c>
      <c r="F230">
        <f t="shared" ca="1" si="18"/>
        <v>8</v>
      </c>
      <c r="G230" t="str">
        <f t="shared" ca="1" si="19"/>
        <v>475835 €</v>
      </c>
    </row>
    <row r="231" spans="1:7" x14ac:dyDescent="0.45">
      <c r="A231" t="str">
        <f t="shared" si="15"/>
        <v>V0230</v>
      </c>
      <c r="B231" t="str">
        <f t="shared" ca="1" si="16"/>
        <v>12/09/2026</v>
      </c>
      <c r="C231" t="str">
        <f t="shared" ca="1" si="17"/>
        <v>Mamadou Diop</v>
      </c>
      <c r="D231" t="str" cm="1">
        <f t="array" aca="1" ref="D231" ca="1">INDEX({"Dakar";"dakar";"DAKAR";"Dakar ";"Thiès";"TOUBA";"Kaolack";"Saint-Louis"},RANDBETWEEN(1,8))</f>
        <v>TOUBA</v>
      </c>
      <c r="E231" t="str" cm="1">
        <f t="array" aca="1" ref="E231" ca="1">INDEX({"Laptop";"Souris";"Clavier";"Ecran";"Casque";"Tablete";"Imprimante";"Disque dur"},RANDBETWEEN(1,8))</f>
        <v>Disque dur</v>
      </c>
      <c r="F231">
        <f t="shared" ca="1" si="18"/>
        <v>8</v>
      </c>
      <c r="G231" t="str">
        <f t="shared" ca="1" si="19"/>
        <v>195763</v>
      </c>
    </row>
    <row r="232" spans="1:7" x14ac:dyDescent="0.45">
      <c r="A232" t="str">
        <f t="shared" si="15"/>
        <v>V0231</v>
      </c>
      <c r="B232" t="str">
        <f t="shared" ca="1" si="16"/>
        <v>2026-09-20</v>
      </c>
      <c r="C232" t="str">
        <f t="shared" ca="1" si="17"/>
        <v>Mariama Sow</v>
      </c>
      <c r="D232" t="str" cm="1">
        <f t="array" aca="1" ref="D232" ca="1">INDEX({"Dakar";"dakar";"DAKAR";"Dakar ";"Thiès";"TOUBA";"Kaolack";"Saint-Louis"},RANDBETWEEN(1,8))</f>
        <v>Dakar</v>
      </c>
      <c r="F232">
        <f t="shared" ca="1" si="18"/>
        <v>3</v>
      </c>
      <c r="G232" t="str">
        <f t="shared" ca="1" si="19"/>
        <v>€483364</v>
      </c>
    </row>
    <row r="233" spans="1:7" x14ac:dyDescent="0.45">
      <c r="A233" t="str">
        <f t="shared" si="15"/>
        <v>V0232</v>
      </c>
      <c r="B233" t="str">
        <f t="shared" ca="1" si="16"/>
        <v>2026-09-17</v>
      </c>
      <c r="C233" t="str">
        <f t="shared" ca="1" si="17"/>
        <v>Mamadou Diop</v>
      </c>
      <c r="D233" t="str" cm="1">
        <f t="array" aca="1" ref="D233" ca="1">INDEX({"Dakar";"dakar";"DAKAR";"Dakar ";"Thiès";"TOUBA";"Kaolack";"Saint-Louis"},RANDBETWEEN(1,8))</f>
        <v xml:space="preserve">Dakar </v>
      </c>
      <c r="E233" t="str" cm="1">
        <f t="array" aca="1" ref="E233" ca="1">INDEX({"Laptop";"Souris";"Clavier";"Ecran";"Casque";"Tablete";"Imprimante";"Disque dur"},RANDBETWEEN(1,8))</f>
        <v>Imprimante</v>
      </c>
      <c r="F233">
        <f t="shared" ca="1" si="18"/>
        <v>1</v>
      </c>
      <c r="G233" t="str">
        <f t="shared" ca="1" si="19"/>
        <v>159653</v>
      </c>
    </row>
    <row r="234" spans="1:7" x14ac:dyDescent="0.45">
      <c r="A234" t="str">
        <f t="shared" si="15"/>
        <v>V0233</v>
      </c>
      <c r="B234" t="str">
        <f t="shared" ca="1" si="16"/>
        <v>16-09-26</v>
      </c>
      <c r="C234" t="str">
        <f t="shared" ca="1" si="17"/>
        <v xml:space="preserve">Ousmane Ndiaye  </v>
      </c>
      <c r="D234" t="str" cm="1">
        <f t="array" aca="1" ref="D234" ca="1">INDEX({"Dakar";"dakar";"DAKAR";"Dakar ";"Thiès";"TOUBA";"Kaolack";"Saint-Louis"},RANDBETWEEN(1,8))</f>
        <v>Saint-Louis</v>
      </c>
      <c r="E234" t="str" cm="1">
        <f t="array" aca="1" ref="E234" ca="1">INDEX({"Laptop";"Souris";"Clavier";"Ecran";"Casque";"Tablete";"Imprimante";"Disque dur"},RANDBETWEEN(1,8))</f>
        <v>Casque</v>
      </c>
      <c r="F234" t="str">
        <f t="shared" ca="1" si="18"/>
        <v>10</v>
      </c>
      <c r="G234" t="str">
        <f t="shared" ca="1" si="19"/>
        <v>90652€</v>
      </c>
    </row>
    <row r="235" spans="1:7" x14ac:dyDescent="0.45">
      <c r="A235" t="str">
        <f t="shared" si="15"/>
        <v>V0234</v>
      </c>
      <c r="B235" t="str">
        <f t="shared" ca="1" si="16"/>
        <v>2026-09-13</v>
      </c>
      <c r="C235" t="str">
        <f t="shared" ca="1" si="17"/>
        <v>Mariama Sow</v>
      </c>
      <c r="D235" t="str" cm="1">
        <f t="array" aca="1" ref="D235" ca="1">INDEX({"Dakar";"dakar";"DAKAR";"Dakar ";"Thiès";"TOUBA";"Kaolack";"Saint-Louis"},RANDBETWEEN(1,8))</f>
        <v>Dakar</v>
      </c>
      <c r="E235" t="str" cm="1">
        <f t="array" aca="1" ref="E235" ca="1">INDEX({"Laptop";"Souris";"Clavier";"Ecran";"Casque";"Tablete";"Imprimante";"Disque dur"},RANDBETWEEN(1,8))</f>
        <v>Laptop</v>
      </c>
      <c r="F235">
        <f t="shared" ca="1" si="18"/>
        <v>9</v>
      </c>
      <c r="G235" t="str">
        <f t="shared" ca="1" si="19"/>
        <v>483684€</v>
      </c>
    </row>
    <row r="236" spans="1:7" x14ac:dyDescent="0.45">
      <c r="A236" t="str">
        <f t="shared" si="15"/>
        <v>V0235</v>
      </c>
      <c r="B236" t="str">
        <f t="shared" ca="1" si="16"/>
        <v>2026-09-17</v>
      </c>
      <c r="C236" t="str">
        <f t="shared" ca="1" si="17"/>
        <v xml:space="preserve">Ousmane Ndiaye  </v>
      </c>
      <c r="D236" t="str" cm="1">
        <f t="array" aca="1" ref="D236" ca="1">INDEX({"Dakar";"dakar";"DAKAR";"Dakar ";"Thiès";"TOUBA";"Kaolack";"Saint-Louis"},RANDBETWEEN(1,8))</f>
        <v>Saint-Louis</v>
      </c>
      <c r="E236" t="str" cm="1">
        <f t="array" aca="1" ref="E236" ca="1">INDEX({"Laptop";"Souris";"Clavier";"Ecran";"Casque";"Tablete";"Imprimante";"Disque dur"},RANDBETWEEN(1,8))</f>
        <v>Clavier</v>
      </c>
      <c r="F236">
        <f t="shared" ca="1" si="18"/>
        <v>7</v>
      </c>
      <c r="G236" t="str">
        <f t="shared" ca="1" si="19"/>
        <v>393211 €</v>
      </c>
    </row>
    <row r="237" spans="1:7" x14ac:dyDescent="0.45">
      <c r="A237" t="str">
        <f t="shared" si="15"/>
        <v>V0236</v>
      </c>
      <c r="B237" t="str">
        <f t="shared" ca="1" si="16"/>
        <v>17-09-26</v>
      </c>
      <c r="C237" t="str">
        <f t="shared" ca="1" si="17"/>
        <v xml:space="preserve">Ousmane Ndiaye  </v>
      </c>
      <c r="D237" t="str" cm="1">
        <f t="array" aca="1" ref="D237" ca="1">INDEX({"Dakar";"dakar";"DAKAR";"Dakar ";"Thiès";"TOUBA";"Kaolack";"Saint-Louis"},RANDBETWEEN(1,8))</f>
        <v>dakar</v>
      </c>
      <c r="E237" t="str" cm="1">
        <f t="array" aca="1" ref="E237" ca="1">INDEX({"Laptop";"Souris";"Clavier";"Ecran";"Casque";"Tablete";"Imprimante";"Disque dur"},RANDBETWEEN(1,8))</f>
        <v>Imprimante</v>
      </c>
      <c r="F237">
        <f t="shared" ca="1" si="18"/>
        <v>2</v>
      </c>
      <c r="G237" t="str">
        <f t="shared" ca="1" si="19"/>
        <v>€163529</v>
      </c>
    </row>
    <row r="238" spans="1:7" x14ac:dyDescent="0.45">
      <c r="A238" t="str">
        <f t="shared" si="15"/>
        <v>V0237</v>
      </c>
      <c r="B238" t="str">
        <f t="shared" ca="1" si="16"/>
        <v>2026-09-09</v>
      </c>
      <c r="C238" t="str">
        <f t="shared" ca="1" si="17"/>
        <v>Awa Ndiaye</v>
      </c>
      <c r="D238" t="str" cm="1">
        <f t="array" aca="1" ref="D238" ca="1">INDEX({"Dakar";"dakar";"DAKAR";"Dakar ";"Thiès";"TOUBA";"Kaolack";"Saint-Louis"},RANDBETWEEN(1,8))</f>
        <v>Dakar</v>
      </c>
      <c r="E238" t="str" cm="1">
        <f t="array" aca="1" ref="E238" ca="1">INDEX({"Laptop";"Souris";"Clavier";"Ecran";"Casque";"Tablete";"Imprimante";"Disque dur"},RANDBETWEEN(1,8))</f>
        <v>Disque dur</v>
      </c>
      <c r="F238">
        <f t="shared" ca="1" si="18"/>
        <v>1</v>
      </c>
      <c r="G238" t="str">
        <f t="shared" ca="1" si="19"/>
        <v>105431</v>
      </c>
    </row>
    <row r="239" spans="1:7" x14ac:dyDescent="0.45">
      <c r="A239" t="str">
        <f t="shared" si="15"/>
        <v>V0238</v>
      </c>
      <c r="B239" t="str">
        <f t="shared" ca="1" si="16"/>
        <v>2026-09-01</v>
      </c>
      <c r="C239" t="str">
        <f t="shared" ca="1" si="17"/>
        <v>Mariama Sow</v>
      </c>
      <c r="D239" t="str" cm="1">
        <f t="array" aca="1" ref="D239" ca="1">INDEX({"Dakar";"dakar";"DAKAR";"Dakar ";"Thiès";"TOUBA";"Kaolack";"Saint-Louis"},RANDBETWEEN(1,8))</f>
        <v>Saint-Louis</v>
      </c>
      <c r="E239" t="str" cm="1">
        <f t="array" aca="1" ref="E239" ca="1">INDEX({"Laptop";"Souris";"Clavier";"Ecran";"Casque";"Tablete";"Imprimante";"Disque dur"},RANDBETWEEN(1,8))</f>
        <v>Laptop</v>
      </c>
      <c r="F239">
        <f t="shared" ca="1" si="18"/>
        <v>5</v>
      </c>
      <c r="G239" t="str">
        <f t="shared" ca="1" si="19"/>
        <v>248020 €</v>
      </c>
    </row>
    <row r="240" spans="1:7" x14ac:dyDescent="0.45">
      <c r="A240" t="str">
        <f t="shared" si="15"/>
        <v>V0239</v>
      </c>
      <c r="B240" t="str">
        <f t="shared" ca="1" si="16"/>
        <v>18/09/2026</v>
      </c>
      <c r="C240" t="str">
        <f t="shared" ca="1" si="17"/>
        <v>Abdoulaye Gueye</v>
      </c>
      <c r="D240" t="str" cm="1">
        <f t="array" aca="1" ref="D240" ca="1">INDEX({"Dakar";"dakar";"DAKAR";"Dakar ";"Thiès";"TOUBA";"Kaolack";"Saint-Louis"},RANDBETWEEN(1,8))</f>
        <v>dakar</v>
      </c>
      <c r="E240" t="str" cm="1">
        <f t="array" aca="1" ref="E240" ca="1">INDEX({"Laptop";"Souris";"Clavier";"Ecran";"Casque";"Tablete";"Imprimante";"Disque dur"},RANDBETWEEN(1,8))</f>
        <v>Imprimante</v>
      </c>
      <c r="F240">
        <f t="shared" ca="1" si="18"/>
        <v>5</v>
      </c>
      <c r="G240" t="str">
        <f t="shared" ca="1" si="19"/>
        <v>112114</v>
      </c>
    </row>
    <row r="241" spans="1:7" x14ac:dyDescent="0.45">
      <c r="A241" t="str">
        <f t="shared" si="15"/>
        <v>V0240</v>
      </c>
      <c r="B241" t="str">
        <f t="shared" ca="1" si="16"/>
        <v>07/09/2026</v>
      </c>
      <c r="C241" t="str">
        <f t="shared" ca="1" si="17"/>
        <v>Awa Ndiaye</v>
      </c>
      <c r="D241" t="str" cm="1">
        <f t="array" aca="1" ref="D241" ca="1">INDEX({"Dakar";"dakar";"DAKAR";"Dakar ";"Thiès";"TOUBA";"Kaolack";"Saint-Louis"},RANDBETWEEN(1,8))</f>
        <v>dakar</v>
      </c>
      <c r="E241" t="str" cm="1">
        <f t="array" aca="1" ref="E241" ca="1">INDEX({"Laptop";"Souris";"Clavier";"Ecran";"Casque";"Tablete";"Imprimante";"Disque dur"},RANDBETWEEN(1,8))</f>
        <v>Laptop</v>
      </c>
      <c r="F241">
        <f t="shared" ca="1" si="18"/>
        <v>3</v>
      </c>
      <c r="G241" t="str">
        <f t="shared" ca="1" si="19"/>
        <v>€416791</v>
      </c>
    </row>
    <row r="242" spans="1:7" x14ac:dyDescent="0.45">
      <c r="A242" t="str">
        <f t="shared" si="15"/>
        <v>V0241</v>
      </c>
      <c r="B242" t="str">
        <f t="shared" ca="1" si="16"/>
        <v>2026-09-30</v>
      </c>
      <c r="C242" t="str">
        <f t="shared" ca="1" si="17"/>
        <v xml:space="preserve">Ousmane Ndiaye  </v>
      </c>
      <c r="D242" t="str" cm="1">
        <f t="array" aca="1" ref="D242" ca="1">INDEX({"Dakar";"dakar";"DAKAR";"Dakar ";"Thiès";"TOUBA";"Kaolack";"Saint-Louis"},RANDBETWEEN(1,8))</f>
        <v>Thiès</v>
      </c>
      <c r="E242" t="str" cm="1">
        <f t="array" aca="1" ref="E242" ca="1">INDEX({"Laptop";"Souris";"Clavier";"Ecran";"Casque";"Tablete";"Imprimante";"Disque dur"},RANDBETWEEN(1,8))</f>
        <v>Tablete</v>
      </c>
      <c r="F242">
        <f t="shared" ca="1" si="18"/>
        <v>3</v>
      </c>
      <c r="G242" t="str">
        <f t="shared" ca="1" si="19"/>
        <v>€391935</v>
      </c>
    </row>
    <row r="243" spans="1:7" x14ac:dyDescent="0.45">
      <c r="A243" t="str">
        <f t="shared" si="15"/>
        <v>V0242</v>
      </c>
      <c r="B243" t="str">
        <f t="shared" ca="1" si="16"/>
        <v>2026-09-10</v>
      </c>
      <c r="C243" t="str">
        <f t="shared" ca="1" si="17"/>
        <v>Mamadou Diop</v>
      </c>
      <c r="D243" t="str" cm="1">
        <f t="array" aca="1" ref="D243" ca="1">INDEX({"Dakar";"dakar";"DAKAR";"Dakar ";"Thiès";"TOUBA";"Kaolack";"Saint-Louis"},RANDBETWEEN(1,8))</f>
        <v>dakar</v>
      </c>
      <c r="E243" t="str" cm="1">
        <f t="array" aca="1" ref="E243" ca="1">INDEX({"Laptop";"Souris";"Clavier";"Ecran";"Casque";"Tablete";"Imprimante";"Disque dur"},RANDBETWEEN(1,8))</f>
        <v>Clavier</v>
      </c>
      <c r="F243">
        <f t="shared" ca="1" si="18"/>
        <v>1</v>
      </c>
      <c r="G243" t="str">
        <f t="shared" ca="1" si="19"/>
        <v>212866</v>
      </c>
    </row>
    <row r="244" spans="1:7" x14ac:dyDescent="0.45">
      <c r="A244" t="str">
        <f t="shared" si="15"/>
        <v>V0243</v>
      </c>
      <c r="B244" t="str">
        <f t="shared" ca="1" si="16"/>
        <v>10-09-26</v>
      </c>
      <c r="D244" t="str" cm="1">
        <f t="array" aca="1" ref="D244" ca="1">INDEX({"Dakar";"dakar";"DAKAR";"Dakar ";"Thiès";"TOUBA";"Kaolack";"Saint-Louis"},RANDBETWEEN(1,8))</f>
        <v>DAKAR</v>
      </c>
      <c r="E244" t="str" cm="1">
        <f t="array" aca="1" ref="E244" ca="1">INDEX({"Laptop";"Souris";"Clavier";"Ecran";"Casque";"Tablete";"Imprimante";"Disque dur"},RANDBETWEEN(1,8))</f>
        <v>Tablete</v>
      </c>
      <c r="F244">
        <f t="shared" ca="1" si="18"/>
        <v>1</v>
      </c>
      <c r="G244" t="str">
        <f t="shared" ca="1" si="19"/>
        <v>283117 €</v>
      </c>
    </row>
    <row r="245" spans="1:7" x14ac:dyDescent="0.45">
      <c r="A245" t="str">
        <f t="shared" si="15"/>
        <v>V0244</v>
      </c>
      <c r="B245" t="str">
        <f t="shared" ca="1" si="16"/>
        <v>01-09-26</v>
      </c>
      <c r="C245" t="str">
        <f t="shared" ca="1" si="17"/>
        <v>Fatou Fall</v>
      </c>
      <c r="D245" t="str" cm="1">
        <f t="array" aca="1" ref="D245" ca="1">INDEX({"Dakar";"dakar";"DAKAR";"Dakar ";"Thiès";"TOUBA";"Kaolack";"Saint-Louis"},RANDBETWEEN(1,8))</f>
        <v>Saint-Louis</v>
      </c>
      <c r="E245" t="str" cm="1">
        <f t="array" aca="1" ref="E245" ca="1">INDEX({"Laptop";"Souris";"Clavier";"Ecran";"Casque";"Tablete";"Imprimante";"Disque dur"},RANDBETWEEN(1,8))</f>
        <v>Casque</v>
      </c>
      <c r="F245">
        <f t="shared" ca="1" si="18"/>
        <v>3</v>
      </c>
      <c r="G245" t="str">
        <f t="shared" ca="1" si="19"/>
        <v>€335848</v>
      </c>
    </row>
    <row r="246" spans="1:7" x14ac:dyDescent="0.45">
      <c r="A246" t="str">
        <f t="shared" si="15"/>
        <v>V0245</v>
      </c>
      <c r="B246" t="str">
        <f t="shared" ca="1" si="16"/>
        <v>06/09/2026</v>
      </c>
      <c r="C246" t="str">
        <f t="shared" ca="1" si="17"/>
        <v>Mamadou Diop</v>
      </c>
      <c r="D246" t="str" cm="1">
        <f t="array" aca="1" ref="D246" ca="1">INDEX({"Dakar";"dakar";"DAKAR";"Dakar ";"Thiès";"TOUBA";"Kaolack";"Saint-Louis"},RANDBETWEEN(1,8))</f>
        <v>DAKAR</v>
      </c>
      <c r="E246" t="str" cm="1">
        <f t="array" aca="1" ref="E246" ca="1">INDEX({"Laptop";"Souris";"Clavier";"Ecran";"Casque";"Tablete";"Imprimante";"Disque dur"},RANDBETWEEN(1,8))</f>
        <v>Casque</v>
      </c>
      <c r="F246">
        <f t="shared" ca="1" si="18"/>
        <v>7</v>
      </c>
      <c r="G246" t="str">
        <f t="shared" ca="1" si="19"/>
        <v>47142</v>
      </c>
    </row>
    <row r="247" spans="1:7" x14ac:dyDescent="0.45">
      <c r="A247" t="str">
        <f t="shared" si="15"/>
        <v>V0246</v>
      </c>
      <c r="B247" t="str">
        <f t="shared" ca="1" si="16"/>
        <v>21/09/2026</v>
      </c>
      <c r="C247" t="str">
        <f t="shared" ca="1" si="17"/>
        <v>Fatou Fall</v>
      </c>
      <c r="D247" t="str" cm="1">
        <f t="array" aca="1" ref="D247" ca="1">INDEX({"Dakar";"dakar";"DAKAR";"Dakar ";"Thiès";"TOUBA";"Kaolack";"Saint-Louis"},RANDBETWEEN(1,8))</f>
        <v>Dakar</v>
      </c>
      <c r="E247" t="str" cm="1">
        <f t="array" aca="1" ref="E247" ca="1">INDEX({"Laptop";"Souris";"Clavier";"Ecran";"Casque";"Tablete";"Imprimante";"Disque dur"},RANDBETWEEN(1,8))</f>
        <v>Ecran</v>
      </c>
      <c r="F247">
        <f t="shared" ca="1" si="18"/>
        <v>10</v>
      </c>
      <c r="G247" t="str">
        <f t="shared" ca="1" si="19"/>
        <v>140442 €</v>
      </c>
    </row>
    <row r="248" spans="1:7" x14ac:dyDescent="0.45">
      <c r="A248" t="str">
        <f t="shared" si="15"/>
        <v>V0247</v>
      </c>
      <c r="B248" t="str">
        <f t="shared" ca="1" si="16"/>
        <v>03/09/2026</v>
      </c>
      <c r="C248" t="str">
        <f t="shared" ca="1" si="17"/>
        <v>Abdoulaye Gueye</v>
      </c>
      <c r="D248" t="str" cm="1">
        <f t="array" aca="1" ref="D248" ca="1">INDEX({"Dakar";"dakar";"DAKAR";"Dakar ";"Thiès";"TOUBA";"Kaolack";"Saint-Louis"},RANDBETWEEN(1,8))</f>
        <v xml:space="preserve">Dakar </v>
      </c>
      <c r="E248" t="str" cm="1">
        <f t="array" aca="1" ref="E248" ca="1">INDEX({"Laptop";"Souris";"Clavier";"Ecran";"Casque";"Tablete";"Imprimante";"Disque dur"},RANDBETWEEN(1,8))</f>
        <v>Imprimante</v>
      </c>
      <c r="F248">
        <f t="shared" ca="1" si="18"/>
        <v>10</v>
      </c>
      <c r="G248" t="str">
        <f t="shared" ca="1" si="19"/>
        <v>12545€</v>
      </c>
    </row>
    <row r="249" spans="1:7" x14ac:dyDescent="0.45">
      <c r="A249" t="str">
        <f t="shared" si="15"/>
        <v>V0248</v>
      </c>
      <c r="B249" t="str">
        <f t="shared" ca="1" si="16"/>
        <v>09-09-26</v>
      </c>
      <c r="C249" t="str">
        <f t="shared" ca="1" si="17"/>
        <v xml:space="preserve">  Cheikh Ba</v>
      </c>
      <c r="D249" t="str" cm="1">
        <f t="array" aca="1" ref="D249" ca="1">INDEX({"Dakar";"dakar";"DAKAR";"Dakar ";"Thiès";"TOUBA";"Kaolack";"Saint-Louis"},RANDBETWEEN(1,8))</f>
        <v>Saint-Louis</v>
      </c>
      <c r="E249" t="str" cm="1">
        <f t="array" aca="1" ref="E249" ca="1">INDEX({"Laptop";"Souris";"Clavier";"Ecran";"Casque";"Tablete";"Imprimante";"Disque dur"},RANDBETWEEN(1,8))</f>
        <v>Tablete</v>
      </c>
      <c r="F249">
        <f t="shared" ca="1" si="18"/>
        <v>4</v>
      </c>
      <c r="G249" t="str">
        <f t="shared" ca="1" si="19"/>
        <v>€447144</v>
      </c>
    </row>
    <row r="250" spans="1:7" x14ac:dyDescent="0.45">
      <c r="A250" t="str">
        <f t="shared" si="15"/>
        <v>V0249</v>
      </c>
      <c r="B250" t="str">
        <f t="shared" ca="1" si="16"/>
        <v>19/09/2026</v>
      </c>
      <c r="C250" t="str">
        <f t="shared" ca="1" si="17"/>
        <v xml:space="preserve">  Cheikh Ba</v>
      </c>
      <c r="D250" t="str" cm="1">
        <f t="array" aca="1" ref="D250" ca="1">INDEX({"Dakar";"dakar";"DAKAR";"Dakar ";"Thiès";"TOUBA";"Kaolack";"Saint-Louis"},RANDBETWEEN(1,8))</f>
        <v>dakar</v>
      </c>
      <c r="E250" t="str" cm="1">
        <f t="array" aca="1" ref="E250" ca="1">INDEX({"Laptop";"Souris";"Clavier";"Ecran";"Casque";"Tablete";"Imprimante";"Disque dur"},RANDBETWEEN(1,8))</f>
        <v>Imprimante</v>
      </c>
      <c r="F250">
        <f t="shared" ca="1" si="18"/>
        <v>10</v>
      </c>
      <c r="G250" t="str">
        <f t="shared" ca="1" si="19"/>
        <v>€463510</v>
      </c>
    </row>
    <row r="251" spans="1:7" x14ac:dyDescent="0.45">
      <c r="A251" t="str">
        <f t="shared" si="15"/>
        <v>V0250</v>
      </c>
      <c r="B251" t="str">
        <f t="shared" ca="1" si="16"/>
        <v>2026-09-08</v>
      </c>
      <c r="C251" t="str">
        <f t="shared" ca="1" si="17"/>
        <v xml:space="preserve">  Cheikh Ba</v>
      </c>
      <c r="D251" t="str" cm="1">
        <f t="array" aca="1" ref="D251" ca="1">INDEX({"Dakar";"dakar";"DAKAR";"Dakar ";"Thiès";"TOUBA";"Kaolack";"Saint-Louis"},RANDBETWEEN(1,8))</f>
        <v>Kaolack</v>
      </c>
      <c r="E251" t="str" cm="1">
        <f t="array" aca="1" ref="E251" ca="1">INDEX({"Laptop";"Souris";"Clavier";"Ecran";"Casque";"Tablete";"Imprimante";"Disque dur"},RANDBETWEEN(1,8))</f>
        <v>Imprimante</v>
      </c>
      <c r="F251">
        <f t="shared" ca="1" si="18"/>
        <v>10</v>
      </c>
      <c r="G251" t="str">
        <f t="shared" ca="1" si="19"/>
        <v>300447</v>
      </c>
    </row>
    <row r="252" spans="1:7" x14ac:dyDescent="0.45">
      <c r="A252" t="str">
        <f t="shared" si="15"/>
        <v>V0251</v>
      </c>
      <c r="B252" t="str">
        <f t="shared" ca="1" si="16"/>
        <v>27/09/2026</v>
      </c>
      <c r="C252" t="str">
        <f t="shared" ca="1" si="17"/>
        <v>Mamadou Diop</v>
      </c>
      <c r="D252" t="str" cm="1">
        <f t="array" aca="1" ref="D252" ca="1">INDEX({"Dakar";"dakar";"DAKAR";"Dakar ";"Thiès";"TOUBA";"Kaolack";"Saint-Louis"},RANDBETWEEN(1,8))</f>
        <v xml:space="preserve">Dakar </v>
      </c>
      <c r="E252" t="str" cm="1">
        <f t="array" aca="1" ref="E252" ca="1">INDEX({"Laptop";"Souris";"Clavier";"Ecran";"Casque";"Tablete";"Imprimante";"Disque dur"},RANDBETWEEN(1,8))</f>
        <v>Casque</v>
      </c>
      <c r="F252">
        <f t="shared" ca="1" si="18"/>
        <v>3</v>
      </c>
      <c r="G252" t="str">
        <f t="shared" ca="1" si="19"/>
        <v>60434 €</v>
      </c>
    </row>
    <row r="253" spans="1:7" x14ac:dyDescent="0.45">
      <c r="A253" t="str">
        <f t="shared" si="15"/>
        <v>V0252</v>
      </c>
      <c r="B253" t="str">
        <f t="shared" ca="1" si="16"/>
        <v>2026-09-19</v>
      </c>
      <c r="C253" t="str">
        <f t="shared" ca="1" si="17"/>
        <v>Awa Ndiaye</v>
      </c>
      <c r="D253" t="str" cm="1">
        <f t="array" aca="1" ref="D253" ca="1">INDEX({"Dakar";"dakar";"DAKAR";"Dakar ";"Thiès";"TOUBA";"Kaolack";"Saint-Louis"},RANDBETWEEN(1,8))</f>
        <v xml:space="preserve">Dakar </v>
      </c>
      <c r="E253" t="str" cm="1">
        <f t="array" aca="1" ref="E253" ca="1">INDEX({"Laptop";"Souris";"Clavier";"Ecran";"Casque";"Tablete";"Imprimante";"Disque dur"},RANDBETWEEN(1,8))</f>
        <v>Imprimante</v>
      </c>
      <c r="F253">
        <f t="shared" ca="1" si="18"/>
        <v>6</v>
      </c>
      <c r="G253" t="str">
        <f t="shared" ca="1" si="19"/>
        <v>€101377</v>
      </c>
    </row>
    <row r="254" spans="1:7" x14ac:dyDescent="0.45">
      <c r="A254" t="str">
        <f t="shared" si="15"/>
        <v>V0253</v>
      </c>
      <c r="B254" t="str">
        <f t="shared" ca="1" si="16"/>
        <v>2026-09-30</v>
      </c>
      <c r="C254" t="str">
        <f t="shared" ca="1" si="17"/>
        <v>Mariama Sow</v>
      </c>
      <c r="D254" t="str" cm="1">
        <f t="array" aca="1" ref="D254" ca="1">INDEX({"Dakar";"dakar";"DAKAR";"Dakar ";"Thiès";"TOUBA";"Kaolack";"Saint-Louis"},RANDBETWEEN(1,8))</f>
        <v>dakar</v>
      </c>
      <c r="E254" t="str" cm="1">
        <f t="array" aca="1" ref="E254" ca="1">INDEX({"Laptop";"Souris";"Clavier";"Ecran";"Casque";"Tablete";"Imprimante";"Disque dur"},RANDBETWEEN(1,8))</f>
        <v>Disque dur</v>
      </c>
      <c r="F254">
        <f t="shared" ca="1" si="18"/>
        <v>3</v>
      </c>
      <c r="G254" t="str">
        <f t="shared" ca="1" si="19"/>
        <v>101196</v>
      </c>
    </row>
    <row r="255" spans="1:7" x14ac:dyDescent="0.45">
      <c r="A255" t="str">
        <f t="shared" si="15"/>
        <v>V0254</v>
      </c>
      <c r="B255" t="str">
        <f t="shared" ca="1" si="16"/>
        <v>16-09-26</v>
      </c>
      <c r="C255" t="str">
        <f t="shared" ca="1" si="17"/>
        <v xml:space="preserve">  Cheikh Ba</v>
      </c>
      <c r="D255" t="str" cm="1">
        <f t="array" aca="1" ref="D255" ca="1">INDEX({"Dakar";"dakar";"DAKAR";"Dakar ";"Thiès";"TOUBA";"Kaolack";"Saint-Louis"},RANDBETWEEN(1,8))</f>
        <v>Saint-Louis</v>
      </c>
      <c r="E255" t="str" cm="1">
        <f t="array" aca="1" ref="E255" ca="1">INDEX({"Laptop";"Souris";"Clavier";"Ecran";"Casque";"Tablete";"Imprimante";"Disque dur"},RANDBETWEEN(1,8))</f>
        <v>Casque</v>
      </c>
      <c r="F255">
        <f t="shared" ca="1" si="18"/>
        <v>8</v>
      </c>
      <c r="G255" t="str">
        <f t="shared" ca="1" si="19"/>
        <v>260701€</v>
      </c>
    </row>
    <row r="256" spans="1:7" x14ac:dyDescent="0.45">
      <c r="A256" t="str">
        <f t="shared" si="15"/>
        <v>V0255</v>
      </c>
      <c r="B256" t="str">
        <f t="shared" ca="1" si="16"/>
        <v>20/09/2026</v>
      </c>
      <c r="C256" t="str">
        <f t="shared" ca="1" si="17"/>
        <v>Awa Ndiaye</v>
      </c>
      <c r="D256" t="str" cm="1">
        <f t="array" aca="1" ref="D256" ca="1">INDEX({"Dakar";"dakar";"DAKAR";"Dakar ";"Thiès";"TOUBA";"Kaolack";"Saint-Louis"},RANDBETWEEN(1,8))</f>
        <v>Thiès</v>
      </c>
      <c r="E256" t="str" cm="1">
        <f t="array" aca="1" ref="E256" ca="1">INDEX({"Laptop";"Souris";"Clavier";"Ecran";"Casque";"Tablete";"Imprimante";"Disque dur"},RANDBETWEEN(1,8))</f>
        <v>Ecran</v>
      </c>
      <c r="F256">
        <f t="shared" ca="1" si="18"/>
        <v>7</v>
      </c>
      <c r="G256" t="str">
        <f t="shared" ca="1" si="19"/>
        <v>€211656</v>
      </c>
    </row>
    <row r="257" spans="1:7" x14ac:dyDescent="0.45">
      <c r="A257" t="str">
        <f t="shared" si="15"/>
        <v>V0256</v>
      </c>
      <c r="B257" t="str">
        <f t="shared" ca="1" si="16"/>
        <v>08/09/2026</v>
      </c>
      <c r="C257" t="str">
        <f t="shared" ca="1" si="17"/>
        <v>Sokhna Diallo</v>
      </c>
      <c r="D257" t="str" cm="1">
        <f t="array" aca="1" ref="D257" ca="1">INDEX({"Dakar";"dakar";"DAKAR";"Dakar ";"Thiès";"TOUBA";"Kaolack";"Saint-Louis"},RANDBETWEEN(1,8))</f>
        <v>Thiès</v>
      </c>
      <c r="E257" t="str" cm="1">
        <f t="array" aca="1" ref="E257" ca="1">INDEX({"Laptop";"Souris";"Clavier";"Ecran";"Casque";"Tablete";"Imprimante";"Disque dur"},RANDBETWEEN(1,8))</f>
        <v>Clavier</v>
      </c>
      <c r="F257">
        <f t="shared" ca="1" si="18"/>
        <v>5</v>
      </c>
      <c r="G257" t="str">
        <f t="shared" ca="1" si="19"/>
        <v>€149670</v>
      </c>
    </row>
    <row r="258" spans="1:7" x14ac:dyDescent="0.45">
      <c r="A258" t="str">
        <f t="shared" si="15"/>
        <v>V0257</v>
      </c>
      <c r="B258" t="str">
        <f t="shared" ca="1" si="16"/>
        <v>03/09/2026</v>
      </c>
      <c r="C258" t="str">
        <f t="shared" ca="1" si="17"/>
        <v xml:space="preserve">Ousmane Ndiaye  </v>
      </c>
      <c r="D258" t="str" cm="1">
        <f t="array" aca="1" ref="D258" ca="1">INDEX({"Dakar";"dakar";"DAKAR";"Dakar ";"Thiès";"TOUBA";"Kaolack";"Saint-Louis"},RANDBETWEEN(1,8))</f>
        <v>TOUBA</v>
      </c>
      <c r="E258" t="str" cm="1">
        <f t="array" aca="1" ref="E258" ca="1">INDEX({"Laptop";"Souris";"Clavier";"Ecran";"Casque";"Tablete";"Imprimante";"Disque dur"},RANDBETWEEN(1,8))</f>
        <v>Tablete</v>
      </c>
      <c r="F258" t="str">
        <f t="shared" ca="1" si="18"/>
        <v>8</v>
      </c>
      <c r="G258" t="str">
        <f t="shared" ca="1" si="19"/>
        <v>260092€</v>
      </c>
    </row>
    <row r="259" spans="1:7" x14ac:dyDescent="0.45">
      <c r="A259" t="str">
        <f t="shared" ref="A259:A322" si="20">"V" &amp; TEXT(ROW()-1, "0000")</f>
        <v>V0258</v>
      </c>
      <c r="B259" t="str">
        <f t="shared" ref="B259:B322" ca="1" si="21">IF(RAND()&lt;0.3,
    TEXT(DATE(2026,9,RANDBETWEEN(1,30)),"jj/mm/aaaa"),
    IF(RAND()&lt;0.5,
        TEXT(DATE(2026,9,RANDBETWEEN(1,30)),"aaaa-mm-jj"),
        TEXT(DATE(2026,9,RANDBETWEEN(1,30)),"jj-mm-aa")
    )
)</f>
        <v>04-09-26</v>
      </c>
      <c r="C259" t="str">
        <f t="shared" ref="C259:C322" ca="1" si="22">CHOOSE(RANDBETWEEN(1,8),"Awa Ndiaye","Mamadou Diop","Fatou Fall","  Cheikh Ba","Mariama Sow","Ousmane Ndiaye  ","Sokhna Diallo","Abdoulaye Gueye")</f>
        <v>Abdoulaye Gueye</v>
      </c>
      <c r="D259" t="str" cm="1">
        <f t="array" aca="1" ref="D259" ca="1">INDEX({"Dakar";"dakar";"DAKAR";"Dakar ";"Thiès";"TOUBA";"Kaolack";"Saint-Louis"},RANDBETWEEN(1,8))</f>
        <v>DAKAR</v>
      </c>
      <c r="E259" t="str" cm="1">
        <f t="array" aca="1" ref="E259" ca="1">INDEX({"Laptop";"Souris";"Clavier";"Ecran";"Casque";"Tablete";"Imprimante";"Disque dur"},RANDBETWEEN(1,8))</f>
        <v>Ecran</v>
      </c>
      <c r="F259" t="str">
        <f t="shared" ref="F259:F322" ca="1" si="23">IF(RAND()&lt;0.1, TEXT(RANDBETWEEN(1,10),"0"), RANDBETWEEN(1,10))</f>
        <v>5</v>
      </c>
      <c r="G259" t="str">
        <f t="shared" ref="G259:G322" ca="1" si="24">CHOOSE(RANDBETWEEN(1,4),
    TEXT(RANDBETWEEN(10000,500000),"0") &amp; " €",
    TEXT(RANDBETWEEN(10000,500000),"0") &amp; "€",
    TEXT(RANDBETWEEN(10000,500000),"0"),
    "€" &amp; TEXT(RANDBETWEEN(10000,500000),"0")
)</f>
        <v>172403 €</v>
      </c>
    </row>
    <row r="260" spans="1:7" x14ac:dyDescent="0.45">
      <c r="A260" t="str">
        <f t="shared" si="20"/>
        <v>V0259</v>
      </c>
      <c r="B260" t="str">
        <f t="shared" ca="1" si="21"/>
        <v>24-09-26</v>
      </c>
      <c r="C260" t="str">
        <f t="shared" ca="1" si="22"/>
        <v>Sokhna Diallo</v>
      </c>
      <c r="D260" t="str" cm="1">
        <f t="array" aca="1" ref="D260" ca="1">INDEX({"Dakar";"dakar";"DAKAR";"Dakar ";"Thiès";"TOUBA";"Kaolack";"Saint-Louis"},RANDBETWEEN(1,8))</f>
        <v>Thiès</v>
      </c>
      <c r="E260" t="str" cm="1">
        <f t="array" aca="1" ref="E260" ca="1">INDEX({"Laptop";"Souris";"Clavier";"Ecran";"Casque";"Tablete";"Imprimante";"Disque dur"},RANDBETWEEN(1,8))</f>
        <v>Ecran</v>
      </c>
      <c r="F260">
        <f t="shared" ca="1" si="23"/>
        <v>6</v>
      </c>
      <c r="G260" t="str">
        <f t="shared" ca="1" si="24"/>
        <v>449088 €</v>
      </c>
    </row>
    <row r="261" spans="1:7" x14ac:dyDescent="0.45">
      <c r="A261" t="str">
        <f t="shared" si="20"/>
        <v>V0260</v>
      </c>
      <c r="B261" t="str">
        <f t="shared" ca="1" si="21"/>
        <v>10-09-26</v>
      </c>
      <c r="C261" t="str">
        <f t="shared" ca="1" si="22"/>
        <v>Fatou Fall</v>
      </c>
      <c r="D261" t="str" cm="1">
        <f t="array" aca="1" ref="D261" ca="1">INDEX({"Dakar";"dakar";"DAKAR";"Dakar ";"Thiès";"TOUBA";"Kaolack";"Saint-Louis"},RANDBETWEEN(1,8))</f>
        <v>Kaolack</v>
      </c>
      <c r="E261" t="str" cm="1">
        <f t="array" aca="1" ref="E261" ca="1">INDEX({"Laptop";"Souris";"Clavier";"Ecran";"Casque";"Tablete";"Imprimante";"Disque dur"},RANDBETWEEN(1,8))</f>
        <v>Disque dur</v>
      </c>
      <c r="F261">
        <f t="shared" ca="1" si="23"/>
        <v>3</v>
      </c>
      <c r="G261" t="str">
        <f t="shared" ca="1" si="24"/>
        <v>159773€</v>
      </c>
    </row>
    <row r="262" spans="1:7" x14ac:dyDescent="0.45">
      <c r="A262" t="str">
        <f t="shared" si="20"/>
        <v>V0261</v>
      </c>
      <c r="B262" t="str">
        <f t="shared" ca="1" si="21"/>
        <v>07-09-26</v>
      </c>
      <c r="C262" t="str">
        <f t="shared" ca="1" si="22"/>
        <v xml:space="preserve">Ousmane Ndiaye  </v>
      </c>
      <c r="D262" t="str" cm="1">
        <f t="array" aca="1" ref="D262" ca="1">INDEX({"Dakar";"dakar";"DAKAR";"Dakar ";"Thiès";"TOUBA";"Kaolack";"Saint-Louis"},RANDBETWEEN(1,8))</f>
        <v>DAKAR</v>
      </c>
      <c r="E262" t="str" cm="1">
        <f t="array" aca="1" ref="E262" ca="1">INDEX({"Laptop";"Souris";"Clavier";"Ecran";"Casque";"Tablete";"Imprimante";"Disque dur"},RANDBETWEEN(1,8))</f>
        <v>Laptop</v>
      </c>
      <c r="F262" t="str">
        <f t="shared" ca="1" si="23"/>
        <v>5</v>
      </c>
      <c r="G262" t="str">
        <f t="shared" ca="1" si="24"/>
        <v>€164795</v>
      </c>
    </row>
    <row r="263" spans="1:7" x14ac:dyDescent="0.45">
      <c r="A263" t="str">
        <f t="shared" si="20"/>
        <v>V0262</v>
      </c>
      <c r="B263" t="str">
        <f t="shared" ca="1" si="21"/>
        <v>25-09-26</v>
      </c>
      <c r="C263" t="str">
        <f t="shared" ca="1" si="22"/>
        <v>Awa Ndiaye</v>
      </c>
      <c r="D263" t="str" cm="1">
        <f t="array" aca="1" ref="D263" ca="1">INDEX({"Dakar";"dakar";"DAKAR";"Dakar ";"Thiès";"TOUBA";"Kaolack";"Saint-Louis"},RANDBETWEEN(1,8))</f>
        <v>Saint-Louis</v>
      </c>
      <c r="E263" t="str" cm="1">
        <f t="array" aca="1" ref="E263" ca="1">INDEX({"Laptop";"Souris";"Clavier";"Ecran";"Casque";"Tablete";"Imprimante";"Disque dur"},RANDBETWEEN(1,8))</f>
        <v>Ecran</v>
      </c>
      <c r="F263">
        <f t="shared" ca="1" si="23"/>
        <v>3</v>
      </c>
      <c r="G263" t="str">
        <f t="shared" ca="1" si="24"/>
        <v>108512€</v>
      </c>
    </row>
    <row r="264" spans="1:7" x14ac:dyDescent="0.45">
      <c r="A264" t="str">
        <f t="shared" si="20"/>
        <v>V0263</v>
      </c>
      <c r="B264" t="str">
        <f t="shared" ca="1" si="21"/>
        <v>29-09-26</v>
      </c>
      <c r="C264" t="str">
        <f t="shared" ca="1" si="22"/>
        <v xml:space="preserve">  Cheikh Ba</v>
      </c>
      <c r="D264" t="str" cm="1">
        <f t="array" aca="1" ref="D264" ca="1">INDEX({"Dakar";"dakar";"DAKAR";"Dakar ";"Thiès";"TOUBA";"Kaolack";"Saint-Louis"},RANDBETWEEN(1,8))</f>
        <v>Dakar</v>
      </c>
      <c r="E264" t="str" cm="1">
        <f t="array" aca="1" ref="E264" ca="1">INDEX({"Laptop";"Souris";"Clavier";"Ecran";"Casque";"Tablete";"Imprimante";"Disque dur"},RANDBETWEEN(1,8))</f>
        <v>Laptop</v>
      </c>
      <c r="F264">
        <f t="shared" ca="1" si="23"/>
        <v>1</v>
      </c>
      <c r="G264" t="str">
        <f t="shared" ca="1" si="24"/>
        <v>360562€</v>
      </c>
    </row>
    <row r="265" spans="1:7" x14ac:dyDescent="0.45">
      <c r="A265" t="str">
        <f t="shared" si="20"/>
        <v>V0264</v>
      </c>
      <c r="B265" t="str">
        <f t="shared" ca="1" si="21"/>
        <v>16/09/2026</v>
      </c>
      <c r="C265" t="str">
        <f t="shared" ca="1" si="22"/>
        <v xml:space="preserve">Ousmane Ndiaye  </v>
      </c>
      <c r="D265" t="str" cm="1">
        <f t="array" aca="1" ref="D265" ca="1">INDEX({"Dakar";"dakar";"DAKAR";"Dakar ";"Thiès";"TOUBA";"Kaolack";"Saint-Louis"},RANDBETWEEN(1,8))</f>
        <v>Thiès</v>
      </c>
      <c r="E265" t="str" cm="1">
        <f t="array" aca="1" ref="E265" ca="1">INDEX({"Laptop";"Souris";"Clavier";"Ecran";"Casque";"Tablete";"Imprimante";"Disque dur"},RANDBETWEEN(1,8))</f>
        <v>Casque</v>
      </c>
      <c r="F265">
        <f t="shared" ca="1" si="23"/>
        <v>4</v>
      </c>
      <c r="G265" t="str">
        <f t="shared" ca="1" si="24"/>
        <v>421314€</v>
      </c>
    </row>
    <row r="266" spans="1:7" x14ac:dyDescent="0.45">
      <c r="A266" t="str">
        <f t="shared" si="20"/>
        <v>V0265</v>
      </c>
      <c r="B266" t="str">
        <f t="shared" ca="1" si="21"/>
        <v>2026-09-08</v>
      </c>
      <c r="C266" t="str">
        <f t="shared" ca="1" si="22"/>
        <v>Awa Ndiaye</v>
      </c>
      <c r="D266" t="str" cm="1">
        <f t="array" aca="1" ref="D266" ca="1">INDEX({"Dakar";"dakar";"DAKAR";"Dakar ";"Thiès";"TOUBA";"Kaolack";"Saint-Louis"},RANDBETWEEN(1,8))</f>
        <v>Saint-Louis</v>
      </c>
      <c r="E266" t="str" cm="1">
        <f t="array" aca="1" ref="E266" ca="1">INDEX({"Laptop";"Souris";"Clavier";"Ecran";"Casque";"Tablete";"Imprimante";"Disque dur"},RANDBETWEEN(1,8))</f>
        <v>Imprimante</v>
      </c>
      <c r="F266">
        <f t="shared" ca="1" si="23"/>
        <v>4</v>
      </c>
      <c r="G266" t="str">
        <f t="shared" ca="1" si="24"/>
        <v>179829</v>
      </c>
    </row>
    <row r="267" spans="1:7" x14ac:dyDescent="0.45">
      <c r="A267" t="str">
        <f t="shared" si="20"/>
        <v>V0266</v>
      </c>
      <c r="B267" t="str">
        <f t="shared" ca="1" si="21"/>
        <v>2026-09-07</v>
      </c>
      <c r="C267" t="str">
        <f t="shared" ca="1" si="22"/>
        <v>Mariama Sow</v>
      </c>
      <c r="D267" t="str" cm="1">
        <f t="array" aca="1" ref="D267" ca="1">INDEX({"Dakar";"dakar";"DAKAR";"Dakar ";"Thiès";"TOUBA";"Kaolack";"Saint-Louis"},RANDBETWEEN(1,8))</f>
        <v>Thiès</v>
      </c>
      <c r="E267" t="str" cm="1">
        <f t="array" aca="1" ref="E267" ca="1">INDEX({"Laptop";"Souris";"Clavier";"Ecran";"Casque";"Tablete";"Imprimante";"Disque dur"},RANDBETWEEN(1,8))</f>
        <v>Disque dur</v>
      </c>
      <c r="F267">
        <f t="shared" ca="1" si="23"/>
        <v>8</v>
      </c>
      <c r="G267" t="str">
        <f t="shared" ca="1" si="24"/>
        <v>229595</v>
      </c>
    </row>
    <row r="268" spans="1:7" x14ac:dyDescent="0.45">
      <c r="A268" t="str">
        <f t="shared" si="20"/>
        <v>V0267</v>
      </c>
      <c r="B268" t="str">
        <f t="shared" ca="1" si="21"/>
        <v>16/09/2026</v>
      </c>
      <c r="C268" t="str">
        <f t="shared" ca="1" si="22"/>
        <v xml:space="preserve">Ousmane Ndiaye  </v>
      </c>
      <c r="D268" t="str" cm="1">
        <f t="array" aca="1" ref="D268" ca="1">INDEX({"Dakar";"dakar";"DAKAR";"Dakar ";"Thiès";"TOUBA";"Kaolack";"Saint-Louis"},RANDBETWEEN(1,8))</f>
        <v>TOUBA</v>
      </c>
      <c r="E268" t="str" cm="1">
        <f t="array" aca="1" ref="E268" ca="1">INDEX({"Laptop";"Souris";"Clavier";"Ecran";"Casque";"Tablete";"Imprimante";"Disque dur"},RANDBETWEEN(1,8))</f>
        <v>Disque dur</v>
      </c>
      <c r="F268">
        <f t="shared" ca="1" si="23"/>
        <v>1</v>
      </c>
      <c r="G268" t="str">
        <f t="shared" ca="1" si="24"/>
        <v>€310095</v>
      </c>
    </row>
    <row r="269" spans="1:7" x14ac:dyDescent="0.45">
      <c r="A269" t="str">
        <f t="shared" si="20"/>
        <v>V0268</v>
      </c>
      <c r="B269" t="str">
        <f t="shared" ca="1" si="21"/>
        <v>11-09-26</v>
      </c>
      <c r="C269" t="str">
        <f t="shared" ca="1" si="22"/>
        <v>Mariama Sow</v>
      </c>
      <c r="D269" t="str" cm="1">
        <f t="array" aca="1" ref="D269" ca="1">INDEX({"Dakar";"dakar";"DAKAR";"Dakar ";"Thiès";"TOUBA";"Kaolack";"Saint-Louis"},RANDBETWEEN(1,8))</f>
        <v xml:space="preserve">Dakar </v>
      </c>
      <c r="E269" t="str" cm="1">
        <f t="array" aca="1" ref="E269" ca="1">INDEX({"Laptop";"Souris";"Clavier";"Ecran";"Casque";"Tablete";"Imprimante";"Disque dur"},RANDBETWEEN(1,8))</f>
        <v>Clavier</v>
      </c>
      <c r="F269">
        <f t="shared" ca="1" si="23"/>
        <v>5</v>
      </c>
      <c r="G269" t="str">
        <f t="shared" ca="1" si="24"/>
        <v>499844</v>
      </c>
    </row>
    <row r="270" spans="1:7" x14ac:dyDescent="0.45">
      <c r="A270" t="str">
        <f t="shared" si="20"/>
        <v>V0269</v>
      </c>
      <c r="B270" t="str">
        <f t="shared" ca="1" si="21"/>
        <v>2026-09-27</v>
      </c>
      <c r="C270" t="str">
        <f t="shared" ca="1" si="22"/>
        <v>Sokhna Diallo</v>
      </c>
      <c r="D270" t="str" cm="1">
        <f t="array" aca="1" ref="D270" ca="1">INDEX({"Dakar";"dakar";"DAKAR";"Dakar ";"Thiès";"TOUBA";"Kaolack";"Saint-Louis"},RANDBETWEEN(1,8))</f>
        <v>DAKAR</v>
      </c>
      <c r="E270" t="str" cm="1">
        <f t="array" aca="1" ref="E270" ca="1">INDEX({"Laptop";"Souris";"Clavier";"Ecran";"Casque";"Tablete";"Imprimante";"Disque dur"},RANDBETWEEN(1,8))</f>
        <v>Ecran</v>
      </c>
      <c r="F270">
        <f t="shared" ca="1" si="23"/>
        <v>9</v>
      </c>
      <c r="G270" t="str">
        <f t="shared" ca="1" si="24"/>
        <v>25480 €</v>
      </c>
    </row>
    <row r="271" spans="1:7" x14ac:dyDescent="0.45">
      <c r="A271" t="str">
        <f t="shared" si="20"/>
        <v>V0270</v>
      </c>
      <c r="B271" t="str">
        <f t="shared" ca="1" si="21"/>
        <v>12-09-26</v>
      </c>
      <c r="C271" t="str">
        <f t="shared" ca="1" si="22"/>
        <v>Sokhna Diallo</v>
      </c>
      <c r="D271" t="str" cm="1">
        <f t="array" aca="1" ref="D271" ca="1">INDEX({"Dakar";"dakar";"DAKAR";"Dakar ";"Thiès";"TOUBA";"Kaolack";"Saint-Louis"},RANDBETWEEN(1,8))</f>
        <v xml:space="preserve">Dakar </v>
      </c>
      <c r="E271" t="str" cm="1">
        <f t="array" aca="1" ref="E271" ca="1">INDEX({"Laptop";"Souris";"Clavier";"Ecran";"Casque";"Tablete";"Imprimante";"Disque dur"},RANDBETWEEN(1,8))</f>
        <v>Disque dur</v>
      </c>
      <c r="F271">
        <f t="shared" ca="1" si="23"/>
        <v>5</v>
      </c>
      <c r="G271" t="str">
        <f t="shared" ca="1" si="24"/>
        <v>434578</v>
      </c>
    </row>
    <row r="272" spans="1:7" x14ac:dyDescent="0.45">
      <c r="A272" t="str">
        <f t="shared" si="20"/>
        <v>V0271</v>
      </c>
      <c r="B272" t="str">
        <f t="shared" ca="1" si="21"/>
        <v>23/09/2026</v>
      </c>
      <c r="C272" t="str">
        <f t="shared" ca="1" si="22"/>
        <v>Sokhna Diallo</v>
      </c>
      <c r="D272" t="str" cm="1">
        <f t="array" aca="1" ref="D272" ca="1">INDEX({"Dakar";"dakar";"DAKAR";"Dakar ";"Thiès";"TOUBA";"Kaolack";"Saint-Louis"},RANDBETWEEN(1,8))</f>
        <v>Kaolack</v>
      </c>
      <c r="E272" t="str" cm="1">
        <f t="array" aca="1" ref="E272" ca="1">INDEX({"Laptop";"Souris";"Clavier";"Ecran";"Casque";"Tablete";"Imprimante";"Disque dur"},RANDBETWEEN(1,8))</f>
        <v>Tablete</v>
      </c>
      <c r="F272">
        <f t="shared" ca="1" si="23"/>
        <v>3</v>
      </c>
      <c r="G272" t="str">
        <f t="shared" ca="1" si="24"/>
        <v>196645 €</v>
      </c>
    </row>
    <row r="273" spans="1:7" x14ac:dyDescent="0.45">
      <c r="A273" t="str">
        <f t="shared" si="20"/>
        <v>V0272</v>
      </c>
      <c r="B273" t="str">
        <f t="shared" ca="1" si="21"/>
        <v>30-09-26</v>
      </c>
      <c r="C273" t="str">
        <f t="shared" ca="1" si="22"/>
        <v>Awa Ndiaye</v>
      </c>
      <c r="D273" t="str" cm="1">
        <f t="array" aca="1" ref="D273" ca="1">INDEX({"Dakar";"dakar";"DAKAR";"Dakar ";"Thiès";"TOUBA";"Kaolack";"Saint-Louis"},RANDBETWEEN(1,8))</f>
        <v>TOUBA</v>
      </c>
      <c r="E273" t="str" cm="1">
        <f t="array" aca="1" ref="E273" ca="1">INDEX({"Laptop";"Souris";"Clavier";"Ecran";"Casque";"Tablete";"Imprimante";"Disque dur"},RANDBETWEEN(1,8))</f>
        <v>Laptop</v>
      </c>
      <c r="F273">
        <f t="shared" ca="1" si="23"/>
        <v>9</v>
      </c>
      <c r="G273" t="str">
        <f t="shared" ca="1" si="24"/>
        <v>245466</v>
      </c>
    </row>
    <row r="274" spans="1:7" x14ac:dyDescent="0.45">
      <c r="A274" t="str">
        <f t="shared" si="20"/>
        <v>V0273</v>
      </c>
      <c r="B274" t="str">
        <f t="shared" ca="1" si="21"/>
        <v>2026-09-11</v>
      </c>
      <c r="C274" t="str">
        <f t="shared" ca="1" si="22"/>
        <v>Fatou Fall</v>
      </c>
      <c r="D274" t="str" cm="1">
        <f t="array" aca="1" ref="D274" ca="1">INDEX({"Dakar";"dakar";"DAKAR";"Dakar ";"Thiès";"TOUBA";"Kaolack";"Saint-Louis"},RANDBETWEEN(1,8))</f>
        <v>Dakar</v>
      </c>
      <c r="E274" t="str" cm="1">
        <f t="array" aca="1" ref="E274" ca="1">INDEX({"Laptop";"Souris";"Clavier";"Ecran";"Casque";"Tablete";"Imprimante";"Disque dur"},RANDBETWEEN(1,8))</f>
        <v>Imprimante</v>
      </c>
      <c r="F274">
        <f t="shared" ca="1" si="23"/>
        <v>3</v>
      </c>
      <c r="G274" t="str">
        <f t="shared" ca="1" si="24"/>
        <v>150835</v>
      </c>
    </row>
    <row r="275" spans="1:7" x14ac:dyDescent="0.45">
      <c r="A275" t="str">
        <f t="shared" si="20"/>
        <v>V0274</v>
      </c>
      <c r="B275" t="str">
        <f t="shared" ca="1" si="21"/>
        <v>13-09-26</v>
      </c>
      <c r="C275" t="str">
        <f t="shared" ca="1" si="22"/>
        <v>Mamadou Diop</v>
      </c>
      <c r="D275" t="str" cm="1">
        <f t="array" aca="1" ref="D275" ca="1">INDEX({"Dakar";"dakar";"DAKAR";"Dakar ";"Thiès";"TOUBA";"Kaolack";"Saint-Louis"},RANDBETWEEN(1,8))</f>
        <v>dakar</v>
      </c>
      <c r="E275" t="str" cm="1">
        <f t="array" aca="1" ref="E275" ca="1">INDEX({"Laptop";"Souris";"Clavier";"Ecran";"Casque";"Tablete";"Imprimante";"Disque dur"},RANDBETWEEN(1,8))</f>
        <v>Imprimante</v>
      </c>
      <c r="F275">
        <f t="shared" ca="1" si="23"/>
        <v>8</v>
      </c>
      <c r="G275" t="str">
        <f t="shared" ca="1" si="24"/>
        <v>268130 €</v>
      </c>
    </row>
    <row r="276" spans="1:7" x14ac:dyDescent="0.45">
      <c r="A276" t="str">
        <f t="shared" si="20"/>
        <v>V0275</v>
      </c>
      <c r="B276" t="str">
        <f t="shared" ca="1" si="21"/>
        <v>2026-09-24</v>
      </c>
      <c r="C276" t="str">
        <f t="shared" ca="1" si="22"/>
        <v xml:space="preserve">  Cheikh Ba</v>
      </c>
      <c r="D276" t="str" cm="1">
        <f t="array" aca="1" ref="D276" ca="1">INDEX({"Dakar";"dakar";"DAKAR";"Dakar ";"Thiès";"TOUBA";"Kaolack";"Saint-Louis"},RANDBETWEEN(1,8))</f>
        <v>TOUBA</v>
      </c>
      <c r="E276" t="str" cm="1">
        <f t="array" aca="1" ref="E276" ca="1">INDEX({"Laptop";"Souris";"Clavier";"Ecran";"Casque";"Tablete";"Imprimante";"Disque dur"},RANDBETWEEN(1,8))</f>
        <v>Souris</v>
      </c>
      <c r="F276">
        <f t="shared" ca="1" si="23"/>
        <v>8</v>
      </c>
      <c r="G276" t="str">
        <f t="shared" ca="1" si="24"/>
        <v>152500€</v>
      </c>
    </row>
    <row r="277" spans="1:7" x14ac:dyDescent="0.45">
      <c r="A277" t="str">
        <f t="shared" si="20"/>
        <v>V0276</v>
      </c>
      <c r="B277" t="str">
        <f t="shared" ca="1" si="21"/>
        <v>07/09/2026</v>
      </c>
      <c r="C277" t="str">
        <f t="shared" ca="1" si="22"/>
        <v>Mamadou Diop</v>
      </c>
      <c r="D277" t="str" cm="1">
        <f t="array" aca="1" ref="D277" ca="1">INDEX({"Dakar";"dakar";"DAKAR";"Dakar ";"Thiès";"TOUBA";"Kaolack";"Saint-Louis"},RANDBETWEEN(1,8))</f>
        <v>dakar</v>
      </c>
      <c r="E277" t="str" cm="1">
        <f t="array" aca="1" ref="E277" ca="1">INDEX({"Laptop";"Souris";"Clavier";"Ecran";"Casque";"Tablete";"Imprimante";"Disque dur"},RANDBETWEEN(1,8))</f>
        <v>Laptop</v>
      </c>
      <c r="F277" t="str">
        <f t="shared" ca="1" si="23"/>
        <v>5</v>
      </c>
      <c r="G277" t="str">
        <f t="shared" ca="1" si="24"/>
        <v>€247996</v>
      </c>
    </row>
    <row r="278" spans="1:7" x14ac:dyDescent="0.45">
      <c r="A278" t="str">
        <f t="shared" si="20"/>
        <v>V0277</v>
      </c>
      <c r="B278" t="str">
        <f t="shared" ca="1" si="21"/>
        <v>05-09-26</v>
      </c>
      <c r="C278" t="str">
        <f t="shared" ca="1" si="22"/>
        <v>Mariama Sow</v>
      </c>
      <c r="D278" t="str" cm="1">
        <f t="array" aca="1" ref="D278" ca="1">INDEX({"Dakar";"dakar";"DAKAR";"Dakar ";"Thiès";"TOUBA";"Kaolack";"Saint-Louis"},RANDBETWEEN(1,8))</f>
        <v>dakar</v>
      </c>
      <c r="E278" t="str" cm="1">
        <f t="array" aca="1" ref="E278" ca="1">INDEX({"Laptop";"Souris";"Clavier";"Ecran";"Casque";"Tablete";"Imprimante";"Disque dur"},RANDBETWEEN(1,8))</f>
        <v>Casque</v>
      </c>
      <c r="F278">
        <f t="shared" ca="1" si="23"/>
        <v>2</v>
      </c>
      <c r="G278" t="str">
        <f t="shared" ca="1" si="24"/>
        <v>339573€</v>
      </c>
    </row>
    <row r="279" spans="1:7" x14ac:dyDescent="0.45">
      <c r="A279" t="str">
        <f t="shared" si="20"/>
        <v>V0278</v>
      </c>
      <c r="B279" t="str">
        <f t="shared" ca="1" si="21"/>
        <v>23/09/2026</v>
      </c>
      <c r="C279" t="str">
        <f t="shared" ca="1" si="22"/>
        <v xml:space="preserve">Ousmane Ndiaye  </v>
      </c>
      <c r="D279" t="str" cm="1">
        <f t="array" aca="1" ref="D279" ca="1">INDEX({"Dakar";"dakar";"DAKAR";"Dakar ";"Thiès";"TOUBA";"Kaolack";"Saint-Louis"},RANDBETWEEN(1,8))</f>
        <v xml:space="preserve">Dakar </v>
      </c>
      <c r="E279" t="str" cm="1">
        <f t="array" aca="1" ref="E279" ca="1">INDEX({"Laptop";"Souris";"Clavier";"Ecran";"Casque";"Tablete";"Imprimante";"Disque dur"},RANDBETWEEN(1,8))</f>
        <v>Clavier</v>
      </c>
      <c r="F279">
        <f t="shared" ca="1" si="23"/>
        <v>4</v>
      </c>
      <c r="G279" t="str">
        <f t="shared" ca="1" si="24"/>
        <v>261803€</v>
      </c>
    </row>
    <row r="280" spans="1:7" x14ac:dyDescent="0.45">
      <c r="A280" t="str">
        <f t="shared" si="20"/>
        <v>V0279</v>
      </c>
      <c r="B280" t="str">
        <f t="shared" ca="1" si="21"/>
        <v>2026-09-02</v>
      </c>
      <c r="C280" t="str">
        <f t="shared" ca="1" si="22"/>
        <v>Abdoulaye Gueye</v>
      </c>
      <c r="D280" t="str" cm="1">
        <f t="array" aca="1" ref="D280" ca="1">INDEX({"Dakar";"dakar";"DAKAR";"Dakar ";"Thiès";"TOUBA";"Kaolack";"Saint-Louis"},RANDBETWEEN(1,8))</f>
        <v>Saint-Louis</v>
      </c>
      <c r="E280" t="str" cm="1">
        <f t="array" aca="1" ref="E280" ca="1">INDEX({"Laptop";"Souris";"Clavier";"Ecran";"Casque";"Tablete";"Imprimante";"Disque dur"},RANDBETWEEN(1,8))</f>
        <v>Laptop</v>
      </c>
      <c r="F280">
        <f t="shared" ca="1" si="23"/>
        <v>10</v>
      </c>
      <c r="G280" t="str">
        <f t="shared" ca="1" si="24"/>
        <v>251480 €</v>
      </c>
    </row>
    <row r="281" spans="1:7" x14ac:dyDescent="0.45">
      <c r="A281" t="str">
        <f t="shared" si="20"/>
        <v>V0280</v>
      </c>
      <c r="B281" t="str">
        <f t="shared" ca="1" si="21"/>
        <v>20-09-26</v>
      </c>
      <c r="C281" t="str">
        <f t="shared" ca="1" si="22"/>
        <v xml:space="preserve">Ousmane Ndiaye  </v>
      </c>
      <c r="D281" t="str" cm="1">
        <f t="array" aca="1" ref="D281" ca="1">INDEX({"Dakar";"dakar";"DAKAR";"Dakar ";"Thiès";"TOUBA";"Kaolack";"Saint-Louis"},RANDBETWEEN(1,8))</f>
        <v>dakar</v>
      </c>
      <c r="E281" t="str" cm="1">
        <f t="array" aca="1" ref="E281" ca="1">INDEX({"Laptop";"Souris";"Clavier";"Ecran";"Casque";"Tablete";"Imprimante";"Disque dur"},RANDBETWEEN(1,8))</f>
        <v>Ecran</v>
      </c>
      <c r="F281">
        <f t="shared" ca="1" si="23"/>
        <v>8</v>
      </c>
      <c r="G281" t="str">
        <f t="shared" ca="1" si="24"/>
        <v>€410980</v>
      </c>
    </row>
    <row r="282" spans="1:7" x14ac:dyDescent="0.45">
      <c r="A282" t="str">
        <f t="shared" si="20"/>
        <v>V0281</v>
      </c>
      <c r="B282" t="str">
        <f t="shared" ca="1" si="21"/>
        <v>2026-09-11</v>
      </c>
      <c r="C282" t="str">
        <f t="shared" ca="1" si="22"/>
        <v>Abdoulaye Gueye</v>
      </c>
      <c r="D282" t="str" cm="1">
        <f t="array" aca="1" ref="D282" ca="1">INDEX({"Dakar";"dakar";"DAKAR";"Dakar ";"Thiès";"TOUBA";"Kaolack";"Saint-Louis"},RANDBETWEEN(1,8))</f>
        <v>Kaolack</v>
      </c>
      <c r="E282" t="str" cm="1">
        <f t="array" aca="1" ref="E282" ca="1">INDEX({"Laptop";"Souris";"Clavier";"Ecran";"Casque";"Tablete";"Imprimante";"Disque dur"},RANDBETWEEN(1,8))</f>
        <v>Tablete</v>
      </c>
      <c r="F282">
        <f t="shared" ca="1" si="23"/>
        <v>10</v>
      </c>
      <c r="G282" t="str">
        <f t="shared" ca="1" si="24"/>
        <v>163734 €</v>
      </c>
    </row>
    <row r="283" spans="1:7" x14ac:dyDescent="0.45">
      <c r="A283" t="str">
        <f t="shared" si="20"/>
        <v>V0282</v>
      </c>
      <c r="B283" t="str">
        <f t="shared" ca="1" si="21"/>
        <v>27-09-26</v>
      </c>
      <c r="C283" t="str">
        <f t="shared" ca="1" si="22"/>
        <v>Abdoulaye Gueye</v>
      </c>
      <c r="D283" t="str" cm="1">
        <f t="array" aca="1" ref="D283" ca="1">INDEX({"Dakar";"dakar";"DAKAR";"Dakar ";"Thiès";"TOUBA";"Kaolack";"Saint-Louis"},RANDBETWEEN(1,8))</f>
        <v>TOUBA</v>
      </c>
      <c r="E283" t="str" cm="1">
        <f t="array" aca="1" ref="E283" ca="1">INDEX({"Laptop";"Souris";"Clavier";"Ecran";"Casque";"Tablete";"Imprimante";"Disque dur"},RANDBETWEEN(1,8))</f>
        <v>Tablete</v>
      </c>
      <c r="F283">
        <f t="shared" ca="1" si="23"/>
        <v>4</v>
      </c>
      <c r="G283" t="str">
        <f t="shared" ca="1" si="24"/>
        <v>179359€</v>
      </c>
    </row>
    <row r="284" spans="1:7" x14ac:dyDescent="0.45">
      <c r="A284" t="str">
        <f t="shared" si="20"/>
        <v>V0283</v>
      </c>
      <c r="B284" t="str">
        <f t="shared" ca="1" si="21"/>
        <v>2026-09-05</v>
      </c>
      <c r="C284" t="str">
        <f t="shared" ca="1" si="22"/>
        <v>Mariama Sow</v>
      </c>
      <c r="D284" t="str" cm="1">
        <f t="array" aca="1" ref="D284" ca="1">INDEX({"Dakar";"dakar";"DAKAR";"Dakar ";"Thiès";"TOUBA";"Kaolack";"Saint-Louis"},RANDBETWEEN(1,8))</f>
        <v xml:space="preserve">Dakar </v>
      </c>
      <c r="E284" t="str" cm="1">
        <f t="array" aca="1" ref="E284" ca="1">INDEX({"Laptop";"Souris";"Clavier";"Ecran";"Casque";"Tablete";"Imprimante";"Disque dur"},RANDBETWEEN(1,8))</f>
        <v>Ecran</v>
      </c>
      <c r="F284">
        <f t="shared" ca="1" si="23"/>
        <v>5</v>
      </c>
      <c r="G284" t="str">
        <f t="shared" ca="1" si="24"/>
        <v>351547€</v>
      </c>
    </row>
    <row r="285" spans="1:7" x14ac:dyDescent="0.45">
      <c r="A285" t="str">
        <f t="shared" si="20"/>
        <v>V0284</v>
      </c>
      <c r="B285" t="str">
        <f t="shared" ca="1" si="21"/>
        <v>09-09-26</v>
      </c>
      <c r="C285" t="str">
        <f t="shared" ca="1" si="22"/>
        <v>Mariama Sow</v>
      </c>
      <c r="D285" t="str" cm="1">
        <f t="array" aca="1" ref="D285" ca="1">INDEX({"Dakar";"dakar";"DAKAR";"Dakar ";"Thiès";"TOUBA";"Kaolack";"Saint-Louis"},RANDBETWEEN(1,8))</f>
        <v>Dakar</v>
      </c>
      <c r="E285" t="str" cm="1">
        <f t="array" aca="1" ref="E285" ca="1">INDEX({"Laptop";"Souris";"Clavier";"Ecran";"Casque";"Tablete";"Imprimante";"Disque dur"},RANDBETWEEN(1,8))</f>
        <v>Tablete</v>
      </c>
      <c r="F285">
        <f t="shared" ca="1" si="23"/>
        <v>3</v>
      </c>
      <c r="G285" t="str">
        <f t="shared" ca="1" si="24"/>
        <v>435863 €</v>
      </c>
    </row>
    <row r="286" spans="1:7" x14ac:dyDescent="0.45">
      <c r="A286" t="str">
        <f t="shared" si="20"/>
        <v>V0285</v>
      </c>
      <c r="B286" t="str">
        <f t="shared" ca="1" si="21"/>
        <v>29/09/2026</v>
      </c>
      <c r="C286" t="str">
        <f t="shared" ca="1" si="22"/>
        <v>Mamadou Diop</v>
      </c>
      <c r="D286" t="str" cm="1">
        <f t="array" aca="1" ref="D286" ca="1">INDEX({"Dakar";"dakar";"DAKAR";"Dakar ";"Thiès";"TOUBA";"Kaolack";"Saint-Louis"},RANDBETWEEN(1,8))</f>
        <v>TOUBA</v>
      </c>
      <c r="E286" t="str" cm="1">
        <f t="array" aca="1" ref="E286" ca="1">INDEX({"Laptop";"Souris";"Clavier";"Ecran";"Casque";"Tablete";"Imprimante";"Disque dur"},RANDBETWEEN(1,8))</f>
        <v>Casque</v>
      </c>
      <c r="F286">
        <f t="shared" ca="1" si="23"/>
        <v>5</v>
      </c>
      <c r="G286" t="str">
        <f t="shared" ca="1" si="24"/>
        <v>€344952</v>
      </c>
    </row>
    <row r="287" spans="1:7" x14ac:dyDescent="0.45">
      <c r="A287" t="str">
        <f t="shared" si="20"/>
        <v>V0286</v>
      </c>
      <c r="B287" t="str">
        <f t="shared" ca="1" si="21"/>
        <v>14-09-26</v>
      </c>
      <c r="C287" t="str">
        <f t="shared" ca="1" si="22"/>
        <v>Mariama Sow</v>
      </c>
      <c r="D287" t="str" cm="1">
        <f t="array" aca="1" ref="D287" ca="1">INDEX({"Dakar";"dakar";"DAKAR";"Dakar ";"Thiès";"TOUBA";"Kaolack";"Saint-Louis"},RANDBETWEEN(1,8))</f>
        <v>Kaolack</v>
      </c>
      <c r="E287" t="str" cm="1">
        <f t="array" aca="1" ref="E287" ca="1">INDEX({"Laptop";"Souris";"Clavier";"Ecran";"Casque";"Tablete";"Imprimante";"Disque dur"},RANDBETWEEN(1,8))</f>
        <v>Tablete</v>
      </c>
      <c r="F287">
        <f t="shared" ca="1" si="23"/>
        <v>1</v>
      </c>
      <c r="G287" t="str">
        <f t="shared" ca="1" si="24"/>
        <v>€160374</v>
      </c>
    </row>
    <row r="288" spans="1:7" x14ac:dyDescent="0.45">
      <c r="A288" t="str">
        <f t="shared" si="20"/>
        <v>V0287</v>
      </c>
      <c r="B288" t="str">
        <f t="shared" ca="1" si="21"/>
        <v>11-09-26</v>
      </c>
      <c r="C288" t="str">
        <f t="shared" ca="1" si="22"/>
        <v>Mariama Sow</v>
      </c>
      <c r="D288" t="str" cm="1">
        <f t="array" aca="1" ref="D288" ca="1">INDEX({"Dakar";"dakar";"DAKAR";"Dakar ";"Thiès";"TOUBA";"Kaolack";"Saint-Louis"},RANDBETWEEN(1,8))</f>
        <v>DAKAR</v>
      </c>
      <c r="E288" t="str" cm="1">
        <f t="array" aca="1" ref="E288" ca="1">INDEX({"Laptop";"Souris";"Clavier";"Ecran";"Casque";"Tablete";"Imprimante";"Disque dur"},RANDBETWEEN(1,8))</f>
        <v>Imprimante</v>
      </c>
      <c r="F288">
        <f t="shared" ca="1" si="23"/>
        <v>5</v>
      </c>
      <c r="G288" t="str">
        <f t="shared" ca="1" si="24"/>
        <v>487641</v>
      </c>
    </row>
    <row r="289" spans="1:7" x14ac:dyDescent="0.45">
      <c r="A289" t="str">
        <f t="shared" si="20"/>
        <v>V0288</v>
      </c>
      <c r="B289" t="str">
        <f t="shared" ca="1" si="21"/>
        <v>2026-09-18</v>
      </c>
      <c r="C289" t="str">
        <f t="shared" ca="1" si="22"/>
        <v>Mariama Sow</v>
      </c>
      <c r="D289" t="str" cm="1">
        <f t="array" aca="1" ref="D289" ca="1">INDEX({"Dakar";"dakar";"DAKAR";"Dakar ";"Thiès";"TOUBA";"Kaolack";"Saint-Louis"},RANDBETWEEN(1,8))</f>
        <v>dakar</v>
      </c>
      <c r="E289" t="str" cm="1">
        <f t="array" aca="1" ref="E289" ca="1">INDEX({"Laptop";"Souris";"Clavier";"Ecran";"Casque";"Tablete";"Imprimante";"Disque dur"},RANDBETWEEN(1,8))</f>
        <v>Disque dur</v>
      </c>
      <c r="F289">
        <f t="shared" ca="1" si="23"/>
        <v>10</v>
      </c>
      <c r="G289" t="str">
        <f t="shared" ca="1" si="24"/>
        <v>343877 €</v>
      </c>
    </row>
    <row r="290" spans="1:7" x14ac:dyDescent="0.45">
      <c r="A290" t="str">
        <f t="shared" si="20"/>
        <v>V0289</v>
      </c>
      <c r="B290" t="str">
        <f t="shared" ca="1" si="21"/>
        <v>2026-09-06</v>
      </c>
      <c r="C290" t="str">
        <f t="shared" ca="1" si="22"/>
        <v>Mamadou Diop</v>
      </c>
      <c r="D290" t="str" cm="1">
        <f t="array" aca="1" ref="D290" ca="1">INDEX({"Dakar";"dakar";"DAKAR";"Dakar ";"Thiès";"TOUBA";"Kaolack";"Saint-Louis"},RANDBETWEEN(1,8))</f>
        <v>DAKAR</v>
      </c>
      <c r="E290" t="str" cm="1">
        <f t="array" aca="1" ref="E290" ca="1">INDEX({"Laptop";"Souris";"Clavier";"Ecran";"Casque";"Tablete";"Imprimante";"Disque dur"},RANDBETWEEN(1,8))</f>
        <v>Disque dur</v>
      </c>
      <c r="F290">
        <f t="shared" ca="1" si="23"/>
        <v>3</v>
      </c>
      <c r="G290" t="str">
        <f t="shared" ca="1" si="24"/>
        <v>370007€</v>
      </c>
    </row>
    <row r="291" spans="1:7" x14ac:dyDescent="0.45">
      <c r="A291" t="str">
        <f t="shared" si="20"/>
        <v>V0290</v>
      </c>
      <c r="B291" t="str">
        <f t="shared" ca="1" si="21"/>
        <v>08/09/2026</v>
      </c>
      <c r="C291" t="str">
        <f t="shared" ca="1" si="22"/>
        <v>Abdoulaye Gueye</v>
      </c>
      <c r="D291" t="str" cm="1">
        <f t="array" aca="1" ref="D291" ca="1">INDEX({"Dakar";"dakar";"DAKAR";"Dakar ";"Thiès";"TOUBA";"Kaolack";"Saint-Louis"},RANDBETWEEN(1,8))</f>
        <v>Thiès</v>
      </c>
      <c r="E291" t="str" cm="1">
        <f t="array" aca="1" ref="E291" ca="1">INDEX({"Laptop";"Souris";"Clavier";"Ecran";"Casque";"Tablete";"Imprimante";"Disque dur"},RANDBETWEEN(1,8))</f>
        <v>Clavier</v>
      </c>
      <c r="F291">
        <f t="shared" ca="1" si="23"/>
        <v>4</v>
      </c>
      <c r="G291" t="str">
        <f t="shared" ca="1" si="24"/>
        <v>432910</v>
      </c>
    </row>
    <row r="292" spans="1:7" x14ac:dyDescent="0.45">
      <c r="A292" t="str">
        <f t="shared" si="20"/>
        <v>V0291</v>
      </c>
      <c r="B292" t="str">
        <f t="shared" ca="1" si="21"/>
        <v>17-09-26</v>
      </c>
      <c r="C292" t="str">
        <f t="shared" ca="1" si="22"/>
        <v xml:space="preserve">Ousmane Ndiaye  </v>
      </c>
      <c r="D292" t="str" cm="1">
        <f t="array" aca="1" ref="D292" ca="1">INDEX({"Dakar";"dakar";"DAKAR";"Dakar ";"Thiès";"TOUBA";"Kaolack";"Saint-Louis"},RANDBETWEEN(1,8))</f>
        <v>Thiès</v>
      </c>
      <c r="E292" t="str" cm="1">
        <f t="array" aca="1" ref="E292" ca="1">INDEX({"Laptop";"Souris";"Clavier";"Ecran";"Casque";"Tablete";"Imprimante";"Disque dur"},RANDBETWEEN(1,8))</f>
        <v>Disque dur</v>
      </c>
      <c r="F292" t="str">
        <f t="shared" ca="1" si="23"/>
        <v>2</v>
      </c>
      <c r="G292" t="str">
        <f t="shared" ca="1" si="24"/>
        <v>117343</v>
      </c>
    </row>
    <row r="293" spans="1:7" x14ac:dyDescent="0.45">
      <c r="A293" t="str">
        <f t="shared" si="20"/>
        <v>V0292</v>
      </c>
      <c r="B293" t="str">
        <f t="shared" ca="1" si="21"/>
        <v>03/09/2026</v>
      </c>
      <c r="C293" t="str">
        <f t="shared" ca="1" si="22"/>
        <v xml:space="preserve">  Cheikh Ba</v>
      </c>
      <c r="D293" t="str" cm="1">
        <f t="array" aca="1" ref="D293" ca="1">INDEX({"Dakar";"dakar";"DAKAR";"Dakar ";"Thiès";"TOUBA";"Kaolack";"Saint-Louis"},RANDBETWEEN(1,8))</f>
        <v>Dakar</v>
      </c>
      <c r="E293" t="str" cm="1">
        <f t="array" aca="1" ref="E293" ca="1">INDEX({"Laptop";"Souris";"Clavier";"Ecran";"Casque";"Tablete";"Imprimante";"Disque dur"},RANDBETWEEN(1,8))</f>
        <v>Ecran</v>
      </c>
      <c r="F293">
        <f t="shared" ca="1" si="23"/>
        <v>5</v>
      </c>
      <c r="G293" t="str">
        <f t="shared" ca="1" si="24"/>
        <v>€297296</v>
      </c>
    </row>
    <row r="294" spans="1:7" x14ac:dyDescent="0.45">
      <c r="A294" t="str">
        <f t="shared" si="20"/>
        <v>V0293</v>
      </c>
      <c r="B294" t="str">
        <f t="shared" ca="1" si="21"/>
        <v>2026-09-12</v>
      </c>
      <c r="C294" t="str">
        <f t="shared" ca="1" si="22"/>
        <v>Abdoulaye Gueye</v>
      </c>
      <c r="D294" t="str" cm="1">
        <f t="array" aca="1" ref="D294" ca="1">INDEX({"Dakar";"dakar";"DAKAR";"Dakar ";"Thiès";"TOUBA";"Kaolack";"Saint-Louis"},RANDBETWEEN(1,8))</f>
        <v>Kaolack</v>
      </c>
      <c r="E294" t="str" cm="1">
        <f t="array" aca="1" ref="E294" ca="1">INDEX({"Laptop";"Souris";"Clavier";"Ecran";"Casque";"Tablete";"Imprimante";"Disque dur"},RANDBETWEEN(1,8))</f>
        <v>Ecran</v>
      </c>
      <c r="F294">
        <f t="shared" ca="1" si="23"/>
        <v>1</v>
      </c>
      <c r="G294" t="str">
        <f t="shared" ca="1" si="24"/>
        <v>255140€</v>
      </c>
    </row>
    <row r="295" spans="1:7" x14ac:dyDescent="0.45">
      <c r="A295" t="str">
        <f t="shared" si="20"/>
        <v>V0294</v>
      </c>
      <c r="B295" t="str">
        <f t="shared" ca="1" si="21"/>
        <v>16/09/2026</v>
      </c>
      <c r="C295" t="str">
        <f t="shared" ca="1" si="22"/>
        <v>Awa Ndiaye</v>
      </c>
      <c r="D295" t="str" cm="1">
        <f t="array" aca="1" ref="D295" ca="1">INDEX({"Dakar";"dakar";"DAKAR";"Dakar ";"Thiès";"TOUBA";"Kaolack";"Saint-Louis"},RANDBETWEEN(1,8))</f>
        <v xml:space="preserve">Dakar </v>
      </c>
      <c r="E295" t="str" cm="1">
        <f t="array" aca="1" ref="E295" ca="1">INDEX({"Laptop";"Souris";"Clavier";"Ecran";"Casque";"Tablete";"Imprimante";"Disque dur"},RANDBETWEEN(1,8))</f>
        <v>Ecran</v>
      </c>
      <c r="F295">
        <f t="shared" ca="1" si="23"/>
        <v>9</v>
      </c>
      <c r="G295" t="str">
        <f t="shared" ca="1" si="24"/>
        <v>€227709</v>
      </c>
    </row>
    <row r="296" spans="1:7" x14ac:dyDescent="0.45">
      <c r="A296" t="str">
        <f t="shared" si="20"/>
        <v>V0295</v>
      </c>
      <c r="B296" t="str">
        <f t="shared" ca="1" si="21"/>
        <v>16-09-26</v>
      </c>
      <c r="C296" t="str">
        <f t="shared" ca="1" si="22"/>
        <v>Fatou Fall</v>
      </c>
      <c r="D296" t="str" cm="1">
        <f t="array" aca="1" ref="D296" ca="1">INDEX({"Dakar";"dakar";"DAKAR";"Dakar ";"Thiès";"TOUBA";"Kaolack";"Saint-Louis"},RANDBETWEEN(1,8))</f>
        <v>Saint-Louis</v>
      </c>
      <c r="E296" t="str" cm="1">
        <f t="array" aca="1" ref="E296" ca="1">INDEX({"Laptop";"Souris";"Clavier";"Ecran";"Casque";"Tablete";"Imprimante";"Disque dur"},RANDBETWEEN(1,8))</f>
        <v>Casque</v>
      </c>
      <c r="F296">
        <f t="shared" ca="1" si="23"/>
        <v>1</v>
      </c>
      <c r="G296" t="str">
        <f t="shared" ca="1" si="24"/>
        <v>234274</v>
      </c>
    </row>
    <row r="297" spans="1:7" x14ac:dyDescent="0.45">
      <c r="A297" t="str">
        <f t="shared" si="20"/>
        <v>V0296</v>
      </c>
      <c r="B297" t="str">
        <f t="shared" ca="1" si="21"/>
        <v>2026-09-13</v>
      </c>
      <c r="C297" t="str">
        <f t="shared" ca="1" si="22"/>
        <v>Awa Ndiaye</v>
      </c>
      <c r="D297" t="str" cm="1">
        <f t="array" aca="1" ref="D297" ca="1">INDEX({"Dakar";"dakar";"DAKAR";"Dakar ";"Thiès";"TOUBA";"Kaolack";"Saint-Louis"},RANDBETWEEN(1,8))</f>
        <v>Saint-Louis</v>
      </c>
      <c r="E297" t="str" cm="1">
        <f t="array" aca="1" ref="E297" ca="1">INDEX({"Laptop";"Souris";"Clavier";"Ecran";"Casque";"Tablete";"Imprimante";"Disque dur"},RANDBETWEEN(1,8))</f>
        <v>Clavier</v>
      </c>
      <c r="F297">
        <f t="shared" ca="1" si="23"/>
        <v>7</v>
      </c>
      <c r="G297" t="str">
        <f t="shared" ca="1" si="24"/>
        <v>203723 €</v>
      </c>
    </row>
    <row r="298" spans="1:7" x14ac:dyDescent="0.45">
      <c r="A298" t="str">
        <f t="shared" si="20"/>
        <v>V0297</v>
      </c>
      <c r="B298" t="str">
        <f t="shared" ca="1" si="21"/>
        <v>01-09-26</v>
      </c>
      <c r="C298" t="str">
        <f t="shared" ca="1" si="22"/>
        <v>Abdoulaye Gueye</v>
      </c>
      <c r="D298" t="str" cm="1">
        <f t="array" aca="1" ref="D298" ca="1">INDEX({"Dakar";"dakar";"DAKAR";"Dakar ";"Thiès";"TOUBA";"Kaolack";"Saint-Louis"},RANDBETWEEN(1,8))</f>
        <v>Saint-Louis</v>
      </c>
      <c r="E298" t="str" cm="1">
        <f t="array" aca="1" ref="E298" ca="1">INDEX({"Laptop";"Souris";"Clavier";"Ecran";"Casque";"Tablete";"Imprimante";"Disque dur"},RANDBETWEEN(1,8))</f>
        <v>Tablete</v>
      </c>
      <c r="F298">
        <f t="shared" ca="1" si="23"/>
        <v>9</v>
      </c>
      <c r="G298" t="str">
        <f t="shared" ca="1" si="24"/>
        <v>230006</v>
      </c>
    </row>
    <row r="299" spans="1:7" x14ac:dyDescent="0.45">
      <c r="A299" t="str">
        <f t="shared" si="20"/>
        <v>V0298</v>
      </c>
      <c r="B299" t="str">
        <f t="shared" ca="1" si="21"/>
        <v>2026-09-02</v>
      </c>
      <c r="C299" t="str">
        <f t="shared" ca="1" si="22"/>
        <v>Fatou Fall</v>
      </c>
      <c r="D299" t="str" cm="1">
        <f t="array" aca="1" ref="D299" ca="1">INDEX({"Dakar";"dakar";"DAKAR";"Dakar ";"Thiès";"TOUBA";"Kaolack";"Saint-Louis"},RANDBETWEEN(1,8))</f>
        <v>Dakar</v>
      </c>
      <c r="E299" t="str" cm="1">
        <f t="array" aca="1" ref="E299" ca="1">INDEX({"Laptop";"Souris";"Clavier";"Ecran";"Casque";"Tablete";"Imprimante";"Disque dur"},RANDBETWEEN(1,8))</f>
        <v>Disque dur</v>
      </c>
      <c r="F299">
        <f t="shared" ca="1" si="23"/>
        <v>3</v>
      </c>
      <c r="G299" t="str">
        <f t="shared" ca="1" si="24"/>
        <v>467224 €</v>
      </c>
    </row>
    <row r="300" spans="1:7" x14ac:dyDescent="0.45">
      <c r="A300" t="str">
        <f t="shared" si="20"/>
        <v>V0299</v>
      </c>
      <c r="B300" t="str">
        <f t="shared" ca="1" si="21"/>
        <v>30-09-26</v>
      </c>
      <c r="C300" t="str">
        <f t="shared" ca="1" si="22"/>
        <v>Awa Ndiaye</v>
      </c>
      <c r="D300" t="str" cm="1">
        <f t="array" aca="1" ref="D300" ca="1">INDEX({"Dakar";"dakar";"DAKAR";"Dakar ";"Thiès";"TOUBA";"Kaolack";"Saint-Louis"},RANDBETWEEN(1,8))</f>
        <v>TOUBA</v>
      </c>
      <c r="E300" t="str" cm="1">
        <f t="array" aca="1" ref="E300" ca="1">INDEX({"Laptop";"Souris";"Clavier";"Ecran";"Casque";"Tablete";"Imprimante";"Disque dur"},RANDBETWEEN(1,8))</f>
        <v>Laptop</v>
      </c>
      <c r="F300" t="str">
        <f t="shared" ca="1" si="23"/>
        <v>5</v>
      </c>
      <c r="G300" t="str">
        <f t="shared" ca="1" si="24"/>
        <v>136302 €</v>
      </c>
    </row>
    <row r="301" spans="1:7" x14ac:dyDescent="0.45">
      <c r="A301" t="str">
        <f t="shared" si="20"/>
        <v>V0300</v>
      </c>
      <c r="B301" t="str">
        <f t="shared" ca="1" si="21"/>
        <v>06-09-26</v>
      </c>
      <c r="C301" t="str">
        <f t="shared" ca="1" si="22"/>
        <v>Mamadou Diop</v>
      </c>
      <c r="D301" t="str" cm="1">
        <f t="array" aca="1" ref="D301" ca="1">INDEX({"Dakar";"dakar";"DAKAR";"Dakar ";"Thiès";"TOUBA";"Kaolack";"Saint-Louis"},RANDBETWEEN(1,8))</f>
        <v>Kaolack</v>
      </c>
      <c r="E301" t="str" cm="1">
        <f t="array" aca="1" ref="E301" ca="1">INDEX({"Laptop";"Souris";"Clavier";"Ecran";"Casque";"Tablete";"Imprimante";"Disque dur"},RANDBETWEEN(1,8))</f>
        <v>Clavier</v>
      </c>
      <c r="F301">
        <f t="shared" ca="1" si="23"/>
        <v>10</v>
      </c>
      <c r="G301" t="str">
        <f t="shared" ca="1" si="24"/>
        <v>240491</v>
      </c>
    </row>
    <row r="302" spans="1:7" x14ac:dyDescent="0.45">
      <c r="A302" t="str">
        <f t="shared" si="20"/>
        <v>V0301</v>
      </c>
      <c r="B302" t="str">
        <f t="shared" ca="1" si="21"/>
        <v>30-09-26</v>
      </c>
      <c r="C302" t="str">
        <f t="shared" ca="1" si="22"/>
        <v>Abdoulaye Gueye</v>
      </c>
      <c r="D302" t="str" cm="1">
        <f t="array" aca="1" ref="D302" ca="1">INDEX({"Dakar";"dakar";"DAKAR";"Dakar ";"Thiès";"TOUBA";"Kaolack";"Saint-Louis"},RANDBETWEEN(1,8))</f>
        <v>dakar</v>
      </c>
      <c r="E302" t="str" cm="1">
        <f t="array" aca="1" ref="E302" ca="1">INDEX({"Laptop";"Souris";"Clavier";"Ecran";"Casque";"Tablete";"Imprimante";"Disque dur"},RANDBETWEEN(1,8))</f>
        <v>Casque</v>
      </c>
      <c r="F302">
        <f t="shared" ca="1" si="23"/>
        <v>5</v>
      </c>
      <c r="G302" t="str">
        <f t="shared" ca="1" si="24"/>
        <v>16756 €</v>
      </c>
    </row>
    <row r="303" spans="1:7" x14ac:dyDescent="0.45">
      <c r="A303" t="str">
        <f t="shared" si="20"/>
        <v>V0302</v>
      </c>
      <c r="B303" t="str">
        <f t="shared" ca="1" si="21"/>
        <v>22/09/2026</v>
      </c>
      <c r="C303" t="str">
        <f t="shared" ca="1" si="22"/>
        <v>Abdoulaye Gueye</v>
      </c>
      <c r="D303" t="str" cm="1">
        <f t="array" aca="1" ref="D303" ca="1">INDEX({"Dakar";"dakar";"DAKAR";"Dakar ";"Thiès";"TOUBA";"Kaolack";"Saint-Louis"},RANDBETWEEN(1,8))</f>
        <v>DAKAR</v>
      </c>
      <c r="E303" t="str" cm="1">
        <f t="array" aca="1" ref="E303" ca="1">INDEX({"Laptop";"Souris";"Clavier";"Ecran";"Casque";"Tablete";"Imprimante";"Disque dur"},RANDBETWEEN(1,8))</f>
        <v>Casque</v>
      </c>
      <c r="F303" t="str">
        <f t="shared" ca="1" si="23"/>
        <v>2</v>
      </c>
      <c r="G303" t="str">
        <f t="shared" ca="1" si="24"/>
        <v>442870</v>
      </c>
    </row>
    <row r="304" spans="1:7" x14ac:dyDescent="0.45">
      <c r="A304" t="str">
        <f t="shared" si="20"/>
        <v>V0303</v>
      </c>
      <c r="B304" t="str">
        <f t="shared" ca="1" si="21"/>
        <v>2026-09-24</v>
      </c>
      <c r="C304" t="str">
        <f t="shared" ca="1" si="22"/>
        <v>Fatou Fall</v>
      </c>
      <c r="D304" t="str" cm="1">
        <f t="array" aca="1" ref="D304" ca="1">INDEX({"Dakar";"dakar";"DAKAR";"Dakar ";"Thiès";"TOUBA";"Kaolack";"Saint-Louis"},RANDBETWEEN(1,8))</f>
        <v>Thiès</v>
      </c>
      <c r="E304" t="str" cm="1">
        <f t="array" aca="1" ref="E304" ca="1">INDEX({"Laptop";"Souris";"Clavier";"Ecran";"Casque";"Tablete";"Imprimante";"Disque dur"},RANDBETWEEN(1,8))</f>
        <v>Imprimante</v>
      </c>
      <c r="F304">
        <f t="shared" ca="1" si="23"/>
        <v>7</v>
      </c>
      <c r="G304" t="str">
        <f t="shared" ca="1" si="24"/>
        <v>333339</v>
      </c>
    </row>
    <row r="305" spans="1:7" x14ac:dyDescent="0.45">
      <c r="A305" t="str">
        <f t="shared" si="20"/>
        <v>V0304</v>
      </c>
      <c r="B305" t="str">
        <f t="shared" ca="1" si="21"/>
        <v>2026-09-22</v>
      </c>
      <c r="C305" t="str">
        <f t="shared" ca="1" si="22"/>
        <v>Mamadou Diop</v>
      </c>
      <c r="D305" t="str" cm="1">
        <f t="array" aca="1" ref="D305" ca="1">INDEX({"Dakar";"dakar";"DAKAR";"Dakar ";"Thiès";"TOUBA";"Kaolack";"Saint-Louis"},RANDBETWEEN(1,8))</f>
        <v>dakar</v>
      </c>
      <c r="E305" t="str" cm="1">
        <f t="array" aca="1" ref="E305" ca="1">INDEX({"Laptop";"Souris";"Clavier";"Ecran";"Casque";"Tablete";"Imprimante";"Disque dur"},RANDBETWEEN(1,8))</f>
        <v>Ecran</v>
      </c>
      <c r="F305">
        <f t="shared" ca="1" si="23"/>
        <v>4</v>
      </c>
      <c r="G305" t="str">
        <f t="shared" ca="1" si="24"/>
        <v>446114</v>
      </c>
    </row>
    <row r="306" spans="1:7" x14ac:dyDescent="0.45">
      <c r="A306" t="str">
        <f t="shared" si="20"/>
        <v>V0305</v>
      </c>
      <c r="B306" t="str">
        <f t="shared" ca="1" si="21"/>
        <v>01-09-26</v>
      </c>
      <c r="C306" t="str">
        <f t="shared" ca="1" si="22"/>
        <v>Sokhna Diallo</v>
      </c>
      <c r="D306" t="str" cm="1">
        <f t="array" aca="1" ref="D306" ca="1">INDEX({"Dakar";"dakar";"DAKAR";"Dakar ";"Thiès";"TOUBA";"Kaolack";"Saint-Louis"},RANDBETWEEN(1,8))</f>
        <v xml:space="preserve">Dakar </v>
      </c>
      <c r="E306" t="str" cm="1">
        <f t="array" aca="1" ref="E306" ca="1">INDEX({"Laptop";"Souris";"Clavier";"Ecran";"Casque";"Tablete";"Imprimante";"Disque dur"},RANDBETWEEN(1,8))</f>
        <v>Clavier</v>
      </c>
      <c r="F306">
        <f t="shared" ca="1" si="23"/>
        <v>4</v>
      </c>
      <c r="G306" t="str">
        <f t="shared" ca="1" si="24"/>
        <v>319802€</v>
      </c>
    </row>
    <row r="307" spans="1:7" x14ac:dyDescent="0.45">
      <c r="A307" t="str">
        <f t="shared" si="20"/>
        <v>V0306</v>
      </c>
      <c r="B307" t="str">
        <f t="shared" ca="1" si="21"/>
        <v>2026-09-25</v>
      </c>
      <c r="C307" t="str">
        <f t="shared" ca="1" si="22"/>
        <v xml:space="preserve">Ousmane Ndiaye  </v>
      </c>
      <c r="D307" t="str" cm="1">
        <f t="array" aca="1" ref="D307" ca="1">INDEX({"Dakar";"dakar";"DAKAR";"Dakar ";"Thiès";"TOUBA";"Kaolack";"Saint-Louis"},RANDBETWEEN(1,8))</f>
        <v>Saint-Louis</v>
      </c>
      <c r="E307" t="str" cm="1">
        <f t="array" aca="1" ref="E307" ca="1">INDEX({"Laptop";"Souris";"Clavier";"Ecran";"Casque";"Tablete";"Imprimante";"Disque dur"},RANDBETWEEN(1,8))</f>
        <v>Ecran</v>
      </c>
      <c r="F307">
        <f t="shared" ca="1" si="23"/>
        <v>4</v>
      </c>
      <c r="G307" t="str">
        <f t="shared" ca="1" si="24"/>
        <v>€431300</v>
      </c>
    </row>
    <row r="308" spans="1:7" x14ac:dyDescent="0.45">
      <c r="A308" t="str">
        <f t="shared" si="20"/>
        <v>V0307</v>
      </c>
      <c r="B308" t="str">
        <f t="shared" ca="1" si="21"/>
        <v>2026-09-19</v>
      </c>
      <c r="C308" t="str">
        <f t="shared" ca="1" si="22"/>
        <v>Sokhna Diallo</v>
      </c>
      <c r="D308" t="str" cm="1">
        <f t="array" aca="1" ref="D308" ca="1">INDEX({"Dakar";"dakar";"DAKAR";"Dakar ";"Thiès";"TOUBA";"Kaolack";"Saint-Louis"},RANDBETWEEN(1,8))</f>
        <v>dakar</v>
      </c>
      <c r="E308" t="str" cm="1">
        <f t="array" aca="1" ref="E308" ca="1">INDEX({"Laptop";"Souris";"Clavier";"Ecran";"Casque";"Tablete";"Imprimante";"Disque dur"},RANDBETWEEN(1,8))</f>
        <v>Casque</v>
      </c>
      <c r="F308" t="str">
        <f t="shared" ca="1" si="23"/>
        <v>4</v>
      </c>
      <c r="G308" t="str">
        <f t="shared" ca="1" si="24"/>
        <v>€133835</v>
      </c>
    </row>
    <row r="309" spans="1:7" x14ac:dyDescent="0.45">
      <c r="A309" t="str">
        <f t="shared" si="20"/>
        <v>V0308</v>
      </c>
      <c r="B309" t="str">
        <f t="shared" ca="1" si="21"/>
        <v>2026-09-08</v>
      </c>
      <c r="C309" t="str">
        <f t="shared" ca="1" si="22"/>
        <v>Awa Ndiaye</v>
      </c>
      <c r="D309" t="str" cm="1">
        <f t="array" aca="1" ref="D309" ca="1">INDEX({"Dakar";"dakar";"DAKAR";"Dakar ";"Thiès";"TOUBA";"Kaolack";"Saint-Louis"},RANDBETWEEN(1,8))</f>
        <v>TOUBA</v>
      </c>
      <c r="E309" t="str" cm="1">
        <f t="array" aca="1" ref="E309" ca="1">INDEX({"Laptop";"Souris";"Clavier";"Ecran";"Casque";"Tablete";"Imprimante";"Disque dur"},RANDBETWEEN(1,8))</f>
        <v>Ecran</v>
      </c>
      <c r="F309">
        <f t="shared" ca="1" si="23"/>
        <v>2</v>
      </c>
      <c r="G309" t="str">
        <f t="shared" ca="1" si="24"/>
        <v>428034 €</v>
      </c>
    </row>
    <row r="310" spans="1:7" x14ac:dyDescent="0.45">
      <c r="A310" t="str">
        <f t="shared" si="20"/>
        <v>V0309</v>
      </c>
      <c r="B310" t="str">
        <f t="shared" ca="1" si="21"/>
        <v>19/09/2026</v>
      </c>
      <c r="C310" t="str">
        <f t="shared" ca="1" si="22"/>
        <v xml:space="preserve">  Cheikh Ba</v>
      </c>
      <c r="D310" t="str" cm="1">
        <f t="array" aca="1" ref="D310" ca="1">INDEX({"Dakar";"dakar";"DAKAR";"Dakar ";"Thiès";"TOUBA";"Kaolack";"Saint-Louis"},RANDBETWEEN(1,8))</f>
        <v>Saint-Louis</v>
      </c>
      <c r="E310" t="str" cm="1">
        <f t="array" aca="1" ref="E310" ca="1">INDEX({"Laptop";"Souris";"Clavier";"Ecran";"Casque";"Tablete";"Imprimante";"Disque dur"},RANDBETWEEN(1,8))</f>
        <v>Disque dur</v>
      </c>
      <c r="F310">
        <f t="shared" ca="1" si="23"/>
        <v>3</v>
      </c>
      <c r="G310" t="str">
        <f t="shared" ca="1" si="24"/>
        <v>241577€</v>
      </c>
    </row>
    <row r="311" spans="1:7" x14ac:dyDescent="0.45">
      <c r="A311" t="str">
        <f t="shared" si="20"/>
        <v>V0310</v>
      </c>
      <c r="B311" t="str">
        <f t="shared" ca="1" si="21"/>
        <v>03/09/2026</v>
      </c>
      <c r="C311" t="str">
        <f t="shared" ca="1" si="22"/>
        <v>Abdoulaye Gueye</v>
      </c>
      <c r="D311" t="str" cm="1">
        <f t="array" aca="1" ref="D311" ca="1">INDEX({"Dakar";"dakar";"DAKAR";"Dakar ";"Thiès";"TOUBA";"Kaolack";"Saint-Louis"},RANDBETWEEN(1,8))</f>
        <v>TOUBA</v>
      </c>
      <c r="E311" t="str" cm="1">
        <f t="array" aca="1" ref="E311" ca="1">INDEX({"Laptop";"Souris";"Clavier";"Ecran";"Casque";"Tablete";"Imprimante";"Disque dur"},RANDBETWEEN(1,8))</f>
        <v>Souris</v>
      </c>
      <c r="F311">
        <f t="shared" ca="1" si="23"/>
        <v>4</v>
      </c>
      <c r="G311" t="str">
        <f t="shared" ca="1" si="24"/>
        <v>258287 €</v>
      </c>
    </row>
    <row r="312" spans="1:7" x14ac:dyDescent="0.45">
      <c r="A312" t="str">
        <f t="shared" si="20"/>
        <v>V0311</v>
      </c>
      <c r="B312" t="str">
        <f t="shared" ca="1" si="21"/>
        <v>2026-09-26</v>
      </c>
      <c r="C312" t="str">
        <f t="shared" ca="1" si="22"/>
        <v>Abdoulaye Gueye</v>
      </c>
      <c r="D312" t="str" cm="1">
        <f t="array" aca="1" ref="D312" ca="1">INDEX({"Dakar";"dakar";"DAKAR";"Dakar ";"Thiès";"TOUBA";"Kaolack";"Saint-Louis"},RANDBETWEEN(1,8))</f>
        <v xml:space="preserve">Dakar </v>
      </c>
      <c r="E312" t="str" cm="1">
        <f t="array" aca="1" ref="E312" ca="1">INDEX({"Laptop";"Souris";"Clavier";"Ecran";"Casque";"Tablete";"Imprimante";"Disque dur"},RANDBETWEEN(1,8))</f>
        <v>Imprimante</v>
      </c>
      <c r="F312">
        <f t="shared" ca="1" si="23"/>
        <v>10</v>
      </c>
      <c r="G312" t="str">
        <f t="shared" ca="1" si="24"/>
        <v>€188107</v>
      </c>
    </row>
    <row r="313" spans="1:7" x14ac:dyDescent="0.45">
      <c r="A313" t="str">
        <f t="shared" si="20"/>
        <v>V0312</v>
      </c>
      <c r="B313" t="str">
        <f t="shared" ca="1" si="21"/>
        <v>05/09/2026</v>
      </c>
      <c r="C313" t="str">
        <f t="shared" ca="1" si="22"/>
        <v xml:space="preserve">  Cheikh Ba</v>
      </c>
      <c r="D313" t="str" cm="1">
        <f t="array" aca="1" ref="D313" ca="1">INDEX({"Dakar";"dakar";"DAKAR";"Dakar ";"Thiès";"TOUBA";"Kaolack";"Saint-Louis"},RANDBETWEEN(1,8))</f>
        <v>DAKAR</v>
      </c>
      <c r="E313" t="str" cm="1">
        <f t="array" aca="1" ref="E313" ca="1">INDEX({"Laptop";"Souris";"Clavier";"Ecran";"Casque";"Tablete";"Imprimante";"Disque dur"},RANDBETWEEN(1,8))</f>
        <v>Clavier</v>
      </c>
      <c r="F313">
        <f t="shared" ca="1" si="23"/>
        <v>2</v>
      </c>
      <c r="G313" t="str">
        <f t="shared" ca="1" si="24"/>
        <v>€356414</v>
      </c>
    </row>
    <row r="314" spans="1:7" x14ac:dyDescent="0.45">
      <c r="A314" t="str">
        <f t="shared" si="20"/>
        <v>V0313</v>
      </c>
      <c r="B314" t="str">
        <f t="shared" ca="1" si="21"/>
        <v>03-09-26</v>
      </c>
      <c r="C314" t="str">
        <f t="shared" ca="1" si="22"/>
        <v>Awa Ndiaye</v>
      </c>
      <c r="D314" t="str" cm="1">
        <f t="array" aca="1" ref="D314" ca="1">INDEX({"Dakar";"dakar";"DAKAR";"Dakar ";"Thiès";"TOUBA";"Kaolack";"Saint-Louis"},RANDBETWEEN(1,8))</f>
        <v>TOUBA</v>
      </c>
      <c r="E314" t="str" cm="1">
        <f t="array" aca="1" ref="E314" ca="1">INDEX({"Laptop";"Souris";"Clavier";"Ecran";"Casque";"Tablete";"Imprimante";"Disque dur"},RANDBETWEEN(1,8))</f>
        <v>Imprimante</v>
      </c>
      <c r="F314">
        <f t="shared" ca="1" si="23"/>
        <v>7</v>
      </c>
      <c r="G314" t="str">
        <f t="shared" ca="1" si="24"/>
        <v>464818</v>
      </c>
    </row>
    <row r="315" spans="1:7" x14ac:dyDescent="0.45">
      <c r="A315" t="str">
        <f t="shared" si="20"/>
        <v>V0314</v>
      </c>
      <c r="B315" t="str">
        <f t="shared" ca="1" si="21"/>
        <v>2026-09-27</v>
      </c>
      <c r="C315" t="str">
        <f t="shared" ca="1" si="22"/>
        <v>Sokhna Diallo</v>
      </c>
      <c r="D315" t="str" cm="1">
        <f t="array" aca="1" ref="D315" ca="1">INDEX({"Dakar";"dakar";"DAKAR";"Dakar ";"Thiès";"TOUBA";"Kaolack";"Saint-Louis"},RANDBETWEEN(1,8))</f>
        <v>Saint-Louis</v>
      </c>
      <c r="E315" t="str" cm="1">
        <f t="array" aca="1" ref="E315" ca="1">INDEX({"Laptop";"Souris";"Clavier";"Ecran";"Casque";"Tablete";"Imprimante";"Disque dur"},RANDBETWEEN(1,8))</f>
        <v>Tablete</v>
      </c>
      <c r="F315">
        <f t="shared" ca="1" si="23"/>
        <v>5</v>
      </c>
      <c r="G315" t="str">
        <f t="shared" ca="1" si="24"/>
        <v>353740 €</v>
      </c>
    </row>
    <row r="316" spans="1:7" x14ac:dyDescent="0.45">
      <c r="A316" t="str">
        <f t="shared" si="20"/>
        <v>V0315</v>
      </c>
      <c r="B316" t="str">
        <f t="shared" ca="1" si="21"/>
        <v>06-09-26</v>
      </c>
      <c r="C316" t="str">
        <f t="shared" ca="1" si="22"/>
        <v>Awa Ndiaye</v>
      </c>
      <c r="D316" t="str" cm="1">
        <f t="array" aca="1" ref="D316" ca="1">INDEX({"Dakar";"dakar";"DAKAR";"Dakar ";"Thiès";"TOUBA";"Kaolack";"Saint-Louis"},RANDBETWEEN(1,8))</f>
        <v>DAKAR</v>
      </c>
      <c r="E316" t="str" cm="1">
        <f t="array" aca="1" ref="E316" ca="1">INDEX({"Laptop";"Souris";"Clavier";"Ecran";"Casque";"Tablete";"Imprimante";"Disque dur"},RANDBETWEEN(1,8))</f>
        <v>Clavier</v>
      </c>
      <c r="F316">
        <f t="shared" ca="1" si="23"/>
        <v>4</v>
      </c>
      <c r="G316" t="str">
        <f t="shared" ca="1" si="24"/>
        <v>€175575</v>
      </c>
    </row>
    <row r="317" spans="1:7" x14ac:dyDescent="0.45">
      <c r="A317" t="str">
        <f t="shared" si="20"/>
        <v>V0316</v>
      </c>
      <c r="B317" t="str">
        <f t="shared" ca="1" si="21"/>
        <v>19-09-26</v>
      </c>
      <c r="C317" t="str">
        <f t="shared" ca="1" si="22"/>
        <v>Sokhna Diallo</v>
      </c>
      <c r="D317" t="str" cm="1">
        <f t="array" aca="1" ref="D317" ca="1">INDEX({"Dakar";"dakar";"DAKAR";"Dakar ";"Thiès";"TOUBA";"Kaolack";"Saint-Louis"},RANDBETWEEN(1,8))</f>
        <v>dakar</v>
      </c>
      <c r="E317" t="str" cm="1">
        <f t="array" aca="1" ref="E317" ca="1">INDEX({"Laptop";"Souris";"Clavier";"Ecran";"Casque";"Tablete";"Imprimante";"Disque dur"},RANDBETWEEN(1,8))</f>
        <v>Laptop</v>
      </c>
      <c r="F317">
        <f t="shared" ca="1" si="23"/>
        <v>2</v>
      </c>
      <c r="G317" t="str">
        <f t="shared" ca="1" si="24"/>
        <v>177733 €</v>
      </c>
    </row>
    <row r="318" spans="1:7" x14ac:dyDescent="0.45">
      <c r="A318" t="str">
        <f t="shared" si="20"/>
        <v>V0317</v>
      </c>
      <c r="B318" t="str">
        <f t="shared" ca="1" si="21"/>
        <v>02/09/2026</v>
      </c>
      <c r="C318" t="str">
        <f t="shared" ca="1" si="22"/>
        <v>Awa Ndiaye</v>
      </c>
      <c r="D318" t="str" cm="1">
        <f t="array" aca="1" ref="D318" ca="1">INDEX({"Dakar";"dakar";"DAKAR";"Dakar ";"Thiès";"TOUBA";"Kaolack";"Saint-Louis"},RANDBETWEEN(1,8))</f>
        <v>dakar</v>
      </c>
      <c r="E318" t="str" cm="1">
        <f t="array" aca="1" ref="E318" ca="1">INDEX({"Laptop";"Souris";"Clavier";"Ecran";"Casque";"Tablete";"Imprimante";"Disque dur"},RANDBETWEEN(1,8))</f>
        <v>Ecran</v>
      </c>
      <c r="F318">
        <f t="shared" ca="1" si="23"/>
        <v>10</v>
      </c>
      <c r="G318" t="str">
        <f t="shared" ca="1" si="24"/>
        <v>€342766</v>
      </c>
    </row>
    <row r="319" spans="1:7" x14ac:dyDescent="0.45">
      <c r="A319" t="str">
        <f t="shared" si="20"/>
        <v>V0318</v>
      </c>
      <c r="B319" t="str">
        <f t="shared" ca="1" si="21"/>
        <v>01-09-26</v>
      </c>
      <c r="C319" t="str">
        <f t="shared" ca="1" si="22"/>
        <v xml:space="preserve">  Cheikh Ba</v>
      </c>
      <c r="D319" t="str" cm="1">
        <f t="array" aca="1" ref="D319" ca="1">INDEX({"Dakar";"dakar";"DAKAR";"Dakar ";"Thiès";"TOUBA";"Kaolack";"Saint-Louis"},RANDBETWEEN(1,8))</f>
        <v xml:space="preserve">Dakar </v>
      </c>
      <c r="E319" t="str" cm="1">
        <f t="array" aca="1" ref="E319" ca="1">INDEX({"Laptop";"Souris";"Clavier";"Ecran";"Casque";"Tablete";"Imprimante";"Disque dur"},RANDBETWEEN(1,8))</f>
        <v>Imprimante</v>
      </c>
      <c r="F319">
        <f t="shared" ca="1" si="23"/>
        <v>1</v>
      </c>
      <c r="G319" t="str">
        <f t="shared" ca="1" si="24"/>
        <v>185098€</v>
      </c>
    </row>
    <row r="320" spans="1:7" x14ac:dyDescent="0.45">
      <c r="A320" t="str">
        <f t="shared" si="20"/>
        <v>V0319</v>
      </c>
      <c r="B320" t="str">
        <f t="shared" ca="1" si="21"/>
        <v>02-09-26</v>
      </c>
      <c r="C320" t="str">
        <f t="shared" ca="1" si="22"/>
        <v>Abdoulaye Gueye</v>
      </c>
      <c r="D320" t="str" cm="1">
        <f t="array" aca="1" ref="D320" ca="1">INDEX({"Dakar";"dakar";"DAKAR";"Dakar ";"Thiès";"TOUBA";"Kaolack";"Saint-Louis"},RANDBETWEEN(1,8))</f>
        <v>Dakar</v>
      </c>
      <c r="E320" t="str" cm="1">
        <f t="array" aca="1" ref="E320" ca="1">INDEX({"Laptop";"Souris";"Clavier";"Ecran";"Casque";"Tablete";"Imprimante";"Disque dur"},RANDBETWEEN(1,8))</f>
        <v>Souris</v>
      </c>
      <c r="F320">
        <f t="shared" ca="1" si="23"/>
        <v>1</v>
      </c>
      <c r="G320" t="str">
        <f t="shared" ca="1" si="24"/>
        <v>431939 €</v>
      </c>
    </row>
    <row r="321" spans="1:7" x14ac:dyDescent="0.45">
      <c r="A321" t="str">
        <f t="shared" si="20"/>
        <v>V0320</v>
      </c>
      <c r="B321" t="str">
        <f t="shared" ca="1" si="21"/>
        <v>2026-09-24</v>
      </c>
      <c r="C321" t="str">
        <f t="shared" ca="1" si="22"/>
        <v>Mamadou Diop</v>
      </c>
      <c r="D321" t="str" cm="1">
        <f t="array" aca="1" ref="D321" ca="1">INDEX({"Dakar";"dakar";"DAKAR";"Dakar ";"Thiès";"TOUBA";"Kaolack";"Saint-Louis"},RANDBETWEEN(1,8))</f>
        <v>DAKAR</v>
      </c>
      <c r="E321" t="str" cm="1">
        <f t="array" aca="1" ref="E321" ca="1">INDEX({"Laptop";"Souris";"Clavier";"Ecran";"Casque";"Tablete";"Imprimante";"Disque dur"},RANDBETWEEN(1,8))</f>
        <v>Tablete</v>
      </c>
      <c r="F321">
        <f t="shared" ca="1" si="23"/>
        <v>4</v>
      </c>
      <c r="G321" t="str">
        <f t="shared" ca="1" si="24"/>
        <v>79451 €</v>
      </c>
    </row>
    <row r="322" spans="1:7" x14ac:dyDescent="0.45">
      <c r="A322" t="str">
        <f t="shared" si="20"/>
        <v>V0321</v>
      </c>
      <c r="B322" t="str">
        <f t="shared" ca="1" si="21"/>
        <v>2026-09-16</v>
      </c>
      <c r="C322" t="str">
        <f t="shared" ca="1" si="22"/>
        <v>Sokhna Diallo</v>
      </c>
      <c r="D322" t="str" cm="1">
        <f t="array" aca="1" ref="D322" ca="1">INDEX({"Dakar";"dakar";"DAKAR";"Dakar ";"Thiès";"TOUBA";"Kaolack";"Saint-Louis"},RANDBETWEEN(1,8))</f>
        <v xml:space="preserve">Dakar </v>
      </c>
      <c r="E322" t="str" cm="1">
        <f t="array" aca="1" ref="E322" ca="1">INDEX({"Laptop";"Souris";"Clavier";"Ecran";"Casque";"Tablete";"Imprimante";"Disque dur"},RANDBETWEEN(1,8))</f>
        <v>Casque</v>
      </c>
      <c r="F322">
        <f t="shared" ca="1" si="23"/>
        <v>4</v>
      </c>
      <c r="G322" t="str">
        <f t="shared" ca="1" si="24"/>
        <v>205694</v>
      </c>
    </row>
    <row r="323" spans="1:7" x14ac:dyDescent="0.45">
      <c r="A323" t="str">
        <f t="shared" ref="A323:A386" si="25">"V" &amp; TEXT(ROW()-1, "0000")</f>
        <v>V0322</v>
      </c>
      <c r="B323" t="str">
        <f t="shared" ref="B323:B386" ca="1" si="26">IF(RAND()&lt;0.3,
    TEXT(DATE(2026,9,RANDBETWEEN(1,30)),"jj/mm/aaaa"),
    IF(RAND()&lt;0.5,
        TEXT(DATE(2026,9,RANDBETWEEN(1,30)),"aaaa-mm-jj"),
        TEXT(DATE(2026,9,RANDBETWEEN(1,30)),"jj-mm-aa")
    )
)</f>
        <v>30/09/2026</v>
      </c>
      <c r="C323" t="str">
        <f t="shared" ref="C323:C386" ca="1" si="27">CHOOSE(RANDBETWEEN(1,8),"Awa Ndiaye","Mamadou Diop","Fatou Fall","  Cheikh Ba","Mariama Sow","Ousmane Ndiaye  ","Sokhna Diallo","Abdoulaye Gueye")</f>
        <v>Mariama Sow</v>
      </c>
      <c r="D323" t="str" cm="1">
        <f t="array" aca="1" ref="D323" ca="1">INDEX({"Dakar";"dakar";"DAKAR";"Dakar ";"Thiès";"TOUBA";"Kaolack";"Saint-Louis"},RANDBETWEEN(1,8))</f>
        <v>TOUBA</v>
      </c>
      <c r="E323" t="str" cm="1">
        <f t="array" aca="1" ref="E323" ca="1">INDEX({"Laptop";"Souris";"Clavier";"Ecran";"Casque";"Tablete";"Imprimante";"Disque dur"},RANDBETWEEN(1,8))</f>
        <v>Casque</v>
      </c>
      <c r="F323">
        <f t="shared" ref="F323:F386" ca="1" si="28">IF(RAND()&lt;0.1, TEXT(RANDBETWEEN(1,10),"0"), RANDBETWEEN(1,10))</f>
        <v>5</v>
      </c>
      <c r="G323" t="str">
        <f t="shared" ref="G323:G386" ca="1" si="29">CHOOSE(RANDBETWEEN(1,4),
    TEXT(RANDBETWEEN(10000,500000),"0") &amp; " €",
    TEXT(RANDBETWEEN(10000,500000),"0") &amp; "€",
    TEXT(RANDBETWEEN(10000,500000),"0"),
    "€" &amp; TEXT(RANDBETWEEN(10000,500000),"0")
)</f>
        <v>345821 €</v>
      </c>
    </row>
    <row r="324" spans="1:7" x14ac:dyDescent="0.45">
      <c r="A324" t="str">
        <f t="shared" si="25"/>
        <v>V0323</v>
      </c>
      <c r="B324" t="str">
        <f t="shared" ca="1" si="26"/>
        <v>2026-09-24</v>
      </c>
      <c r="C324" t="str">
        <f t="shared" ca="1" si="27"/>
        <v>Abdoulaye Gueye</v>
      </c>
      <c r="D324" t="str" cm="1">
        <f t="array" aca="1" ref="D324" ca="1">INDEX({"Dakar";"dakar";"DAKAR";"Dakar ";"Thiès";"TOUBA";"Kaolack";"Saint-Louis"},RANDBETWEEN(1,8))</f>
        <v>TOUBA</v>
      </c>
      <c r="E324" t="str" cm="1">
        <f t="array" aca="1" ref="E324" ca="1">INDEX({"Laptop";"Souris";"Clavier";"Ecran";"Casque";"Tablete";"Imprimante";"Disque dur"},RANDBETWEEN(1,8))</f>
        <v>Imprimante</v>
      </c>
      <c r="F324">
        <f t="shared" ca="1" si="28"/>
        <v>1</v>
      </c>
      <c r="G324" t="str">
        <f t="shared" ca="1" si="29"/>
        <v>€146549</v>
      </c>
    </row>
    <row r="325" spans="1:7" x14ac:dyDescent="0.45">
      <c r="A325" t="str">
        <f t="shared" si="25"/>
        <v>V0324</v>
      </c>
      <c r="B325" t="str">
        <f t="shared" ca="1" si="26"/>
        <v>2026-09-29</v>
      </c>
      <c r="C325" t="str">
        <f t="shared" ca="1" si="27"/>
        <v>Fatou Fall</v>
      </c>
      <c r="D325" t="str" cm="1">
        <f t="array" aca="1" ref="D325" ca="1">INDEX({"Dakar";"dakar";"DAKAR";"Dakar ";"Thiès";"TOUBA";"Kaolack";"Saint-Louis"},RANDBETWEEN(1,8))</f>
        <v>DAKAR</v>
      </c>
      <c r="E325" t="str" cm="1">
        <f t="array" aca="1" ref="E325" ca="1">INDEX({"Laptop";"Souris";"Clavier";"Ecran";"Casque";"Tablete";"Imprimante";"Disque dur"},RANDBETWEEN(1,8))</f>
        <v>Clavier</v>
      </c>
      <c r="F325">
        <f t="shared" ca="1" si="28"/>
        <v>9</v>
      </c>
      <c r="G325" t="str">
        <f t="shared" ca="1" si="29"/>
        <v>176925</v>
      </c>
    </row>
    <row r="326" spans="1:7" x14ac:dyDescent="0.45">
      <c r="A326" t="str">
        <f t="shared" si="25"/>
        <v>V0325</v>
      </c>
      <c r="B326" t="str">
        <f t="shared" ca="1" si="26"/>
        <v>05-09-26</v>
      </c>
      <c r="C326" t="str">
        <f t="shared" ca="1" si="27"/>
        <v>Abdoulaye Gueye</v>
      </c>
      <c r="D326" t="str" cm="1">
        <f t="array" aca="1" ref="D326" ca="1">INDEX({"Dakar";"dakar";"DAKAR";"Dakar ";"Thiès";"TOUBA";"Kaolack";"Saint-Louis"},RANDBETWEEN(1,8))</f>
        <v>Dakar</v>
      </c>
      <c r="E326" t="str" cm="1">
        <f t="array" aca="1" ref="E326" ca="1">INDEX({"Laptop";"Souris";"Clavier";"Ecran";"Casque";"Tablete";"Imprimante";"Disque dur"},RANDBETWEEN(1,8))</f>
        <v>Clavier</v>
      </c>
      <c r="F326">
        <f t="shared" ca="1" si="28"/>
        <v>1</v>
      </c>
      <c r="G326" t="str">
        <f t="shared" ca="1" si="29"/>
        <v>457869</v>
      </c>
    </row>
    <row r="327" spans="1:7" x14ac:dyDescent="0.45">
      <c r="A327" t="str">
        <f t="shared" si="25"/>
        <v>V0326</v>
      </c>
      <c r="B327" t="str">
        <f t="shared" ca="1" si="26"/>
        <v>16/09/2026</v>
      </c>
      <c r="C327" t="str">
        <f t="shared" ca="1" si="27"/>
        <v xml:space="preserve">  Cheikh Ba</v>
      </c>
      <c r="D327" t="str" cm="1">
        <f t="array" aca="1" ref="D327" ca="1">INDEX({"Dakar";"dakar";"DAKAR";"Dakar ";"Thiès";"TOUBA";"Kaolack";"Saint-Louis"},RANDBETWEEN(1,8))</f>
        <v>Kaolack</v>
      </c>
      <c r="E327" t="str" cm="1">
        <f t="array" aca="1" ref="E327" ca="1">INDEX({"Laptop";"Souris";"Clavier";"Ecran";"Casque";"Tablete";"Imprimante";"Disque dur"},RANDBETWEEN(1,8))</f>
        <v>Imprimante</v>
      </c>
      <c r="F327">
        <f t="shared" ca="1" si="28"/>
        <v>10</v>
      </c>
      <c r="G327" t="str">
        <f t="shared" ca="1" si="29"/>
        <v>€281539</v>
      </c>
    </row>
    <row r="328" spans="1:7" x14ac:dyDescent="0.45">
      <c r="A328" t="str">
        <f t="shared" si="25"/>
        <v>V0327</v>
      </c>
      <c r="B328" t="str">
        <f t="shared" ca="1" si="26"/>
        <v>10-09-26</v>
      </c>
      <c r="C328" t="str">
        <f t="shared" ca="1" si="27"/>
        <v xml:space="preserve">Ousmane Ndiaye  </v>
      </c>
      <c r="D328" t="str" cm="1">
        <f t="array" aca="1" ref="D328" ca="1">INDEX({"Dakar";"dakar";"DAKAR";"Dakar ";"Thiès";"TOUBA";"Kaolack";"Saint-Louis"},RANDBETWEEN(1,8))</f>
        <v xml:space="preserve">Dakar </v>
      </c>
      <c r="E328" t="str" cm="1">
        <f t="array" aca="1" ref="E328" ca="1">INDEX({"Laptop";"Souris";"Clavier";"Ecran";"Casque";"Tablete";"Imprimante";"Disque dur"},RANDBETWEEN(1,8))</f>
        <v>Clavier</v>
      </c>
      <c r="F328">
        <f t="shared" ca="1" si="28"/>
        <v>8</v>
      </c>
      <c r="G328" t="str">
        <f t="shared" ca="1" si="29"/>
        <v>406552</v>
      </c>
    </row>
    <row r="329" spans="1:7" x14ac:dyDescent="0.45">
      <c r="A329" t="str">
        <f t="shared" si="25"/>
        <v>V0328</v>
      </c>
      <c r="B329" t="str">
        <f t="shared" ca="1" si="26"/>
        <v>21-09-26</v>
      </c>
      <c r="C329" t="str">
        <f t="shared" ca="1" si="27"/>
        <v>Mamadou Diop</v>
      </c>
      <c r="D329" t="str" cm="1">
        <f t="array" aca="1" ref="D329" ca="1">INDEX({"Dakar";"dakar";"DAKAR";"Dakar ";"Thiès";"TOUBA";"Kaolack";"Saint-Louis"},RANDBETWEEN(1,8))</f>
        <v xml:space="preserve">Dakar </v>
      </c>
      <c r="E329" t="str" cm="1">
        <f t="array" aca="1" ref="E329" ca="1">INDEX({"Laptop";"Souris";"Clavier";"Ecran";"Casque";"Tablete";"Imprimante";"Disque dur"},RANDBETWEEN(1,8))</f>
        <v>Ecran</v>
      </c>
      <c r="F329">
        <f t="shared" ca="1" si="28"/>
        <v>6</v>
      </c>
      <c r="G329" t="str">
        <f t="shared" ca="1" si="29"/>
        <v>430579€</v>
      </c>
    </row>
    <row r="330" spans="1:7" x14ac:dyDescent="0.45">
      <c r="A330" t="str">
        <f t="shared" si="25"/>
        <v>V0329</v>
      </c>
      <c r="B330" t="str">
        <f t="shared" ca="1" si="26"/>
        <v>05-09-26</v>
      </c>
      <c r="C330" t="str">
        <f t="shared" ca="1" si="27"/>
        <v>Fatou Fall</v>
      </c>
      <c r="D330" t="str" cm="1">
        <f t="array" aca="1" ref="D330" ca="1">INDEX({"Dakar";"dakar";"DAKAR";"Dakar ";"Thiès";"TOUBA";"Kaolack";"Saint-Louis"},RANDBETWEEN(1,8))</f>
        <v>Dakar</v>
      </c>
      <c r="E330" t="str" cm="1">
        <f t="array" aca="1" ref="E330" ca="1">INDEX({"Laptop";"Souris";"Clavier";"Ecran";"Casque";"Tablete";"Imprimante";"Disque dur"},RANDBETWEEN(1,8))</f>
        <v>Tablete</v>
      </c>
      <c r="F330">
        <f t="shared" ca="1" si="28"/>
        <v>4</v>
      </c>
      <c r="G330" t="str">
        <f t="shared" ca="1" si="29"/>
        <v>€324918</v>
      </c>
    </row>
    <row r="331" spans="1:7" x14ac:dyDescent="0.45">
      <c r="A331" t="str">
        <f t="shared" si="25"/>
        <v>V0330</v>
      </c>
      <c r="B331" t="str">
        <f t="shared" ca="1" si="26"/>
        <v>2026-09-26</v>
      </c>
      <c r="C331" t="str">
        <f t="shared" ca="1" si="27"/>
        <v>Awa Ndiaye</v>
      </c>
      <c r="D331" t="str" cm="1">
        <f t="array" aca="1" ref="D331" ca="1">INDEX({"Dakar";"dakar";"DAKAR";"Dakar ";"Thiès";"TOUBA";"Kaolack";"Saint-Louis"},RANDBETWEEN(1,8))</f>
        <v>Kaolack</v>
      </c>
      <c r="E331" t="str" cm="1">
        <f t="array" aca="1" ref="E331" ca="1">INDEX({"Laptop";"Souris";"Clavier";"Ecran";"Casque";"Tablete";"Imprimante";"Disque dur"},RANDBETWEEN(1,8))</f>
        <v>Imprimante</v>
      </c>
      <c r="F331">
        <f t="shared" ca="1" si="28"/>
        <v>7</v>
      </c>
      <c r="G331" t="str">
        <f t="shared" ca="1" si="29"/>
        <v>€53046</v>
      </c>
    </row>
    <row r="332" spans="1:7" x14ac:dyDescent="0.45">
      <c r="A332" t="str">
        <f t="shared" si="25"/>
        <v>V0331</v>
      </c>
      <c r="B332" t="str">
        <f t="shared" ca="1" si="26"/>
        <v>2026-09-29</v>
      </c>
      <c r="C332" t="str">
        <f t="shared" ca="1" si="27"/>
        <v>Mamadou Diop</v>
      </c>
      <c r="D332" t="str" cm="1">
        <f t="array" aca="1" ref="D332" ca="1">INDEX({"Dakar";"dakar";"DAKAR";"Dakar ";"Thiès";"TOUBA";"Kaolack";"Saint-Louis"},RANDBETWEEN(1,8))</f>
        <v>Thiès</v>
      </c>
      <c r="E332" t="str" cm="1">
        <f t="array" aca="1" ref="E332" ca="1">INDEX({"Laptop";"Souris";"Clavier";"Ecran";"Casque";"Tablete";"Imprimante";"Disque dur"},RANDBETWEEN(1,8))</f>
        <v>Ecran</v>
      </c>
      <c r="F332">
        <f t="shared" ca="1" si="28"/>
        <v>1</v>
      </c>
      <c r="G332" t="str">
        <f t="shared" ca="1" si="29"/>
        <v>467900</v>
      </c>
    </row>
    <row r="333" spans="1:7" x14ac:dyDescent="0.45">
      <c r="A333" t="str">
        <f t="shared" si="25"/>
        <v>V0332</v>
      </c>
      <c r="B333" t="str">
        <f t="shared" ca="1" si="26"/>
        <v>2026-09-01</v>
      </c>
      <c r="C333" t="str">
        <f t="shared" ca="1" si="27"/>
        <v xml:space="preserve">Ousmane Ndiaye  </v>
      </c>
      <c r="D333" t="str" cm="1">
        <f t="array" aca="1" ref="D333" ca="1">INDEX({"Dakar";"dakar";"DAKAR";"Dakar ";"Thiès";"TOUBA";"Kaolack";"Saint-Louis"},RANDBETWEEN(1,8))</f>
        <v>Dakar</v>
      </c>
      <c r="E333" t="str" cm="1">
        <f t="array" aca="1" ref="E333" ca="1">INDEX({"Laptop";"Souris";"Clavier";"Ecran";"Casque";"Tablete";"Imprimante";"Disque dur"},RANDBETWEEN(1,8))</f>
        <v>Imprimante</v>
      </c>
      <c r="F333">
        <f t="shared" ca="1" si="28"/>
        <v>10</v>
      </c>
      <c r="G333" t="str">
        <f t="shared" ca="1" si="29"/>
        <v>212351 €</v>
      </c>
    </row>
    <row r="334" spans="1:7" x14ac:dyDescent="0.45">
      <c r="A334" t="str">
        <f t="shared" si="25"/>
        <v>V0333</v>
      </c>
      <c r="B334" t="str">
        <f t="shared" ca="1" si="26"/>
        <v>04-09-26</v>
      </c>
      <c r="C334" t="str">
        <f t="shared" ca="1" si="27"/>
        <v>Abdoulaye Gueye</v>
      </c>
      <c r="D334" t="str" cm="1">
        <f t="array" aca="1" ref="D334" ca="1">INDEX({"Dakar";"dakar";"DAKAR";"Dakar ";"Thiès";"TOUBA";"Kaolack";"Saint-Louis"},RANDBETWEEN(1,8))</f>
        <v>Kaolack</v>
      </c>
      <c r="E334" t="str" cm="1">
        <f t="array" aca="1" ref="E334" ca="1">INDEX({"Laptop";"Souris";"Clavier";"Ecran";"Casque";"Tablete";"Imprimante";"Disque dur"},RANDBETWEEN(1,8))</f>
        <v>Tablete</v>
      </c>
      <c r="F334">
        <f t="shared" ca="1" si="28"/>
        <v>2</v>
      </c>
      <c r="G334" t="str">
        <f t="shared" ca="1" si="29"/>
        <v>€187631</v>
      </c>
    </row>
    <row r="335" spans="1:7" x14ac:dyDescent="0.45">
      <c r="A335" t="str">
        <f t="shared" si="25"/>
        <v>V0334</v>
      </c>
      <c r="B335" t="str">
        <f t="shared" ca="1" si="26"/>
        <v>11/09/2026</v>
      </c>
      <c r="C335" t="str">
        <f t="shared" ca="1" si="27"/>
        <v>Mamadou Diop</v>
      </c>
      <c r="D335" t="str" cm="1">
        <f t="array" aca="1" ref="D335" ca="1">INDEX({"Dakar";"dakar";"DAKAR";"Dakar ";"Thiès";"TOUBA";"Kaolack";"Saint-Louis"},RANDBETWEEN(1,8))</f>
        <v>dakar</v>
      </c>
      <c r="E335" t="str" cm="1">
        <f t="array" aca="1" ref="E335" ca="1">INDEX({"Laptop";"Souris";"Clavier";"Ecran";"Casque";"Tablete";"Imprimante";"Disque dur"},RANDBETWEEN(1,8))</f>
        <v>Disque dur</v>
      </c>
      <c r="F335">
        <f t="shared" ca="1" si="28"/>
        <v>9</v>
      </c>
      <c r="G335" t="str">
        <f t="shared" ca="1" si="29"/>
        <v>€194123</v>
      </c>
    </row>
    <row r="336" spans="1:7" x14ac:dyDescent="0.45">
      <c r="A336" t="str">
        <f t="shared" si="25"/>
        <v>V0335</v>
      </c>
      <c r="B336" t="str">
        <f t="shared" ca="1" si="26"/>
        <v>25/09/2026</v>
      </c>
      <c r="C336" t="str">
        <f t="shared" ca="1" si="27"/>
        <v xml:space="preserve">Ousmane Ndiaye  </v>
      </c>
      <c r="D336" t="str" cm="1">
        <f t="array" aca="1" ref="D336" ca="1">INDEX({"Dakar";"dakar";"DAKAR";"Dakar ";"Thiès";"TOUBA";"Kaolack";"Saint-Louis"},RANDBETWEEN(1,8))</f>
        <v>DAKAR</v>
      </c>
      <c r="E336" t="str" cm="1">
        <f t="array" aca="1" ref="E336" ca="1">INDEX({"Laptop";"Souris";"Clavier";"Ecran";"Casque";"Tablete";"Imprimante";"Disque dur"},RANDBETWEEN(1,8))</f>
        <v>Clavier</v>
      </c>
      <c r="F336">
        <f t="shared" ca="1" si="28"/>
        <v>6</v>
      </c>
      <c r="G336" t="str">
        <f t="shared" ca="1" si="29"/>
        <v>€476905</v>
      </c>
    </row>
    <row r="337" spans="1:7" x14ac:dyDescent="0.45">
      <c r="A337" t="str">
        <f t="shared" si="25"/>
        <v>V0336</v>
      </c>
      <c r="B337" t="str">
        <f t="shared" ca="1" si="26"/>
        <v>12-09-26</v>
      </c>
      <c r="C337" t="str">
        <f t="shared" ca="1" si="27"/>
        <v>Mariama Sow</v>
      </c>
      <c r="D337" t="str" cm="1">
        <f t="array" aca="1" ref="D337" ca="1">INDEX({"Dakar";"dakar";"DAKAR";"Dakar ";"Thiès";"TOUBA";"Kaolack";"Saint-Louis"},RANDBETWEEN(1,8))</f>
        <v>TOUBA</v>
      </c>
      <c r="E337" t="str" cm="1">
        <f t="array" aca="1" ref="E337" ca="1">INDEX({"Laptop";"Souris";"Clavier";"Ecran";"Casque";"Tablete";"Imprimante";"Disque dur"},RANDBETWEEN(1,8))</f>
        <v>Casque</v>
      </c>
      <c r="F337">
        <f t="shared" ca="1" si="28"/>
        <v>2</v>
      </c>
      <c r="G337" t="str">
        <f t="shared" ca="1" si="29"/>
        <v>€279026</v>
      </c>
    </row>
    <row r="338" spans="1:7" x14ac:dyDescent="0.45">
      <c r="A338" t="str">
        <f t="shared" si="25"/>
        <v>V0337</v>
      </c>
      <c r="B338" t="str">
        <f t="shared" ca="1" si="26"/>
        <v>2026-09-15</v>
      </c>
      <c r="C338" t="str">
        <f t="shared" ca="1" si="27"/>
        <v>Mamadou Diop</v>
      </c>
      <c r="D338" t="str" cm="1">
        <f t="array" aca="1" ref="D338" ca="1">INDEX({"Dakar";"dakar";"DAKAR";"Dakar ";"Thiès";"TOUBA";"Kaolack";"Saint-Louis"},RANDBETWEEN(1,8))</f>
        <v xml:space="preserve">Dakar </v>
      </c>
      <c r="E338" t="str" cm="1">
        <f t="array" aca="1" ref="E338" ca="1">INDEX({"Laptop";"Souris";"Clavier";"Ecran";"Casque";"Tablete";"Imprimante";"Disque dur"},RANDBETWEEN(1,8))</f>
        <v>Clavier</v>
      </c>
      <c r="F338">
        <f t="shared" ca="1" si="28"/>
        <v>1</v>
      </c>
      <c r="G338" t="str">
        <f t="shared" ca="1" si="29"/>
        <v>€162511</v>
      </c>
    </row>
    <row r="339" spans="1:7" x14ac:dyDescent="0.45">
      <c r="A339" t="str">
        <f t="shared" si="25"/>
        <v>V0338</v>
      </c>
      <c r="B339" t="str">
        <f t="shared" ca="1" si="26"/>
        <v>2026-09-20</v>
      </c>
      <c r="C339" t="str">
        <f t="shared" ca="1" si="27"/>
        <v xml:space="preserve">  Cheikh Ba</v>
      </c>
      <c r="D339" t="str" cm="1">
        <f t="array" aca="1" ref="D339" ca="1">INDEX({"Dakar";"dakar";"DAKAR";"Dakar ";"Thiès";"TOUBA";"Kaolack";"Saint-Louis"},RANDBETWEEN(1,8))</f>
        <v xml:space="preserve">Dakar </v>
      </c>
      <c r="E339" t="str" cm="1">
        <f t="array" aca="1" ref="E339" ca="1">INDEX({"Laptop";"Souris";"Clavier";"Ecran";"Casque";"Tablete";"Imprimante";"Disque dur"},RANDBETWEEN(1,8))</f>
        <v>Imprimante</v>
      </c>
      <c r="F339">
        <f t="shared" ca="1" si="28"/>
        <v>3</v>
      </c>
      <c r="G339" t="str">
        <f t="shared" ca="1" si="29"/>
        <v>55307</v>
      </c>
    </row>
    <row r="340" spans="1:7" x14ac:dyDescent="0.45">
      <c r="A340" t="str">
        <f t="shared" si="25"/>
        <v>V0339</v>
      </c>
      <c r="B340" t="str">
        <f t="shared" ca="1" si="26"/>
        <v>2026-09-11</v>
      </c>
      <c r="C340" t="str">
        <f t="shared" ca="1" si="27"/>
        <v>Fatou Fall</v>
      </c>
      <c r="D340" t="str" cm="1">
        <f t="array" aca="1" ref="D340" ca="1">INDEX({"Dakar";"dakar";"DAKAR";"Dakar ";"Thiès";"TOUBA";"Kaolack";"Saint-Louis"},RANDBETWEEN(1,8))</f>
        <v>Thiès</v>
      </c>
      <c r="E340" t="str" cm="1">
        <f t="array" aca="1" ref="E340" ca="1">INDEX({"Laptop";"Souris";"Clavier";"Ecran";"Casque";"Tablete";"Imprimante";"Disque dur"},RANDBETWEEN(1,8))</f>
        <v>Tablete</v>
      </c>
      <c r="F340">
        <f t="shared" ca="1" si="28"/>
        <v>6</v>
      </c>
      <c r="G340" t="str">
        <f t="shared" ca="1" si="29"/>
        <v>168754</v>
      </c>
    </row>
    <row r="341" spans="1:7" x14ac:dyDescent="0.45">
      <c r="A341" t="str">
        <f t="shared" si="25"/>
        <v>V0340</v>
      </c>
      <c r="B341" t="str">
        <f t="shared" ca="1" si="26"/>
        <v>2026-09-09</v>
      </c>
      <c r="C341" t="str">
        <f t="shared" ca="1" si="27"/>
        <v xml:space="preserve">Ousmane Ndiaye  </v>
      </c>
      <c r="D341" t="str" cm="1">
        <f t="array" aca="1" ref="D341" ca="1">INDEX({"Dakar";"dakar";"DAKAR";"Dakar ";"Thiès";"TOUBA";"Kaolack";"Saint-Louis"},RANDBETWEEN(1,8))</f>
        <v>Kaolack</v>
      </c>
      <c r="E341" t="str" cm="1">
        <f t="array" aca="1" ref="E341" ca="1">INDEX({"Laptop";"Souris";"Clavier";"Ecran";"Casque";"Tablete";"Imprimante";"Disque dur"},RANDBETWEEN(1,8))</f>
        <v>Ecran</v>
      </c>
      <c r="F341">
        <f t="shared" ca="1" si="28"/>
        <v>8</v>
      </c>
      <c r="G341" t="str">
        <f t="shared" ca="1" si="29"/>
        <v>152244</v>
      </c>
    </row>
    <row r="342" spans="1:7" x14ac:dyDescent="0.45">
      <c r="A342" t="str">
        <f t="shared" si="25"/>
        <v>V0341</v>
      </c>
      <c r="B342" t="str">
        <f t="shared" ca="1" si="26"/>
        <v>2026-09-17</v>
      </c>
      <c r="C342" t="str">
        <f t="shared" ca="1" si="27"/>
        <v xml:space="preserve">Ousmane Ndiaye  </v>
      </c>
      <c r="D342" t="str" cm="1">
        <f t="array" aca="1" ref="D342" ca="1">INDEX({"Dakar";"dakar";"DAKAR";"Dakar ";"Thiès";"TOUBA";"Kaolack";"Saint-Louis"},RANDBETWEEN(1,8))</f>
        <v>dakar</v>
      </c>
      <c r="E342" t="str" cm="1">
        <f t="array" aca="1" ref="E342" ca="1">INDEX({"Laptop";"Souris";"Clavier";"Ecran";"Casque";"Tablete";"Imprimante";"Disque dur"},RANDBETWEEN(1,8))</f>
        <v>Clavier</v>
      </c>
      <c r="F342">
        <f t="shared" ca="1" si="28"/>
        <v>6</v>
      </c>
      <c r="G342" t="str">
        <f t="shared" ca="1" si="29"/>
        <v>€315911</v>
      </c>
    </row>
    <row r="343" spans="1:7" x14ac:dyDescent="0.45">
      <c r="A343" t="str">
        <f t="shared" si="25"/>
        <v>V0342</v>
      </c>
      <c r="B343" t="str">
        <f t="shared" ca="1" si="26"/>
        <v>2026-09-02</v>
      </c>
      <c r="C343" t="str">
        <f t="shared" ca="1" si="27"/>
        <v>Sokhna Diallo</v>
      </c>
      <c r="D343" t="str" cm="1">
        <f t="array" aca="1" ref="D343" ca="1">INDEX({"Dakar";"dakar";"DAKAR";"Dakar ";"Thiès";"TOUBA";"Kaolack";"Saint-Louis"},RANDBETWEEN(1,8))</f>
        <v>Thiès</v>
      </c>
      <c r="E343" t="str" cm="1">
        <f t="array" aca="1" ref="E343" ca="1">INDEX({"Laptop";"Souris";"Clavier";"Ecran";"Casque";"Tablete";"Imprimante";"Disque dur"},RANDBETWEEN(1,8))</f>
        <v>Clavier</v>
      </c>
      <c r="F343">
        <f t="shared" ca="1" si="28"/>
        <v>2</v>
      </c>
      <c r="G343" t="str">
        <f t="shared" ca="1" si="29"/>
        <v>467644</v>
      </c>
    </row>
    <row r="344" spans="1:7" x14ac:dyDescent="0.45">
      <c r="A344" t="str">
        <f t="shared" si="25"/>
        <v>V0343</v>
      </c>
      <c r="B344" t="str">
        <f t="shared" ca="1" si="26"/>
        <v>12-09-26</v>
      </c>
      <c r="C344" t="str">
        <f t="shared" ca="1" si="27"/>
        <v xml:space="preserve">Ousmane Ndiaye  </v>
      </c>
      <c r="D344" t="str" cm="1">
        <f t="array" aca="1" ref="D344" ca="1">INDEX({"Dakar";"dakar";"DAKAR";"Dakar ";"Thiès";"TOUBA";"Kaolack";"Saint-Louis"},RANDBETWEEN(1,8))</f>
        <v>Thiès</v>
      </c>
      <c r="E344" t="str" cm="1">
        <f t="array" aca="1" ref="E344" ca="1">INDEX({"Laptop";"Souris";"Clavier";"Ecran";"Casque";"Tablete";"Imprimante";"Disque dur"},RANDBETWEEN(1,8))</f>
        <v>Souris</v>
      </c>
      <c r="F344">
        <f t="shared" ca="1" si="28"/>
        <v>10</v>
      </c>
      <c r="G344" t="str">
        <f t="shared" ca="1" si="29"/>
        <v>€13405</v>
      </c>
    </row>
    <row r="345" spans="1:7" x14ac:dyDescent="0.45">
      <c r="A345" t="str">
        <f t="shared" si="25"/>
        <v>V0344</v>
      </c>
      <c r="B345" t="str">
        <f t="shared" ca="1" si="26"/>
        <v>03-09-26</v>
      </c>
      <c r="C345" t="str">
        <f t="shared" ca="1" si="27"/>
        <v xml:space="preserve">  Cheikh Ba</v>
      </c>
      <c r="D345" t="str" cm="1">
        <f t="array" aca="1" ref="D345" ca="1">INDEX({"Dakar";"dakar";"DAKAR";"Dakar ";"Thiès";"TOUBA";"Kaolack";"Saint-Louis"},RANDBETWEEN(1,8))</f>
        <v>Thiès</v>
      </c>
      <c r="E345" t="str" cm="1">
        <f t="array" aca="1" ref="E345" ca="1">INDEX({"Laptop";"Souris";"Clavier";"Ecran";"Casque";"Tablete";"Imprimante";"Disque dur"},RANDBETWEEN(1,8))</f>
        <v>Laptop</v>
      </c>
      <c r="F345">
        <f t="shared" ca="1" si="28"/>
        <v>10</v>
      </c>
      <c r="G345" t="str">
        <f t="shared" ca="1" si="29"/>
        <v>€447961</v>
      </c>
    </row>
    <row r="346" spans="1:7" x14ac:dyDescent="0.45">
      <c r="A346" t="str">
        <f t="shared" si="25"/>
        <v>V0345</v>
      </c>
      <c r="B346" t="str">
        <f t="shared" ca="1" si="26"/>
        <v>21-09-26</v>
      </c>
      <c r="C346" t="str">
        <f t="shared" ca="1" si="27"/>
        <v>Abdoulaye Gueye</v>
      </c>
      <c r="D346" t="str" cm="1">
        <f t="array" aca="1" ref="D346" ca="1">INDEX({"Dakar";"dakar";"DAKAR";"Dakar ";"Thiès";"TOUBA";"Kaolack";"Saint-Louis"},RANDBETWEEN(1,8))</f>
        <v>Saint-Louis</v>
      </c>
      <c r="E346" t="str" cm="1">
        <f t="array" aca="1" ref="E346" ca="1">INDEX({"Laptop";"Souris";"Clavier";"Ecran";"Casque";"Tablete";"Imprimante";"Disque dur"},RANDBETWEEN(1,8))</f>
        <v>Laptop</v>
      </c>
      <c r="F346">
        <f t="shared" ca="1" si="28"/>
        <v>2</v>
      </c>
      <c r="G346" t="str">
        <f t="shared" ca="1" si="29"/>
        <v>€107817</v>
      </c>
    </row>
    <row r="347" spans="1:7" x14ac:dyDescent="0.45">
      <c r="A347" t="str">
        <f t="shared" si="25"/>
        <v>V0346</v>
      </c>
      <c r="B347" t="str">
        <f t="shared" ca="1" si="26"/>
        <v>18/09/2026</v>
      </c>
      <c r="C347" t="str">
        <f t="shared" ca="1" si="27"/>
        <v>Sokhna Diallo</v>
      </c>
      <c r="D347" t="str" cm="1">
        <f t="array" aca="1" ref="D347" ca="1">INDEX({"Dakar";"dakar";"DAKAR";"Dakar ";"Thiès";"TOUBA";"Kaolack";"Saint-Louis"},RANDBETWEEN(1,8))</f>
        <v>Saint-Louis</v>
      </c>
      <c r="E347" t="str" cm="1">
        <f t="array" aca="1" ref="E347" ca="1">INDEX({"Laptop";"Souris";"Clavier";"Ecran";"Casque";"Tablete";"Imprimante";"Disque dur"},RANDBETWEEN(1,8))</f>
        <v>Disque dur</v>
      </c>
      <c r="F347">
        <f t="shared" ca="1" si="28"/>
        <v>10</v>
      </c>
      <c r="G347" t="str">
        <f t="shared" ca="1" si="29"/>
        <v>€221810</v>
      </c>
    </row>
    <row r="348" spans="1:7" x14ac:dyDescent="0.45">
      <c r="A348" t="str">
        <f t="shared" si="25"/>
        <v>V0347</v>
      </c>
      <c r="B348" t="str">
        <f t="shared" ca="1" si="26"/>
        <v>22-09-26</v>
      </c>
      <c r="C348" t="str">
        <f t="shared" ca="1" si="27"/>
        <v xml:space="preserve">Ousmane Ndiaye  </v>
      </c>
      <c r="D348" t="str" cm="1">
        <f t="array" aca="1" ref="D348" ca="1">INDEX({"Dakar";"dakar";"DAKAR";"Dakar ";"Thiès";"TOUBA";"Kaolack";"Saint-Louis"},RANDBETWEEN(1,8))</f>
        <v xml:space="preserve">Dakar </v>
      </c>
      <c r="E348" t="str" cm="1">
        <f t="array" aca="1" ref="E348" ca="1">INDEX({"Laptop";"Souris";"Clavier";"Ecran";"Casque";"Tablete";"Imprimante";"Disque dur"},RANDBETWEEN(1,8))</f>
        <v>Laptop</v>
      </c>
      <c r="F348">
        <f t="shared" ca="1" si="28"/>
        <v>3</v>
      </c>
      <c r="G348" t="str">
        <f t="shared" ca="1" si="29"/>
        <v>102714</v>
      </c>
    </row>
    <row r="349" spans="1:7" x14ac:dyDescent="0.45">
      <c r="A349" t="str">
        <f t="shared" si="25"/>
        <v>V0348</v>
      </c>
      <c r="B349" t="str">
        <f t="shared" ca="1" si="26"/>
        <v>17/09/2026</v>
      </c>
      <c r="C349" t="str">
        <f t="shared" ca="1" si="27"/>
        <v xml:space="preserve">Ousmane Ndiaye  </v>
      </c>
      <c r="D349" t="str" cm="1">
        <f t="array" aca="1" ref="D349" ca="1">INDEX({"Dakar";"dakar";"DAKAR";"Dakar ";"Thiès";"TOUBA";"Kaolack";"Saint-Louis"},RANDBETWEEN(1,8))</f>
        <v>DAKAR</v>
      </c>
      <c r="E349" t="str" cm="1">
        <f t="array" aca="1" ref="E349" ca="1">INDEX({"Laptop";"Souris";"Clavier";"Ecran";"Casque";"Tablete";"Imprimante";"Disque dur"},RANDBETWEEN(1,8))</f>
        <v>Laptop</v>
      </c>
      <c r="F349">
        <f t="shared" ca="1" si="28"/>
        <v>7</v>
      </c>
      <c r="G349" t="str">
        <f t="shared" ca="1" si="29"/>
        <v>488253</v>
      </c>
    </row>
    <row r="350" spans="1:7" x14ac:dyDescent="0.45">
      <c r="A350" t="str">
        <f t="shared" si="25"/>
        <v>V0349</v>
      </c>
      <c r="B350" t="str">
        <f t="shared" ca="1" si="26"/>
        <v>2026-09-10</v>
      </c>
      <c r="C350" t="str">
        <f t="shared" ca="1" si="27"/>
        <v>Mariama Sow</v>
      </c>
      <c r="D350" t="str" cm="1">
        <f t="array" aca="1" ref="D350" ca="1">INDEX({"Dakar";"dakar";"DAKAR";"Dakar ";"Thiès";"TOUBA";"Kaolack";"Saint-Louis"},RANDBETWEEN(1,8))</f>
        <v>Saint-Louis</v>
      </c>
      <c r="E350" t="str" cm="1">
        <f t="array" aca="1" ref="E350" ca="1">INDEX({"Laptop";"Souris";"Clavier";"Ecran";"Casque";"Tablete";"Imprimante";"Disque dur"},RANDBETWEEN(1,8))</f>
        <v>Clavier</v>
      </c>
      <c r="F350">
        <f t="shared" ca="1" si="28"/>
        <v>10</v>
      </c>
      <c r="G350" t="str">
        <f t="shared" ca="1" si="29"/>
        <v>421845</v>
      </c>
    </row>
    <row r="351" spans="1:7" x14ac:dyDescent="0.45">
      <c r="A351" t="str">
        <f t="shared" si="25"/>
        <v>V0350</v>
      </c>
      <c r="B351" t="str">
        <f t="shared" ca="1" si="26"/>
        <v>15-09-26</v>
      </c>
      <c r="C351" t="str">
        <f t="shared" ca="1" si="27"/>
        <v>Mamadou Diop</v>
      </c>
      <c r="D351" t="str" cm="1">
        <f t="array" aca="1" ref="D351" ca="1">INDEX({"Dakar";"dakar";"DAKAR";"Dakar ";"Thiès";"TOUBA";"Kaolack";"Saint-Louis"},RANDBETWEEN(1,8))</f>
        <v>TOUBA</v>
      </c>
      <c r="E351" t="str" cm="1">
        <f t="array" aca="1" ref="E351" ca="1">INDEX({"Laptop";"Souris";"Clavier";"Ecran";"Casque";"Tablete";"Imprimante";"Disque dur"},RANDBETWEEN(1,8))</f>
        <v>Casque</v>
      </c>
      <c r="F351">
        <f t="shared" ca="1" si="28"/>
        <v>5</v>
      </c>
      <c r="G351" t="str">
        <f t="shared" ca="1" si="29"/>
        <v>439664</v>
      </c>
    </row>
    <row r="352" spans="1:7" x14ac:dyDescent="0.45">
      <c r="A352" t="str">
        <f t="shared" si="25"/>
        <v>V0351</v>
      </c>
      <c r="B352" t="str">
        <f t="shared" ca="1" si="26"/>
        <v>2026-09-15</v>
      </c>
      <c r="C352" t="str">
        <f t="shared" ca="1" si="27"/>
        <v>Mamadou Diop</v>
      </c>
      <c r="D352" t="str" cm="1">
        <f t="array" aca="1" ref="D352" ca="1">INDEX({"Dakar";"dakar";"DAKAR";"Dakar ";"Thiès";"TOUBA";"Kaolack";"Saint-Louis"},RANDBETWEEN(1,8))</f>
        <v>Thiès</v>
      </c>
      <c r="E352" t="str" cm="1">
        <f t="array" aca="1" ref="E352" ca="1">INDEX({"Laptop";"Souris";"Clavier";"Ecran";"Casque";"Tablete";"Imprimante";"Disque dur"},RANDBETWEEN(1,8))</f>
        <v>Casque</v>
      </c>
      <c r="F352">
        <f t="shared" ca="1" si="28"/>
        <v>8</v>
      </c>
      <c r="G352" t="str">
        <f t="shared" ca="1" si="29"/>
        <v>264254 €</v>
      </c>
    </row>
    <row r="353" spans="1:7" x14ac:dyDescent="0.45">
      <c r="A353" t="str">
        <f t="shared" si="25"/>
        <v>V0352</v>
      </c>
      <c r="B353" t="str">
        <f t="shared" ca="1" si="26"/>
        <v>15-09-26</v>
      </c>
      <c r="C353" t="str">
        <f t="shared" ca="1" si="27"/>
        <v>Mamadou Diop</v>
      </c>
      <c r="D353" t="str" cm="1">
        <f t="array" aca="1" ref="D353" ca="1">INDEX({"Dakar";"dakar";"DAKAR";"Dakar ";"Thiès";"TOUBA";"Kaolack";"Saint-Louis"},RANDBETWEEN(1,8))</f>
        <v>Dakar</v>
      </c>
      <c r="E353" t="str" cm="1">
        <f t="array" aca="1" ref="E353" ca="1">INDEX({"Laptop";"Souris";"Clavier";"Ecran";"Casque";"Tablete";"Imprimante";"Disque dur"},RANDBETWEEN(1,8))</f>
        <v>Tablete</v>
      </c>
      <c r="F353">
        <f t="shared" ca="1" si="28"/>
        <v>2</v>
      </c>
      <c r="G353" t="str">
        <f t="shared" ca="1" si="29"/>
        <v>92992</v>
      </c>
    </row>
    <row r="354" spans="1:7" x14ac:dyDescent="0.45">
      <c r="A354" t="str">
        <f t="shared" si="25"/>
        <v>V0353</v>
      </c>
      <c r="B354" t="str">
        <f t="shared" ca="1" si="26"/>
        <v>26-09-26</v>
      </c>
      <c r="C354" t="str">
        <f t="shared" ca="1" si="27"/>
        <v>Abdoulaye Gueye</v>
      </c>
      <c r="D354" t="str" cm="1">
        <f t="array" aca="1" ref="D354" ca="1">INDEX({"Dakar";"dakar";"DAKAR";"Dakar ";"Thiès";"TOUBA";"Kaolack";"Saint-Louis"},RANDBETWEEN(1,8))</f>
        <v>DAKAR</v>
      </c>
      <c r="E354" t="str" cm="1">
        <f t="array" aca="1" ref="E354" ca="1">INDEX({"Laptop";"Souris";"Clavier";"Ecran";"Casque";"Tablete";"Imprimante";"Disque dur"},RANDBETWEEN(1,8))</f>
        <v>Imprimante</v>
      </c>
      <c r="F354">
        <f t="shared" ca="1" si="28"/>
        <v>6</v>
      </c>
      <c r="G354" t="str">
        <f t="shared" ca="1" si="29"/>
        <v>€401432</v>
      </c>
    </row>
    <row r="355" spans="1:7" x14ac:dyDescent="0.45">
      <c r="A355" t="str">
        <f t="shared" si="25"/>
        <v>V0354</v>
      </c>
      <c r="B355" t="str">
        <f t="shared" ca="1" si="26"/>
        <v>2026-09-18</v>
      </c>
      <c r="C355" t="str">
        <f t="shared" ca="1" si="27"/>
        <v>Fatou Fall</v>
      </c>
      <c r="D355" t="str" cm="1">
        <f t="array" aca="1" ref="D355" ca="1">INDEX({"Dakar";"dakar";"DAKAR";"Dakar ";"Thiès";"TOUBA";"Kaolack";"Saint-Louis"},RANDBETWEEN(1,8))</f>
        <v>DAKAR</v>
      </c>
      <c r="E355" t="str" cm="1">
        <f t="array" aca="1" ref="E355" ca="1">INDEX({"Laptop";"Souris";"Clavier";"Ecran";"Casque";"Tablete";"Imprimante";"Disque dur"},RANDBETWEEN(1,8))</f>
        <v>Imprimante</v>
      </c>
      <c r="F355">
        <f t="shared" ca="1" si="28"/>
        <v>5</v>
      </c>
      <c r="G355" t="str">
        <f t="shared" ca="1" si="29"/>
        <v>182225 €</v>
      </c>
    </row>
    <row r="356" spans="1:7" x14ac:dyDescent="0.45">
      <c r="A356" t="str">
        <f t="shared" si="25"/>
        <v>V0355</v>
      </c>
      <c r="B356" t="str">
        <f t="shared" ca="1" si="26"/>
        <v>2026-09-15</v>
      </c>
      <c r="C356" t="str">
        <f t="shared" ca="1" si="27"/>
        <v>Fatou Fall</v>
      </c>
      <c r="D356" t="str" cm="1">
        <f t="array" aca="1" ref="D356" ca="1">INDEX({"Dakar";"dakar";"DAKAR";"Dakar ";"Thiès";"TOUBA";"Kaolack";"Saint-Louis"},RANDBETWEEN(1,8))</f>
        <v>dakar</v>
      </c>
      <c r="E356" t="str" cm="1">
        <f t="array" aca="1" ref="E356" ca="1">INDEX({"Laptop";"Souris";"Clavier";"Ecran";"Casque";"Tablete";"Imprimante";"Disque dur"},RANDBETWEEN(1,8))</f>
        <v>Clavier</v>
      </c>
      <c r="F356">
        <f t="shared" ca="1" si="28"/>
        <v>7</v>
      </c>
      <c r="G356" t="str">
        <f t="shared" ca="1" si="29"/>
        <v>€89878</v>
      </c>
    </row>
    <row r="357" spans="1:7" x14ac:dyDescent="0.45">
      <c r="A357" t="str">
        <f t="shared" si="25"/>
        <v>V0356</v>
      </c>
      <c r="B357" t="str">
        <f t="shared" ca="1" si="26"/>
        <v>16-09-26</v>
      </c>
      <c r="C357" t="str">
        <f t="shared" ca="1" si="27"/>
        <v>Fatou Fall</v>
      </c>
      <c r="D357" t="str" cm="1">
        <f t="array" aca="1" ref="D357" ca="1">INDEX({"Dakar";"dakar";"DAKAR";"Dakar ";"Thiès";"TOUBA";"Kaolack";"Saint-Louis"},RANDBETWEEN(1,8))</f>
        <v>DAKAR</v>
      </c>
      <c r="E357" t="str" cm="1">
        <f t="array" aca="1" ref="E357" ca="1">INDEX({"Laptop";"Souris";"Clavier";"Ecran";"Casque";"Tablete";"Imprimante";"Disque dur"},RANDBETWEEN(1,8))</f>
        <v>Souris</v>
      </c>
      <c r="F357" t="str">
        <f t="shared" ca="1" si="28"/>
        <v>7</v>
      </c>
      <c r="G357" t="str">
        <f t="shared" ca="1" si="29"/>
        <v>€456149</v>
      </c>
    </row>
    <row r="358" spans="1:7" x14ac:dyDescent="0.45">
      <c r="A358" t="str">
        <f t="shared" si="25"/>
        <v>V0357</v>
      </c>
      <c r="B358" t="str">
        <f t="shared" ca="1" si="26"/>
        <v>2026-09-06</v>
      </c>
      <c r="C358" t="str">
        <f t="shared" ca="1" si="27"/>
        <v>Sokhna Diallo</v>
      </c>
      <c r="D358" t="str" cm="1">
        <f t="array" aca="1" ref="D358" ca="1">INDEX({"Dakar";"dakar";"DAKAR";"Dakar ";"Thiès";"TOUBA";"Kaolack";"Saint-Louis"},RANDBETWEEN(1,8))</f>
        <v>Saint-Louis</v>
      </c>
      <c r="E358" t="str" cm="1">
        <f t="array" aca="1" ref="E358" ca="1">INDEX({"Laptop";"Souris";"Clavier";"Ecran";"Casque";"Tablete";"Imprimante";"Disque dur"},RANDBETWEEN(1,8))</f>
        <v>Clavier</v>
      </c>
      <c r="F358">
        <f t="shared" ca="1" si="28"/>
        <v>1</v>
      </c>
      <c r="G358" t="str">
        <f t="shared" ca="1" si="29"/>
        <v>457700€</v>
      </c>
    </row>
    <row r="359" spans="1:7" x14ac:dyDescent="0.45">
      <c r="A359" t="str">
        <f t="shared" si="25"/>
        <v>V0358</v>
      </c>
      <c r="B359" t="str">
        <f t="shared" ca="1" si="26"/>
        <v>09-09-26</v>
      </c>
      <c r="C359" t="str">
        <f t="shared" ca="1" si="27"/>
        <v>Awa Ndiaye</v>
      </c>
      <c r="D359" t="str" cm="1">
        <f t="array" aca="1" ref="D359" ca="1">INDEX({"Dakar";"dakar";"DAKAR";"Dakar ";"Thiès";"TOUBA";"Kaolack";"Saint-Louis"},RANDBETWEEN(1,8))</f>
        <v>Thiès</v>
      </c>
      <c r="E359" t="str" cm="1">
        <f t="array" aca="1" ref="E359" ca="1">INDEX({"Laptop";"Souris";"Clavier";"Ecran";"Casque";"Tablete";"Imprimante";"Disque dur"},RANDBETWEEN(1,8))</f>
        <v>Ecran</v>
      </c>
      <c r="F359">
        <f t="shared" ca="1" si="28"/>
        <v>5</v>
      </c>
      <c r="G359" t="str">
        <f t="shared" ca="1" si="29"/>
        <v>207476 €</v>
      </c>
    </row>
    <row r="360" spans="1:7" x14ac:dyDescent="0.45">
      <c r="A360" t="str">
        <f t="shared" si="25"/>
        <v>V0359</v>
      </c>
      <c r="B360" t="str">
        <f t="shared" ca="1" si="26"/>
        <v>09/09/2026</v>
      </c>
      <c r="C360" t="str">
        <f t="shared" ca="1" si="27"/>
        <v>Fatou Fall</v>
      </c>
      <c r="D360" t="str" cm="1">
        <f t="array" aca="1" ref="D360" ca="1">INDEX({"Dakar";"dakar";"DAKAR";"Dakar ";"Thiès";"TOUBA";"Kaolack";"Saint-Louis"},RANDBETWEEN(1,8))</f>
        <v xml:space="preserve">Dakar </v>
      </c>
      <c r="E360" t="str" cm="1">
        <f t="array" aca="1" ref="E360" ca="1">INDEX({"Laptop";"Souris";"Clavier";"Ecran";"Casque";"Tablete";"Imprimante";"Disque dur"},RANDBETWEEN(1,8))</f>
        <v>Clavier</v>
      </c>
      <c r="F360">
        <f t="shared" ca="1" si="28"/>
        <v>6</v>
      </c>
      <c r="G360" t="str">
        <f t="shared" ca="1" si="29"/>
        <v>62025€</v>
      </c>
    </row>
    <row r="361" spans="1:7" x14ac:dyDescent="0.45">
      <c r="A361" t="str">
        <f t="shared" si="25"/>
        <v>V0360</v>
      </c>
      <c r="B361" t="str">
        <f t="shared" ca="1" si="26"/>
        <v>16/09/2026</v>
      </c>
      <c r="C361" t="str">
        <f t="shared" ca="1" si="27"/>
        <v xml:space="preserve">Ousmane Ndiaye  </v>
      </c>
      <c r="D361" t="str" cm="1">
        <f t="array" aca="1" ref="D361" ca="1">INDEX({"Dakar";"dakar";"DAKAR";"Dakar ";"Thiès";"TOUBA";"Kaolack";"Saint-Louis"},RANDBETWEEN(1,8))</f>
        <v>Thiès</v>
      </c>
      <c r="E361" t="str" cm="1">
        <f t="array" aca="1" ref="E361" ca="1">INDEX({"Laptop";"Souris";"Clavier";"Ecran";"Casque";"Tablete";"Imprimante";"Disque dur"},RANDBETWEEN(1,8))</f>
        <v>Tablete</v>
      </c>
      <c r="F361">
        <f t="shared" ca="1" si="28"/>
        <v>5</v>
      </c>
      <c r="G361" t="str">
        <f t="shared" ca="1" si="29"/>
        <v>58712€</v>
      </c>
    </row>
    <row r="362" spans="1:7" x14ac:dyDescent="0.45">
      <c r="A362" t="str">
        <f t="shared" si="25"/>
        <v>V0361</v>
      </c>
      <c r="B362" t="str">
        <f t="shared" ca="1" si="26"/>
        <v>2026-09-07</v>
      </c>
      <c r="C362" t="str">
        <f t="shared" ca="1" si="27"/>
        <v xml:space="preserve">Ousmane Ndiaye  </v>
      </c>
      <c r="D362" t="str" cm="1">
        <f t="array" aca="1" ref="D362" ca="1">INDEX({"Dakar";"dakar";"DAKAR";"Dakar ";"Thiès";"TOUBA";"Kaolack";"Saint-Louis"},RANDBETWEEN(1,8))</f>
        <v>Saint-Louis</v>
      </c>
      <c r="E362" t="str" cm="1">
        <f t="array" aca="1" ref="E362" ca="1">INDEX({"Laptop";"Souris";"Clavier";"Ecran";"Casque";"Tablete";"Imprimante";"Disque dur"},RANDBETWEEN(1,8))</f>
        <v>Tablete</v>
      </c>
      <c r="F362">
        <f t="shared" ca="1" si="28"/>
        <v>5</v>
      </c>
      <c r="G362" t="str">
        <f t="shared" ca="1" si="29"/>
        <v>338277 €</v>
      </c>
    </row>
    <row r="363" spans="1:7" x14ac:dyDescent="0.45">
      <c r="A363" t="str">
        <f t="shared" si="25"/>
        <v>V0362</v>
      </c>
      <c r="B363" t="str">
        <f t="shared" ca="1" si="26"/>
        <v>09/09/2026</v>
      </c>
      <c r="C363" t="str">
        <f t="shared" ca="1" si="27"/>
        <v>Abdoulaye Gueye</v>
      </c>
      <c r="D363" t="str" cm="1">
        <f t="array" aca="1" ref="D363" ca="1">INDEX({"Dakar";"dakar";"DAKAR";"Dakar ";"Thiès";"TOUBA";"Kaolack";"Saint-Louis"},RANDBETWEEN(1,8))</f>
        <v>Dakar</v>
      </c>
      <c r="E363" t="str" cm="1">
        <f t="array" aca="1" ref="E363" ca="1">INDEX({"Laptop";"Souris";"Clavier";"Ecran";"Casque";"Tablete";"Imprimante";"Disque dur"},RANDBETWEEN(1,8))</f>
        <v>Souris</v>
      </c>
      <c r="F363">
        <f t="shared" ca="1" si="28"/>
        <v>5</v>
      </c>
      <c r="G363" t="str">
        <f t="shared" ca="1" si="29"/>
        <v>338012</v>
      </c>
    </row>
    <row r="364" spans="1:7" x14ac:dyDescent="0.45">
      <c r="A364" t="str">
        <f t="shared" si="25"/>
        <v>V0363</v>
      </c>
      <c r="B364" t="str">
        <f t="shared" ca="1" si="26"/>
        <v>22-09-26</v>
      </c>
      <c r="C364" t="str">
        <f t="shared" ca="1" si="27"/>
        <v>Abdoulaye Gueye</v>
      </c>
      <c r="D364" t="str" cm="1">
        <f t="array" aca="1" ref="D364" ca="1">INDEX({"Dakar";"dakar";"DAKAR";"Dakar ";"Thiès";"TOUBA";"Kaolack";"Saint-Louis"},RANDBETWEEN(1,8))</f>
        <v xml:space="preserve">Dakar </v>
      </c>
      <c r="E364" t="str" cm="1">
        <f t="array" aca="1" ref="E364" ca="1">INDEX({"Laptop";"Souris";"Clavier";"Ecran";"Casque";"Tablete";"Imprimante";"Disque dur"},RANDBETWEEN(1,8))</f>
        <v>Ecran</v>
      </c>
      <c r="F364" t="str">
        <f t="shared" ca="1" si="28"/>
        <v>6</v>
      </c>
      <c r="G364" t="str">
        <f t="shared" ca="1" si="29"/>
        <v>176572</v>
      </c>
    </row>
    <row r="365" spans="1:7" x14ac:dyDescent="0.45">
      <c r="A365" t="str">
        <f t="shared" si="25"/>
        <v>V0364</v>
      </c>
      <c r="B365" t="str">
        <f t="shared" ca="1" si="26"/>
        <v>2026-09-28</v>
      </c>
      <c r="C365" t="str">
        <f t="shared" ca="1" si="27"/>
        <v xml:space="preserve">Ousmane Ndiaye  </v>
      </c>
      <c r="D365" t="str" cm="1">
        <f t="array" aca="1" ref="D365" ca="1">INDEX({"Dakar";"dakar";"DAKAR";"Dakar ";"Thiès";"TOUBA";"Kaolack";"Saint-Louis"},RANDBETWEEN(1,8))</f>
        <v>TOUBA</v>
      </c>
      <c r="E365" t="str" cm="1">
        <f t="array" aca="1" ref="E365" ca="1">INDEX({"Laptop";"Souris";"Clavier";"Ecran";"Casque";"Tablete";"Imprimante";"Disque dur"},RANDBETWEEN(1,8))</f>
        <v>Ecran</v>
      </c>
      <c r="F365">
        <f t="shared" ca="1" si="28"/>
        <v>10</v>
      </c>
      <c r="G365" t="str">
        <f t="shared" ca="1" si="29"/>
        <v>251239</v>
      </c>
    </row>
    <row r="366" spans="1:7" x14ac:dyDescent="0.45">
      <c r="A366" t="str">
        <f t="shared" si="25"/>
        <v>V0365</v>
      </c>
      <c r="B366" t="str">
        <f t="shared" ca="1" si="26"/>
        <v>07-09-26</v>
      </c>
      <c r="C366" t="str">
        <f t="shared" ca="1" si="27"/>
        <v>Abdoulaye Gueye</v>
      </c>
      <c r="D366" t="str" cm="1">
        <f t="array" aca="1" ref="D366" ca="1">INDEX({"Dakar";"dakar";"DAKAR";"Dakar ";"Thiès";"TOUBA";"Kaolack";"Saint-Louis"},RANDBETWEEN(1,8))</f>
        <v>dakar</v>
      </c>
      <c r="E366" t="str" cm="1">
        <f t="array" aca="1" ref="E366" ca="1">INDEX({"Laptop";"Souris";"Clavier";"Ecran";"Casque";"Tablete";"Imprimante";"Disque dur"},RANDBETWEEN(1,8))</f>
        <v>Souris</v>
      </c>
      <c r="F366">
        <f t="shared" ca="1" si="28"/>
        <v>8</v>
      </c>
      <c r="G366" t="str">
        <f t="shared" ca="1" si="29"/>
        <v>116763€</v>
      </c>
    </row>
    <row r="367" spans="1:7" x14ac:dyDescent="0.45">
      <c r="A367" t="str">
        <f t="shared" si="25"/>
        <v>V0366</v>
      </c>
      <c r="B367" t="str">
        <f t="shared" ca="1" si="26"/>
        <v>2026-09-24</v>
      </c>
      <c r="C367" t="str">
        <f t="shared" ca="1" si="27"/>
        <v>Sokhna Diallo</v>
      </c>
      <c r="D367" t="str" cm="1">
        <f t="array" aca="1" ref="D367" ca="1">INDEX({"Dakar";"dakar";"DAKAR";"Dakar ";"Thiès";"TOUBA";"Kaolack";"Saint-Louis"},RANDBETWEEN(1,8))</f>
        <v>Kaolack</v>
      </c>
      <c r="E367" t="str" cm="1">
        <f t="array" aca="1" ref="E367" ca="1">INDEX({"Laptop";"Souris";"Clavier";"Ecran";"Casque";"Tablete";"Imprimante";"Disque dur"},RANDBETWEEN(1,8))</f>
        <v>Imprimante</v>
      </c>
      <c r="F367">
        <f t="shared" ca="1" si="28"/>
        <v>4</v>
      </c>
      <c r="G367" t="str">
        <f t="shared" ca="1" si="29"/>
        <v>€308071</v>
      </c>
    </row>
    <row r="368" spans="1:7" x14ac:dyDescent="0.45">
      <c r="A368" t="str">
        <f t="shared" si="25"/>
        <v>V0367</v>
      </c>
      <c r="B368" t="str">
        <f t="shared" ca="1" si="26"/>
        <v>2026-09-09</v>
      </c>
      <c r="C368" t="str">
        <f t="shared" ca="1" si="27"/>
        <v xml:space="preserve">  Cheikh Ba</v>
      </c>
      <c r="D368" t="str" cm="1">
        <f t="array" aca="1" ref="D368" ca="1">INDEX({"Dakar";"dakar";"DAKAR";"Dakar ";"Thiès";"TOUBA";"Kaolack";"Saint-Louis"},RANDBETWEEN(1,8))</f>
        <v xml:space="preserve">Dakar </v>
      </c>
      <c r="E368" t="str" cm="1">
        <f t="array" aca="1" ref="E368" ca="1">INDEX({"Laptop";"Souris";"Clavier";"Ecran";"Casque";"Tablete";"Imprimante";"Disque dur"},RANDBETWEEN(1,8))</f>
        <v>Tablete</v>
      </c>
      <c r="F368" t="str">
        <f t="shared" ca="1" si="28"/>
        <v>10</v>
      </c>
      <c r="G368" t="str">
        <f t="shared" ca="1" si="29"/>
        <v>430317€</v>
      </c>
    </row>
    <row r="369" spans="1:7" x14ac:dyDescent="0.45">
      <c r="A369" t="str">
        <f t="shared" si="25"/>
        <v>V0368</v>
      </c>
      <c r="B369" t="str">
        <f t="shared" ca="1" si="26"/>
        <v>2026-09-29</v>
      </c>
      <c r="C369" t="str">
        <f t="shared" ca="1" si="27"/>
        <v>Abdoulaye Gueye</v>
      </c>
      <c r="D369" t="str" cm="1">
        <f t="array" aca="1" ref="D369" ca="1">INDEX({"Dakar";"dakar";"DAKAR";"Dakar ";"Thiès";"TOUBA";"Kaolack";"Saint-Louis"},RANDBETWEEN(1,8))</f>
        <v>Thiès</v>
      </c>
      <c r="E369" t="str" cm="1">
        <f t="array" aca="1" ref="E369" ca="1">INDEX({"Laptop";"Souris";"Clavier";"Ecran";"Casque";"Tablete";"Imprimante";"Disque dur"},RANDBETWEEN(1,8))</f>
        <v>Ecran</v>
      </c>
      <c r="F369">
        <f t="shared" ca="1" si="28"/>
        <v>7</v>
      </c>
      <c r="G369" t="str">
        <f t="shared" ca="1" si="29"/>
        <v>75689 €</v>
      </c>
    </row>
    <row r="370" spans="1:7" x14ac:dyDescent="0.45">
      <c r="A370" t="str">
        <f t="shared" si="25"/>
        <v>V0369</v>
      </c>
      <c r="B370" t="str">
        <f t="shared" ca="1" si="26"/>
        <v>11/09/2026</v>
      </c>
      <c r="C370" t="str">
        <f t="shared" ca="1" si="27"/>
        <v>Abdoulaye Gueye</v>
      </c>
      <c r="D370" t="str" cm="1">
        <f t="array" aca="1" ref="D370" ca="1">INDEX({"Dakar";"dakar";"DAKAR";"Dakar ";"Thiès";"TOUBA";"Kaolack";"Saint-Louis"},RANDBETWEEN(1,8))</f>
        <v>TOUBA</v>
      </c>
      <c r="E370" t="str" cm="1">
        <f t="array" aca="1" ref="E370" ca="1">INDEX({"Laptop";"Souris";"Clavier";"Ecran";"Casque";"Tablete";"Imprimante";"Disque dur"},RANDBETWEEN(1,8))</f>
        <v>Disque dur</v>
      </c>
      <c r="F370">
        <f t="shared" ca="1" si="28"/>
        <v>1</v>
      </c>
      <c r="G370" t="str">
        <f t="shared" ca="1" si="29"/>
        <v>305420€</v>
      </c>
    </row>
    <row r="371" spans="1:7" x14ac:dyDescent="0.45">
      <c r="A371" t="str">
        <f t="shared" si="25"/>
        <v>V0370</v>
      </c>
      <c r="B371" t="str">
        <f t="shared" ca="1" si="26"/>
        <v>2026-09-06</v>
      </c>
      <c r="C371" t="str">
        <f t="shared" ca="1" si="27"/>
        <v xml:space="preserve">Ousmane Ndiaye  </v>
      </c>
      <c r="D371" t="str" cm="1">
        <f t="array" aca="1" ref="D371" ca="1">INDEX({"Dakar";"dakar";"DAKAR";"Dakar ";"Thiès";"TOUBA";"Kaolack";"Saint-Louis"},RANDBETWEEN(1,8))</f>
        <v>Kaolack</v>
      </c>
      <c r="E371" t="str" cm="1">
        <f t="array" aca="1" ref="E371" ca="1">INDEX({"Laptop";"Souris";"Clavier";"Ecran";"Casque";"Tablete";"Imprimante";"Disque dur"},RANDBETWEEN(1,8))</f>
        <v>Tablete</v>
      </c>
      <c r="F371">
        <f t="shared" ca="1" si="28"/>
        <v>8</v>
      </c>
      <c r="G371" t="str">
        <f t="shared" ca="1" si="29"/>
        <v>45962€</v>
      </c>
    </row>
    <row r="372" spans="1:7" x14ac:dyDescent="0.45">
      <c r="A372" t="str">
        <f t="shared" si="25"/>
        <v>V0371</v>
      </c>
      <c r="B372" t="str">
        <f t="shared" ca="1" si="26"/>
        <v>15-09-26</v>
      </c>
      <c r="C372" t="str">
        <f t="shared" ca="1" si="27"/>
        <v xml:space="preserve">  Cheikh Ba</v>
      </c>
      <c r="D372" t="str" cm="1">
        <f t="array" aca="1" ref="D372" ca="1">INDEX({"Dakar";"dakar";"DAKAR";"Dakar ";"Thiès";"TOUBA";"Kaolack";"Saint-Louis"},RANDBETWEEN(1,8))</f>
        <v xml:space="preserve">Dakar </v>
      </c>
      <c r="E372" t="str" cm="1">
        <f t="array" aca="1" ref="E372" ca="1">INDEX({"Laptop";"Souris";"Clavier";"Ecran";"Casque";"Tablete";"Imprimante";"Disque dur"},RANDBETWEEN(1,8))</f>
        <v>Tablete</v>
      </c>
      <c r="F372">
        <f t="shared" ca="1" si="28"/>
        <v>7</v>
      </c>
      <c r="G372" t="str">
        <f t="shared" ca="1" si="29"/>
        <v>270101</v>
      </c>
    </row>
    <row r="373" spans="1:7" x14ac:dyDescent="0.45">
      <c r="A373" t="str">
        <f t="shared" si="25"/>
        <v>V0372</v>
      </c>
      <c r="B373" t="str">
        <f t="shared" ca="1" si="26"/>
        <v>12-09-26</v>
      </c>
      <c r="C373" t="str">
        <f t="shared" ca="1" si="27"/>
        <v>Sokhna Diallo</v>
      </c>
      <c r="D373" t="str" cm="1">
        <f t="array" aca="1" ref="D373" ca="1">INDEX({"Dakar";"dakar";"DAKAR";"Dakar ";"Thiès";"TOUBA";"Kaolack";"Saint-Louis"},RANDBETWEEN(1,8))</f>
        <v>dakar</v>
      </c>
      <c r="E373" t="str" cm="1">
        <f t="array" aca="1" ref="E373" ca="1">INDEX({"Laptop";"Souris";"Clavier";"Ecran";"Casque";"Tablete";"Imprimante";"Disque dur"},RANDBETWEEN(1,8))</f>
        <v>Laptop</v>
      </c>
      <c r="F373">
        <f t="shared" ca="1" si="28"/>
        <v>4</v>
      </c>
      <c r="G373" t="str">
        <f t="shared" ca="1" si="29"/>
        <v>298280 €</v>
      </c>
    </row>
    <row r="374" spans="1:7" x14ac:dyDescent="0.45">
      <c r="A374" t="str">
        <f t="shared" si="25"/>
        <v>V0373</v>
      </c>
      <c r="B374" t="str">
        <f t="shared" ca="1" si="26"/>
        <v>2026-09-25</v>
      </c>
      <c r="C374" t="str">
        <f t="shared" ca="1" si="27"/>
        <v xml:space="preserve">  Cheikh Ba</v>
      </c>
      <c r="D374" t="str" cm="1">
        <f t="array" aca="1" ref="D374" ca="1">INDEX({"Dakar";"dakar";"DAKAR";"Dakar ";"Thiès";"TOUBA";"Kaolack";"Saint-Louis"},RANDBETWEEN(1,8))</f>
        <v>dakar</v>
      </c>
      <c r="E374" t="str" cm="1">
        <f t="array" aca="1" ref="E374" ca="1">INDEX({"Laptop";"Souris";"Clavier";"Ecran";"Casque";"Tablete";"Imprimante";"Disque dur"},RANDBETWEEN(1,8))</f>
        <v>Laptop</v>
      </c>
      <c r="F374">
        <f t="shared" ca="1" si="28"/>
        <v>5</v>
      </c>
      <c r="G374" t="str">
        <f t="shared" ca="1" si="29"/>
        <v>213727€</v>
      </c>
    </row>
    <row r="375" spans="1:7" x14ac:dyDescent="0.45">
      <c r="A375" t="str">
        <f t="shared" si="25"/>
        <v>V0374</v>
      </c>
      <c r="B375" t="str">
        <f t="shared" ca="1" si="26"/>
        <v>27-09-26</v>
      </c>
      <c r="C375" t="str">
        <f t="shared" ca="1" si="27"/>
        <v xml:space="preserve">Ousmane Ndiaye  </v>
      </c>
      <c r="D375" t="str" cm="1">
        <f t="array" aca="1" ref="D375" ca="1">INDEX({"Dakar";"dakar";"DAKAR";"Dakar ";"Thiès";"TOUBA";"Kaolack";"Saint-Louis"},RANDBETWEEN(1,8))</f>
        <v>DAKAR</v>
      </c>
      <c r="E375" t="str" cm="1">
        <f t="array" aca="1" ref="E375" ca="1">INDEX({"Laptop";"Souris";"Clavier";"Ecran";"Casque";"Tablete";"Imprimante";"Disque dur"},RANDBETWEEN(1,8))</f>
        <v>Souris</v>
      </c>
      <c r="F375" t="str">
        <f t="shared" ca="1" si="28"/>
        <v>6</v>
      </c>
      <c r="G375" t="str">
        <f t="shared" ca="1" si="29"/>
        <v>286692 €</v>
      </c>
    </row>
    <row r="376" spans="1:7" x14ac:dyDescent="0.45">
      <c r="A376" t="str">
        <f t="shared" si="25"/>
        <v>V0375</v>
      </c>
      <c r="B376" t="str">
        <f t="shared" ca="1" si="26"/>
        <v>2026-09-28</v>
      </c>
      <c r="C376" t="str">
        <f t="shared" ca="1" si="27"/>
        <v>Sokhna Diallo</v>
      </c>
      <c r="D376" t="str" cm="1">
        <f t="array" aca="1" ref="D376" ca="1">INDEX({"Dakar";"dakar";"DAKAR";"Dakar ";"Thiès";"TOUBA";"Kaolack";"Saint-Louis"},RANDBETWEEN(1,8))</f>
        <v>TOUBA</v>
      </c>
      <c r="E376" t="str" cm="1">
        <f t="array" aca="1" ref="E376" ca="1">INDEX({"Laptop";"Souris";"Clavier";"Ecran";"Casque";"Tablete";"Imprimante";"Disque dur"},RANDBETWEEN(1,8))</f>
        <v>Tablete</v>
      </c>
      <c r="F376">
        <f t="shared" ca="1" si="28"/>
        <v>10</v>
      </c>
      <c r="G376" t="str">
        <f t="shared" ca="1" si="29"/>
        <v>€301707</v>
      </c>
    </row>
    <row r="377" spans="1:7" x14ac:dyDescent="0.45">
      <c r="A377" t="str">
        <f t="shared" si="25"/>
        <v>V0376</v>
      </c>
      <c r="B377" t="str">
        <f t="shared" ca="1" si="26"/>
        <v>22-09-26</v>
      </c>
      <c r="C377" t="str">
        <f t="shared" ca="1" si="27"/>
        <v>Mamadou Diop</v>
      </c>
      <c r="D377" t="str" cm="1">
        <f t="array" aca="1" ref="D377" ca="1">INDEX({"Dakar";"dakar";"DAKAR";"Dakar ";"Thiès";"TOUBA";"Kaolack";"Saint-Louis"},RANDBETWEEN(1,8))</f>
        <v>Thiès</v>
      </c>
      <c r="E377" t="str" cm="1">
        <f t="array" aca="1" ref="E377" ca="1">INDEX({"Laptop";"Souris";"Clavier";"Ecran";"Casque";"Tablete";"Imprimante";"Disque dur"},RANDBETWEEN(1,8))</f>
        <v>Souris</v>
      </c>
      <c r="F377">
        <f t="shared" ca="1" si="28"/>
        <v>2</v>
      </c>
      <c r="G377" t="str">
        <f t="shared" ca="1" si="29"/>
        <v>37523 €</v>
      </c>
    </row>
    <row r="378" spans="1:7" x14ac:dyDescent="0.45">
      <c r="A378" t="str">
        <f t="shared" si="25"/>
        <v>V0377</v>
      </c>
      <c r="B378" t="str">
        <f t="shared" ca="1" si="26"/>
        <v>23-09-26</v>
      </c>
      <c r="C378" t="str">
        <f t="shared" ca="1" si="27"/>
        <v xml:space="preserve">  Cheikh Ba</v>
      </c>
      <c r="D378" t="str" cm="1">
        <f t="array" aca="1" ref="D378" ca="1">INDEX({"Dakar";"dakar";"DAKAR";"Dakar ";"Thiès";"TOUBA";"Kaolack";"Saint-Louis"},RANDBETWEEN(1,8))</f>
        <v>Saint-Louis</v>
      </c>
      <c r="E378" t="str" cm="1">
        <f t="array" aca="1" ref="E378" ca="1">INDEX({"Laptop";"Souris";"Clavier";"Ecran";"Casque";"Tablete";"Imprimante";"Disque dur"},RANDBETWEEN(1,8))</f>
        <v>Imprimante</v>
      </c>
      <c r="F378" t="str">
        <f t="shared" ca="1" si="28"/>
        <v>5</v>
      </c>
      <c r="G378" t="str">
        <f t="shared" ca="1" si="29"/>
        <v>€315925</v>
      </c>
    </row>
    <row r="379" spans="1:7" x14ac:dyDescent="0.45">
      <c r="A379" t="str">
        <f t="shared" si="25"/>
        <v>V0378</v>
      </c>
      <c r="B379" t="str">
        <f t="shared" ca="1" si="26"/>
        <v>09/09/2026</v>
      </c>
      <c r="C379" t="str">
        <f t="shared" ca="1" si="27"/>
        <v>Abdoulaye Gueye</v>
      </c>
      <c r="D379" t="str" cm="1">
        <f t="array" aca="1" ref="D379" ca="1">INDEX({"Dakar";"dakar";"DAKAR";"Dakar ";"Thiès";"TOUBA";"Kaolack";"Saint-Louis"},RANDBETWEEN(1,8))</f>
        <v>Saint-Louis</v>
      </c>
      <c r="E379" t="str" cm="1">
        <f t="array" aca="1" ref="E379" ca="1">INDEX({"Laptop";"Souris";"Clavier";"Ecran";"Casque";"Tablete";"Imprimante";"Disque dur"},RANDBETWEEN(1,8))</f>
        <v>Disque dur</v>
      </c>
      <c r="F379">
        <f t="shared" ca="1" si="28"/>
        <v>4</v>
      </c>
      <c r="G379" t="str">
        <f t="shared" ca="1" si="29"/>
        <v>116412 €</v>
      </c>
    </row>
    <row r="380" spans="1:7" x14ac:dyDescent="0.45">
      <c r="A380" t="str">
        <f t="shared" si="25"/>
        <v>V0379</v>
      </c>
      <c r="B380" t="str">
        <f t="shared" ca="1" si="26"/>
        <v>19/09/2026</v>
      </c>
      <c r="C380" t="str">
        <f t="shared" ca="1" si="27"/>
        <v>Mamadou Diop</v>
      </c>
      <c r="D380" t="str" cm="1">
        <f t="array" aca="1" ref="D380" ca="1">INDEX({"Dakar";"dakar";"DAKAR";"Dakar ";"Thiès";"TOUBA";"Kaolack";"Saint-Louis"},RANDBETWEEN(1,8))</f>
        <v>Dakar</v>
      </c>
      <c r="E380" t="str" cm="1">
        <f t="array" aca="1" ref="E380" ca="1">INDEX({"Laptop";"Souris";"Clavier";"Ecran";"Casque";"Tablete";"Imprimante";"Disque dur"},RANDBETWEEN(1,8))</f>
        <v>Tablete</v>
      </c>
      <c r="F380">
        <f t="shared" ca="1" si="28"/>
        <v>5</v>
      </c>
      <c r="G380" t="str">
        <f t="shared" ca="1" si="29"/>
        <v>477841 €</v>
      </c>
    </row>
    <row r="381" spans="1:7" x14ac:dyDescent="0.45">
      <c r="A381" t="str">
        <f t="shared" si="25"/>
        <v>V0380</v>
      </c>
      <c r="B381" t="str">
        <f t="shared" ca="1" si="26"/>
        <v>22-09-26</v>
      </c>
      <c r="C381" t="str">
        <f t="shared" ca="1" si="27"/>
        <v>Awa Ndiaye</v>
      </c>
      <c r="D381" t="str" cm="1">
        <f t="array" aca="1" ref="D381" ca="1">INDEX({"Dakar";"dakar";"DAKAR";"Dakar ";"Thiès";"TOUBA";"Kaolack";"Saint-Louis"},RANDBETWEEN(1,8))</f>
        <v xml:space="preserve">Dakar </v>
      </c>
      <c r="E381" t="str" cm="1">
        <f t="array" aca="1" ref="E381" ca="1">INDEX({"Laptop";"Souris";"Clavier";"Ecran";"Casque";"Tablete";"Imprimante";"Disque dur"},RANDBETWEEN(1,8))</f>
        <v>Ecran</v>
      </c>
      <c r="F381">
        <f t="shared" ca="1" si="28"/>
        <v>9</v>
      </c>
      <c r="G381" t="str">
        <f t="shared" ca="1" si="29"/>
        <v>181608 €</v>
      </c>
    </row>
    <row r="382" spans="1:7" x14ac:dyDescent="0.45">
      <c r="A382" t="str">
        <f t="shared" si="25"/>
        <v>V0381</v>
      </c>
      <c r="B382" t="str">
        <f t="shared" ca="1" si="26"/>
        <v>04-09-26</v>
      </c>
      <c r="C382" t="str">
        <f t="shared" ca="1" si="27"/>
        <v>Mamadou Diop</v>
      </c>
      <c r="D382" t="str" cm="1">
        <f t="array" aca="1" ref="D382" ca="1">INDEX({"Dakar";"dakar";"DAKAR";"Dakar ";"Thiès";"TOUBA";"Kaolack";"Saint-Louis"},RANDBETWEEN(1,8))</f>
        <v>Kaolack</v>
      </c>
      <c r="E382" t="str" cm="1">
        <f t="array" aca="1" ref="E382" ca="1">INDEX({"Laptop";"Souris";"Clavier";"Ecran";"Casque";"Tablete";"Imprimante";"Disque dur"},RANDBETWEEN(1,8))</f>
        <v>Tablete</v>
      </c>
      <c r="F382">
        <f t="shared" ca="1" si="28"/>
        <v>1</v>
      </c>
      <c r="G382" t="str">
        <f t="shared" ca="1" si="29"/>
        <v>422639€</v>
      </c>
    </row>
    <row r="383" spans="1:7" x14ac:dyDescent="0.45">
      <c r="A383" t="str">
        <f t="shared" si="25"/>
        <v>V0382</v>
      </c>
      <c r="B383" t="str">
        <f t="shared" ca="1" si="26"/>
        <v>10-09-26</v>
      </c>
      <c r="C383" t="str">
        <f t="shared" ca="1" si="27"/>
        <v>Sokhna Diallo</v>
      </c>
      <c r="D383" t="str" cm="1">
        <f t="array" aca="1" ref="D383" ca="1">INDEX({"Dakar";"dakar";"DAKAR";"Dakar ";"Thiès";"TOUBA";"Kaolack";"Saint-Louis"},RANDBETWEEN(1,8))</f>
        <v>Dakar</v>
      </c>
      <c r="E383" t="str" cm="1">
        <f t="array" aca="1" ref="E383" ca="1">INDEX({"Laptop";"Souris";"Clavier";"Ecran";"Casque";"Tablete";"Imprimante";"Disque dur"},RANDBETWEEN(1,8))</f>
        <v>Disque dur</v>
      </c>
      <c r="F383">
        <f t="shared" ca="1" si="28"/>
        <v>5</v>
      </c>
      <c r="G383" t="str">
        <f t="shared" ca="1" si="29"/>
        <v>25980 €</v>
      </c>
    </row>
    <row r="384" spans="1:7" x14ac:dyDescent="0.45">
      <c r="A384" t="str">
        <f t="shared" si="25"/>
        <v>V0383</v>
      </c>
      <c r="B384" t="str">
        <f t="shared" ca="1" si="26"/>
        <v>08-09-26</v>
      </c>
      <c r="C384" t="str">
        <f t="shared" ca="1" si="27"/>
        <v>Mariama Sow</v>
      </c>
      <c r="D384" t="str" cm="1">
        <f t="array" aca="1" ref="D384" ca="1">INDEX({"Dakar";"dakar";"DAKAR";"Dakar ";"Thiès";"TOUBA";"Kaolack";"Saint-Louis"},RANDBETWEEN(1,8))</f>
        <v>Thiès</v>
      </c>
      <c r="E384" t="str" cm="1">
        <f t="array" aca="1" ref="E384" ca="1">INDEX({"Laptop";"Souris";"Clavier";"Ecran";"Casque";"Tablete";"Imprimante";"Disque dur"},RANDBETWEEN(1,8))</f>
        <v>Casque</v>
      </c>
      <c r="F384">
        <f t="shared" ca="1" si="28"/>
        <v>1</v>
      </c>
      <c r="G384" t="str">
        <f t="shared" ca="1" si="29"/>
        <v>337258</v>
      </c>
    </row>
    <row r="385" spans="1:7" x14ac:dyDescent="0.45">
      <c r="A385" t="str">
        <f t="shared" si="25"/>
        <v>V0384</v>
      </c>
      <c r="B385" t="str">
        <f t="shared" ca="1" si="26"/>
        <v>30-09-26</v>
      </c>
      <c r="C385" t="str">
        <f t="shared" ca="1" si="27"/>
        <v xml:space="preserve">  Cheikh Ba</v>
      </c>
      <c r="D385" t="str" cm="1">
        <f t="array" aca="1" ref="D385" ca="1">INDEX({"Dakar";"dakar";"DAKAR";"Dakar ";"Thiès";"TOUBA";"Kaolack";"Saint-Louis"},RANDBETWEEN(1,8))</f>
        <v>Thiès</v>
      </c>
      <c r="E385" t="str" cm="1">
        <f t="array" aca="1" ref="E385" ca="1">INDEX({"Laptop";"Souris";"Clavier";"Ecran";"Casque";"Tablete";"Imprimante";"Disque dur"},RANDBETWEEN(1,8))</f>
        <v>Laptop</v>
      </c>
      <c r="F385">
        <f t="shared" ca="1" si="28"/>
        <v>1</v>
      </c>
      <c r="G385" t="str">
        <f t="shared" ca="1" si="29"/>
        <v>202224</v>
      </c>
    </row>
    <row r="386" spans="1:7" x14ac:dyDescent="0.45">
      <c r="A386" t="str">
        <f t="shared" si="25"/>
        <v>V0385</v>
      </c>
      <c r="B386" t="str">
        <f t="shared" ca="1" si="26"/>
        <v>07-09-26</v>
      </c>
      <c r="C386" t="str">
        <f t="shared" ca="1" si="27"/>
        <v>Sokhna Diallo</v>
      </c>
      <c r="D386" t="str" cm="1">
        <f t="array" aca="1" ref="D386" ca="1">INDEX({"Dakar";"dakar";"DAKAR";"Dakar ";"Thiès";"TOUBA";"Kaolack";"Saint-Louis"},RANDBETWEEN(1,8))</f>
        <v>DAKAR</v>
      </c>
      <c r="E386" t="str" cm="1">
        <f t="array" aca="1" ref="E386" ca="1">INDEX({"Laptop";"Souris";"Clavier";"Ecran";"Casque";"Tablete";"Imprimante";"Disque dur"},RANDBETWEEN(1,8))</f>
        <v>Souris</v>
      </c>
      <c r="F386">
        <f t="shared" ca="1" si="28"/>
        <v>4</v>
      </c>
      <c r="G386" t="str">
        <f t="shared" ca="1" si="29"/>
        <v>67550 €</v>
      </c>
    </row>
    <row r="387" spans="1:7" x14ac:dyDescent="0.45">
      <c r="A387" t="str">
        <f t="shared" ref="A387:A450" si="30">"V" &amp; TEXT(ROW()-1, "0000")</f>
        <v>V0386</v>
      </c>
      <c r="B387" t="str">
        <f t="shared" ref="B387:B450" ca="1" si="31">IF(RAND()&lt;0.3,
    TEXT(DATE(2026,9,RANDBETWEEN(1,30)),"jj/mm/aaaa"),
    IF(RAND()&lt;0.5,
        TEXT(DATE(2026,9,RANDBETWEEN(1,30)),"aaaa-mm-jj"),
        TEXT(DATE(2026,9,RANDBETWEEN(1,30)),"jj-mm-aa")
    )
)</f>
        <v>2026-09-03</v>
      </c>
      <c r="C387" t="str">
        <f t="shared" ref="C387:C450" ca="1" si="32">CHOOSE(RANDBETWEEN(1,8),"Awa Ndiaye","Mamadou Diop","Fatou Fall","  Cheikh Ba","Mariama Sow","Ousmane Ndiaye  ","Sokhna Diallo","Abdoulaye Gueye")</f>
        <v>Sokhna Diallo</v>
      </c>
      <c r="D387" t="str" cm="1">
        <f t="array" aca="1" ref="D387" ca="1">INDEX({"Dakar";"dakar";"DAKAR";"Dakar ";"Thiès";"TOUBA";"Kaolack";"Saint-Louis"},RANDBETWEEN(1,8))</f>
        <v>Thiès</v>
      </c>
      <c r="E387" t="str" cm="1">
        <f t="array" aca="1" ref="E387" ca="1">INDEX({"Laptop";"Souris";"Clavier";"Ecran";"Casque";"Tablete";"Imprimante";"Disque dur"},RANDBETWEEN(1,8))</f>
        <v>Souris</v>
      </c>
      <c r="F387">
        <f t="shared" ref="F387:F450" ca="1" si="33">IF(RAND()&lt;0.1, TEXT(RANDBETWEEN(1,10),"0"), RANDBETWEEN(1,10))</f>
        <v>9</v>
      </c>
      <c r="G387" t="str">
        <f t="shared" ref="G387:G450" ca="1" si="34">CHOOSE(RANDBETWEEN(1,4),
    TEXT(RANDBETWEEN(10000,500000),"0") &amp; " €",
    TEXT(RANDBETWEEN(10000,500000),"0") &amp; "€",
    TEXT(RANDBETWEEN(10000,500000),"0"),
    "€" &amp; TEXT(RANDBETWEEN(10000,500000),"0")
)</f>
        <v>274868</v>
      </c>
    </row>
    <row r="388" spans="1:7" x14ac:dyDescent="0.45">
      <c r="A388" t="str">
        <f t="shared" si="30"/>
        <v>V0387</v>
      </c>
      <c r="B388" t="str">
        <f t="shared" ca="1" si="31"/>
        <v>2026-09-29</v>
      </c>
      <c r="C388" t="str">
        <f t="shared" ca="1" si="32"/>
        <v>Mariama Sow</v>
      </c>
      <c r="D388" t="str" cm="1">
        <f t="array" aca="1" ref="D388" ca="1">INDEX({"Dakar";"dakar";"DAKAR";"Dakar ";"Thiès";"TOUBA";"Kaolack";"Saint-Louis"},RANDBETWEEN(1,8))</f>
        <v>TOUBA</v>
      </c>
      <c r="E388" t="str" cm="1">
        <f t="array" aca="1" ref="E388" ca="1">INDEX({"Laptop";"Souris";"Clavier";"Ecran";"Casque";"Tablete";"Imprimante";"Disque dur"},RANDBETWEEN(1,8))</f>
        <v>Souris</v>
      </c>
      <c r="F388">
        <f t="shared" ca="1" si="33"/>
        <v>1</v>
      </c>
      <c r="G388" t="str">
        <f t="shared" ca="1" si="34"/>
        <v>417855 €</v>
      </c>
    </row>
    <row r="389" spans="1:7" x14ac:dyDescent="0.45">
      <c r="A389" t="str">
        <f t="shared" si="30"/>
        <v>V0388</v>
      </c>
      <c r="B389" t="str">
        <f t="shared" ca="1" si="31"/>
        <v>28/09/2026</v>
      </c>
      <c r="C389" t="str">
        <f t="shared" ca="1" si="32"/>
        <v>Fatou Fall</v>
      </c>
      <c r="D389" t="str" cm="1">
        <f t="array" aca="1" ref="D389" ca="1">INDEX({"Dakar";"dakar";"DAKAR";"Dakar ";"Thiès";"TOUBA";"Kaolack";"Saint-Louis"},RANDBETWEEN(1,8))</f>
        <v>dakar</v>
      </c>
      <c r="E389" t="str" cm="1">
        <f t="array" aca="1" ref="E389" ca="1">INDEX({"Laptop";"Souris";"Clavier";"Ecran";"Casque";"Tablete";"Imprimante";"Disque dur"},RANDBETWEEN(1,8))</f>
        <v>Laptop</v>
      </c>
      <c r="F389" t="str">
        <f t="shared" ca="1" si="33"/>
        <v>2</v>
      </c>
      <c r="G389" t="str">
        <f t="shared" ca="1" si="34"/>
        <v>€310599</v>
      </c>
    </row>
    <row r="390" spans="1:7" x14ac:dyDescent="0.45">
      <c r="A390" t="str">
        <f t="shared" si="30"/>
        <v>V0389</v>
      </c>
      <c r="B390" t="str">
        <f t="shared" ca="1" si="31"/>
        <v>28/09/2026</v>
      </c>
      <c r="C390" t="str">
        <f t="shared" ca="1" si="32"/>
        <v>Awa Ndiaye</v>
      </c>
      <c r="D390" t="str" cm="1">
        <f t="array" aca="1" ref="D390" ca="1">INDEX({"Dakar";"dakar";"DAKAR";"Dakar ";"Thiès";"TOUBA";"Kaolack";"Saint-Louis"},RANDBETWEEN(1,8))</f>
        <v>Thiès</v>
      </c>
      <c r="E390" t="str" cm="1">
        <f t="array" aca="1" ref="E390" ca="1">INDEX({"Laptop";"Souris";"Clavier";"Ecran";"Casque";"Tablete";"Imprimante";"Disque dur"},RANDBETWEEN(1,8))</f>
        <v>Imprimante</v>
      </c>
      <c r="F390">
        <f t="shared" ca="1" si="33"/>
        <v>7</v>
      </c>
      <c r="G390" t="str">
        <f t="shared" ca="1" si="34"/>
        <v>15256</v>
      </c>
    </row>
    <row r="391" spans="1:7" x14ac:dyDescent="0.45">
      <c r="A391" t="str">
        <f t="shared" si="30"/>
        <v>V0390</v>
      </c>
      <c r="B391" t="str">
        <f t="shared" ca="1" si="31"/>
        <v>24-09-26</v>
      </c>
      <c r="C391" t="str">
        <f t="shared" ca="1" si="32"/>
        <v>Mamadou Diop</v>
      </c>
      <c r="D391" t="str" cm="1">
        <f t="array" aca="1" ref="D391" ca="1">INDEX({"Dakar";"dakar";"DAKAR";"Dakar ";"Thiès";"TOUBA";"Kaolack";"Saint-Louis"},RANDBETWEEN(1,8))</f>
        <v>dakar</v>
      </c>
      <c r="E391" t="str" cm="1">
        <f t="array" aca="1" ref="E391" ca="1">INDEX({"Laptop";"Souris";"Clavier";"Ecran";"Casque";"Tablete";"Imprimante";"Disque dur"},RANDBETWEEN(1,8))</f>
        <v>Casque</v>
      </c>
      <c r="F391">
        <f t="shared" ca="1" si="33"/>
        <v>5</v>
      </c>
      <c r="G391" t="str">
        <f t="shared" ca="1" si="34"/>
        <v>€436335</v>
      </c>
    </row>
    <row r="392" spans="1:7" x14ac:dyDescent="0.45">
      <c r="A392" t="str">
        <f t="shared" si="30"/>
        <v>V0391</v>
      </c>
      <c r="B392" t="str">
        <f t="shared" ca="1" si="31"/>
        <v>03/09/2026</v>
      </c>
      <c r="C392" t="str">
        <f t="shared" ca="1" si="32"/>
        <v>Fatou Fall</v>
      </c>
      <c r="D392" t="str" cm="1">
        <f t="array" aca="1" ref="D392" ca="1">INDEX({"Dakar";"dakar";"DAKAR";"Dakar ";"Thiès";"TOUBA";"Kaolack";"Saint-Louis"},RANDBETWEEN(1,8))</f>
        <v>Thiès</v>
      </c>
      <c r="E392" t="str" cm="1">
        <f t="array" aca="1" ref="E392" ca="1">INDEX({"Laptop";"Souris";"Clavier";"Ecran";"Casque";"Tablete";"Imprimante";"Disque dur"},RANDBETWEEN(1,8))</f>
        <v>Laptop</v>
      </c>
      <c r="F392">
        <f t="shared" ca="1" si="33"/>
        <v>9</v>
      </c>
      <c r="G392" t="str">
        <f t="shared" ca="1" si="34"/>
        <v>233866€</v>
      </c>
    </row>
    <row r="393" spans="1:7" x14ac:dyDescent="0.45">
      <c r="A393" t="str">
        <f t="shared" si="30"/>
        <v>V0392</v>
      </c>
      <c r="B393" t="str">
        <f t="shared" ca="1" si="31"/>
        <v>2026-09-05</v>
      </c>
      <c r="C393" t="str">
        <f t="shared" ca="1" si="32"/>
        <v>Mamadou Diop</v>
      </c>
      <c r="D393" t="str" cm="1">
        <f t="array" aca="1" ref="D393" ca="1">INDEX({"Dakar";"dakar";"DAKAR";"Dakar ";"Thiès";"TOUBA";"Kaolack";"Saint-Louis"},RANDBETWEEN(1,8))</f>
        <v>dakar</v>
      </c>
      <c r="E393" t="str" cm="1">
        <f t="array" aca="1" ref="E393" ca="1">INDEX({"Laptop";"Souris";"Clavier";"Ecran";"Casque";"Tablete";"Imprimante";"Disque dur"},RANDBETWEEN(1,8))</f>
        <v>Disque dur</v>
      </c>
      <c r="F393" t="str">
        <f t="shared" ca="1" si="33"/>
        <v>2</v>
      </c>
      <c r="G393" t="str">
        <f t="shared" ca="1" si="34"/>
        <v>77036 €</v>
      </c>
    </row>
    <row r="394" spans="1:7" x14ac:dyDescent="0.45">
      <c r="A394" t="str">
        <f t="shared" si="30"/>
        <v>V0393</v>
      </c>
      <c r="B394" t="str">
        <f t="shared" ca="1" si="31"/>
        <v>04/09/2026</v>
      </c>
      <c r="C394" t="str">
        <f t="shared" ca="1" si="32"/>
        <v>Sokhna Diallo</v>
      </c>
      <c r="D394" t="str" cm="1">
        <f t="array" aca="1" ref="D394" ca="1">INDEX({"Dakar";"dakar";"DAKAR";"Dakar ";"Thiès";"TOUBA";"Kaolack";"Saint-Louis"},RANDBETWEEN(1,8))</f>
        <v xml:space="preserve">Dakar </v>
      </c>
      <c r="E394" t="str" cm="1">
        <f t="array" aca="1" ref="E394" ca="1">INDEX({"Laptop";"Souris";"Clavier";"Ecran";"Casque";"Tablete";"Imprimante";"Disque dur"},RANDBETWEEN(1,8))</f>
        <v>Tablete</v>
      </c>
      <c r="F394">
        <f t="shared" ca="1" si="33"/>
        <v>5</v>
      </c>
      <c r="G394" t="str">
        <f t="shared" ca="1" si="34"/>
        <v>€320449</v>
      </c>
    </row>
    <row r="395" spans="1:7" x14ac:dyDescent="0.45">
      <c r="A395" t="str">
        <f t="shared" si="30"/>
        <v>V0394</v>
      </c>
      <c r="B395" t="str">
        <f t="shared" ca="1" si="31"/>
        <v>2026-09-07</v>
      </c>
      <c r="C395" t="str">
        <f t="shared" ca="1" si="32"/>
        <v>Fatou Fall</v>
      </c>
      <c r="D395" t="str" cm="1">
        <f t="array" aca="1" ref="D395" ca="1">INDEX({"Dakar";"dakar";"DAKAR";"Dakar ";"Thiès";"TOUBA";"Kaolack";"Saint-Louis"},RANDBETWEEN(1,8))</f>
        <v>Kaolack</v>
      </c>
      <c r="E395" t="str" cm="1">
        <f t="array" aca="1" ref="E395" ca="1">INDEX({"Laptop";"Souris";"Clavier";"Ecran";"Casque";"Tablete";"Imprimante";"Disque dur"},RANDBETWEEN(1,8))</f>
        <v>Tablete</v>
      </c>
      <c r="F395">
        <f t="shared" ca="1" si="33"/>
        <v>9</v>
      </c>
      <c r="G395" t="str">
        <f t="shared" ca="1" si="34"/>
        <v>87081 €</v>
      </c>
    </row>
    <row r="396" spans="1:7" x14ac:dyDescent="0.45">
      <c r="A396" t="str">
        <f t="shared" si="30"/>
        <v>V0395</v>
      </c>
      <c r="B396" t="str">
        <f t="shared" ca="1" si="31"/>
        <v>2026-09-11</v>
      </c>
      <c r="C396" t="str">
        <f t="shared" ca="1" si="32"/>
        <v>Fatou Fall</v>
      </c>
      <c r="D396" t="str" cm="1">
        <f t="array" aca="1" ref="D396" ca="1">INDEX({"Dakar";"dakar";"DAKAR";"Dakar ";"Thiès";"TOUBA";"Kaolack";"Saint-Louis"},RANDBETWEEN(1,8))</f>
        <v>Dakar</v>
      </c>
      <c r="E396" t="str" cm="1">
        <f t="array" aca="1" ref="E396" ca="1">INDEX({"Laptop";"Souris";"Clavier";"Ecran";"Casque";"Tablete";"Imprimante";"Disque dur"},RANDBETWEEN(1,8))</f>
        <v>Souris</v>
      </c>
      <c r="F396">
        <f t="shared" ca="1" si="33"/>
        <v>8</v>
      </c>
      <c r="G396" t="str">
        <f t="shared" ca="1" si="34"/>
        <v>187169€</v>
      </c>
    </row>
    <row r="397" spans="1:7" x14ac:dyDescent="0.45">
      <c r="A397" t="str">
        <f t="shared" si="30"/>
        <v>V0396</v>
      </c>
      <c r="B397" t="str">
        <f t="shared" ca="1" si="31"/>
        <v>2026-09-01</v>
      </c>
      <c r="C397" t="str">
        <f t="shared" ca="1" si="32"/>
        <v>Abdoulaye Gueye</v>
      </c>
      <c r="D397" t="str" cm="1">
        <f t="array" aca="1" ref="D397" ca="1">INDEX({"Dakar";"dakar";"DAKAR";"Dakar ";"Thiès";"TOUBA";"Kaolack";"Saint-Louis"},RANDBETWEEN(1,8))</f>
        <v>DAKAR</v>
      </c>
      <c r="E397" t="str" cm="1">
        <f t="array" aca="1" ref="E397" ca="1">INDEX({"Laptop";"Souris";"Clavier";"Ecran";"Casque";"Tablete";"Imprimante";"Disque dur"},RANDBETWEEN(1,8))</f>
        <v>Clavier</v>
      </c>
      <c r="F397">
        <f t="shared" ca="1" si="33"/>
        <v>2</v>
      </c>
      <c r="G397" t="str">
        <f t="shared" ca="1" si="34"/>
        <v>403580 €</v>
      </c>
    </row>
    <row r="398" spans="1:7" x14ac:dyDescent="0.45">
      <c r="A398" t="str">
        <f t="shared" si="30"/>
        <v>V0397</v>
      </c>
      <c r="B398" t="str">
        <f t="shared" ca="1" si="31"/>
        <v>03/09/2026</v>
      </c>
      <c r="C398" t="str">
        <f t="shared" ca="1" si="32"/>
        <v>Mamadou Diop</v>
      </c>
      <c r="D398" t="str" cm="1">
        <f t="array" aca="1" ref="D398" ca="1">INDEX({"Dakar";"dakar";"DAKAR";"Dakar ";"Thiès";"TOUBA";"Kaolack";"Saint-Louis"},RANDBETWEEN(1,8))</f>
        <v>Thiès</v>
      </c>
      <c r="E398" t="str" cm="1">
        <f t="array" aca="1" ref="E398" ca="1">INDEX({"Laptop";"Souris";"Clavier";"Ecran";"Casque";"Tablete";"Imprimante";"Disque dur"},RANDBETWEEN(1,8))</f>
        <v>Laptop</v>
      </c>
      <c r="F398">
        <f t="shared" ca="1" si="33"/>
        <v>9</v>
      </c>
      <c r="G398" t="str">
        <f t="shared" ca="1" si="34"/>
        <v>190799 €</v>
      </c>
    </row>
    <row r="399" spans="1:7" x14ac:dyDescent="0.45">
      <c r="A399" t="str">
        <f t="shared" si="30"/>
        <v>V0398</v>
      </c>
      <c r="B399" t="str">
        <f t="shared" ca="1" si="31"/>
        <v>2026-09-20</v>
      </c>
      <c r="C399" t="str">
        <f t="shared" ca="1" si="32"/>
        <v xml:space="preserve">Ousmane Ndiaye  </v>
      </c>
      <c r="D399" t="str" cm="1">
        <f t="array" aca="1" ref="D399" ca="1">INDEX({"Dakar";"dakar";"DAKAR";"Dakar ";"Thiès";"TOUBA";"Kaolack";"Saint-Louis"},RANDBETWEEN(1,8))</f>
        <v>dakar</v>
      </c>
      <c r="E399" t="str" cm="1">
        <f t="array" aca="1" ref="E399" ca="1">INDEX({"Laptop";"Souris";"Clavier";"Ecran";"Casque";"Tablete";"Imprimante";"Disque dur"},RANDBETWEEN(1,8))</f>
        <v>Souris</v>
      </c>
      <c r="F399">
        <f t="shared" ca="1" si="33"/>
        <v>10</v>
      </c>
      <c r="G399" t="str">
        <f t="shared" ca="1" si="34"/>
        <v>209623€</v>
      </c>
    </row>
    <row r="400" spans="1:7" x14ac:dyDescent="0.45">
      <c r="A400" t="str">
        <f t="shared" si="30"/>
        <v>V0399</v>
      </c>
      <c r="B400" t="str">
        <f t="shared" ca="1" si="31"/>
        <v>21/09/2026</v>
      </c>
      <c r="C400" t="str">
        <f t="shared" ca="1" si="32"/>
        <v xml:space="preserve">  Cheikh Ba</v>
      </c>
      <c r="D400" t="str" cm="1">
        <f t="array" aca="1" ref="D400" ca="1">INDEX({"Dakar";"dakar";"DAKAR";"Dakar ";"Thiès";"TOUBA";"Kaolack";"Saint-Louis"},RANDBETWEEN(1,8))</f>
        <v>TOUBA</v>
      </c>
      <c r="E400" t="str" cm="1">
        <f t="array" aca="1" ref="E400" ca="1">INDEX({"Laptop";"Souris";"Clavier";"Ecran";"Casque";"Tablete";"Imprimante";"Disque dur"},RANDBETWEEN(1,8))</f>
        <v>Tablete</v>
      </c>
      <c r="F400" t="str">
        <f t="shared" ca="1" si="33"/>
        <v>7</v>
      </c>
      <c r="G400" t="str">
        <f t="shared" ca="1" si="34"/>
        <v>221293</v>
      </c>
    </row>
    <row r="401" spans="1:7" x14ac:dyDescent="0.45">
      <c r="A401" t="str">
        <f t="shared" si="30"/>
        <v>V0400</v>
      </c>
      <c r="B401" t="str">
        <f t="shared" ca="1" si="31"/>
        <v>06/09/2026</v>
      </c>
      <c r="C401" t="str">
        <f t="shared" ca="1" si="32"/>
        <v>Fatou Fall</v>
      </c>
      <c r="D401" t="str" cm="1">
        <f t="array" aca="1" ref="D401" ca="1">INDEX({"Dakar";"dakar";"DAKAR";"Dakar ";"Thiès";"TOUBA";"Kaolack";"Saint-Louis"},RANDBETWEEN(1,8))</f>
        <v>Dakar</v>
      </c>
      <c r="E401" t="str" cm="1">
        <f t="array" aca="1" ref="E401" ca="1">INDEX({"Laptop";"Souris";"Clavier";"Ecran";"Casque";"Tablete";"Imprimante";"Disque dur"},RANDBETWEEN(1,8))</f>
        <v>Disque dur</v>
      </c>
      <c r="F401">
        <f t="shared" ca="1" si="33"/>
        <v>8</v>
      </c>
      <c r="G401" t="str">
        <f t="shared" ca="1" si="34"/>
        <v>456920€</v>
      </c>
    </row>
    <row r="402" spans="1:7" x14ac:dyDescent="0.45">
      <c r="A402" t="str">
        <f t="shared" si="30"/>
        <v>V0401</v>
      </c>
      <c r="B402" t="str">
        <f t="shared" ca="1" si="31"/>
        <v>2026-09-20</v>
      </c>
      <c r="C402" t="str">
        <f t="shared" ca="1" si="32"/>
        <v>Mariama Sow</v>
      </c>
      <c r="D402" t="str" cm="1">
        <f t="array" aca="1" ref="D402" ca="1">INDEX({"Dakar";"dakar";"DAKAR";"Dakar ";"Thiès";"TOUBA";"Kaolack";"Saint-Louis"},RANDBETWEEN(1,8))</f>
        <v>Saint-Louis</v>
      </c>
      <c r="E402" t="str" cm="1">
        <f t="array" aca="1" ref="E402" ca="1">INDEX({"Laptop";"Souris";"Clavier";"Ecran";"Casque";"Tablete";"Imprimante";"Disque dur"},RANDBETWEEN(1,8))</f>
        <v>Disque dur</v>
      </c>
      <c r="F402">
        <f t="shared" ca="1" si="33"/>
        <v>9</v>
      </c>
      <c r="G402" t="str">
        <f t="shared" ca="1" si="34"/>
        <v>192135 €</v>
      </c>
    </row>
    <row r="403" spans="1:7" x14ac:dyDescent="0.45">
      <c r="A403" t="str">
        <f t="shared" si="30"/>
        <v>V0402</v>
      </c>
      <c r="B403" t="str">
        <f t="shared" ca="1" si="31"/>
        <v>17/09/2026</v>
      </c>
      <c r="C403" t="str">
        <f t="shared" ca="1" si="32"/>
        <v>Mariama Sow</v>
      </c>
      <c r="D403" t="str" cm="1">
        <f t="array" aca="1" ref="D403" ca="1">INDEX({"Dakar";"dakar";"DAKAR";"Dakar ";"Thiès";"TOUBA";"Kaolack";"Saint-Louis"},RANDBETWEEN(1,8))</f>
        <v xml:space="preserve">Dakar </v>
      </c>
      <c r="E403" t="str" cm="1">
        <f t="array" aca="1" ref="E403" ca="1">INDEX({"Laptop";"Souris";"Clavier";"Ecran";"Casque";"Tablete";"Imprimante";"Disque dur"},RANDBETWEEN(1,8))</f>
        <v>Tablete</v>
      </c>
      <c r="F403">
        <f t="shared" ca="1" si="33"/>
        <v>6</v>
      </c>
      <c r="G403" t="str">
        <f t="shared" ca="1" si="34"/>
        <v>443455€</v>
      </c>
    </row>
    <row r="404" spans="1:7" x14ac:dyDescent="0.45">
      <c r="A404" t="str">
        <f t="shared" si="30"/>
        <v>V0403</v>
      </c>
      <c r="B404" t="str">
        <f t="shared" ca="1" si="31"/>
        <v>2026-09-25</v>
      </c>
      <c r="C404" t="str">
        <f t="shared" ca="1" si="32"/>
        <v>Awa Ndiaye</v>
      </c>
      <c r="D404" t="str" cm="1">
        <f t="array" aca="1" ref="D404" ca="1">INDEX({"Dakar";"dakar";"DAKAR";"Dakar ";"Thiès";"TOUBA";"Kaolack";"Saint-Louis"},RANDBETWEEN(1,8))</f>
        <v>dakar</v>
      </c>
      <c r="E404" t="str" cm="1">
        <f t="array" aca="1" ref="E404" ca="1">INDEX({"Laptop";"Souris";"Clavier";"Ecran";"Casque";"Tablete";"Imprimante";"Disque dur"},RANDBETWEEN(1,8))</f>
        <v>Clavier</v>
      </c>
      <c r="F404">
        <f t="shared" ca="1" si="33"/>
        <v>7</v>
      </c>
      <c r="G404" t="str">
        <f t="shared" ca="1" si="34"/>
        <v>€68336</v>
      </c>
    </row>
    <row r="405" spans="1:7" x14ac:dyDescent="0.45">
      <c r="A405" t="str">
        <f t="shared" si="30"/>
        <v>V0404</v>
      </c>
      <c r="B405" t="str">
        <f t="shared" ca="1" si="31"/>
        <v>2026-09-10</v>
      </c>
      <c r="C405" t="str">
        <f t="shared" ca="1" si="32"/>
        <v>Mamadou Diop</v>
      </c>
      <c r="D405" t="str" cm="1">
        <f t="array" aca="1" ref="D405" ca="1">INDEX({"Dakar";"dakar";"DAKAR";"Dakar ";"Thiès";"TOUBA";"Kaolack";"Saint-Louis"},RANDBETWEEN(1,8))</f>
        <v>Kaolack</v>
      </c>
      <c r="E405" t="str" cm="1">
        <f t="array" aca="1" ref="E405" ca="1">INDEX({"Laptop";"Souris";"Clavier";"Ecran";"Casque";"Tablete";"Imprimante";"Disque dur"},RANDBETWEEN(1,8))</f>
        <v>Laptop</v>
      </c>
      <c r="F405">
        <f t="shared" ca="1" si="33"/>
        <v>6</v>
      </c>
      <c r="G405" t="str">
        <f t="shared" ca="1" si="34"/>
        <v>€389212</v>
      </c>
    </row>
    <row r="406" spans="1:7" x14ac:dyDescent="0.45">
      <c r="A406" t="str">
        <f t="shared" si="30"/>
        <v>V0405</v>
      </c>
      <c r="B406" t="str">
        <f t="shared" ca="1" si="31"/>
        <v>23-09-26</v>
      </c>
      <c r="C406" t="str">
        <f t="shared" ca="1" si="32"/>
        <v xml:space="preserve">Ousmane Ndiaye  </v>
      </c>
      <c r="D406" t="str" cm="1">
        <f t="array" aca="1" ref="D406" ca="1">INDEX({"Dakar";"dakar";"DAKAR";"Dakar ";"Thiès";"TOUBA";"Kaolack";"Saint-Louis"},RANDBETWEEN(1,8))</f>
        <v>Kaolack</v>
      </c>
      <c r="E406" t="str" cm="1">
        <f t="array" aca="1" ref="E406" ca="1">INDEX({"Laptop";"Souris";"Clavier";"Ecran";"Casque";"Tablete";"Imprimante";"Disque dur"},RANDBETWEEN(1,8))</f>
        <v>Tablete</v>
      </c>
      <c r="F406">
        <f t="shared" ca="1" si="33"/>
        <v>10</v>
      </c>
      <c r="G406" t="str">
        <f t="shared" ca="1" si="34"/>
        <v>150258</v>
      </c>
    </row>
    <row r="407" spans="1:7" x14ac:dyDescent="0.45">
      <c r="A407" t="str">
        <f t="shared" si="30"/>
        <v>V0406</v>
      </c>
      <c r="B407" t="str">
        <f t="shared" ca="1" si="31"/>
        <v>2026-09-24</v>
      </c>
      <c r="C407" t="str">
        <f t="shared" ca="1" si="32"/>
        <v xml:space="preserve">  Cheikh Ba</v>
      </c>
      <c r="D407" t="str" cm="1">
        <f t="array" aca="1" ref="D407" ca="1">INDEX({"Dakar";"dakar";"DAKAR";"Dakar ";"Thiès";"TOUBA";"Kaolack";"Saint-Louis"},RANDBETWEEN(1,8))</f>
        <v>dakar</v>
      </c>
      <c r="E407" t="str" cm="1">
        <f t="array" aca="1" ref="E407" ca="1">INDEX({"Laptop";"Souris";"Clavier";"Ecran";"Casque";"Tablete";"Imprimante";"Disque dur"},RANDBETWEEN(1,8))</f>
        <v>Souris</v>
      </c>
      <c r="F407">
        <f t="shared" ca="1" si="33"/>
        <v>9</v>
      </c>
      <c r="G407" t="str">
        <f t="shared" ca="1" si="34"/>
        <v>335046</v>
      </c>
    </row>
    <row r="408" spans="1:7" x14ac:dyDescent="0.45">
      <c r="A408" t="str">
        <f t="shared" si="30"/>
        <v>V0407</v>
      </c>
      <c r="B408" t="str">
        <f t="shared" ca="1" si="31"/>
        <v>30/09/2026</v>
      </c>
      <c r="C408" t="str">
        <f t="shared" ca="1" si="32"/>
        <v>Awa Ndiaye</v>
      </c>
      <c r="D408" t="str" cm="1">
        <f t="array" aca="1" ref="D408" ca="1">INDEX({"Dakar";"dakar";"DAKAR";"Dakar ";"Thiès";"TOUBA";"Kaolack";"Saint-Louis"},RANDBETWEEN(1,8))</f>
        <v>DAKAR</v>
      </c>
      <c r="E408" t="str" cm="1">
        <f t="array" aca="1" ref="E408" ca="1">INDEX({"Laptop";"Souris";"Clavier";"Ecran";"Casque";"Tablete";"Imprimante";"Disque dur"},RANDBETWEEN(1,8))</f>
        <v>Casque</v>
      </c>
      <c r="F408">
        <f t="shared" ca="1" si="33"/>
        <v>1</v>
      </c>
      <c r="G408" t="str">
        <f t="shared" ca="1" si="34"/>
        <v>€182882</v>
      </c>
    </row>
    <row r="409" spans="1:7" x14ac:dyDescent="0.45">
      <c r="A409" t="str">
        <f t="shared" si="30"/>
        <v>V0408</v>
      </c>
      <c r="B409" t="str">
        <f t="shared" ca="1" si="31"/>
        <v>2026-09-25</v>
      </c>
      <c r="C409" t="str">
        <f t="shared" ca="1" si="32"/>
        <v xml:space="preserve">Ousmane Ndiaye  </v>
      </c>
      <c r="D409" t="str" cm="1">
        <f t="array" aca="1" ref="D409" ca="1">INDEX({"Dakar";"dakar";"DAKAR";"Dakar ";"Thiès";"TOUBA";"Kaolack";"Saint-Louis"},RANDBETWEEN(1,8))</f>
        <v>Saint-Louis</v>
      </c>
      <c r="E409" t="str" cm="1">
        <f t="array" aca="1" ref="E409" ca="1">INDEX({"Laptop";"Souris";"Clavier";"Ecran";"Casque";"Tablete";"Imprimante";"Disque dur"},RANDBETWEEN(1,8))</f>
        <v>Tablete</v>
      </c>
      <c r="F409">
        <f t="shared" ca="1" si="33"/>
        <v>4</v>
      </c>
      <c r="G409" t="str">
        <f t="shared" ca="1" si="34"/>
        <v>484777 €</v>
      </c>
    </row>
    <row r="410" spans="1:7" x14ac:dyDescent="0.45">
      <c r="A410" t="str">
        <f t="shared" si="30"/>
        <v>V0409</v>
      </c>
      <c r="B410" t="str">
        <f t="shared" ca="1" si="31"/>
        <v>13/09/2026</v>
      </c>
      <c r="C410" t="str">
        <f t="shared" ca="1" si="32"/>
        <v>Fatou Fall</v>
      </c>
      <c r="D410" t="str" cm="1">
        <f t="array" aca="1" ref="D410" ca="1">INDEX({"Dakar";"dakar";"DAKAR";"Dakar ";"Thiès";"TOUBA";"Kaolack";"Saint-Louis"},RANDBETWEEN(1,8))</f>
        <v>Dakar</v>
      </c>
      <c r="E410" t="str" cm="1">
        <f t="array" aca="1" ref="E410" ca="1">INDEX({"Laptop";"Souris";"Clavier";"Ecran";"Casque";"Tablete";"Imprimante";"Disque dur"},RANDBETWEEN(1,8))</f>
        <v>Disque dur</v>
      </c>
      <c r="F410">
        <f t="shared" ca="1" si="33"/>
        <v>1</v>
      </c>
      <c r="G410" t="str">
        <f t="shared" ca="1" si="34"/>
        <v>372305</v>
      </c>
    </row>
    <row r="411" spans="1:7" x14ac:dyDescent="0.45">
      <c r="A411" t="str">
        <f t="shared" si="30"/>
        <v>V0410</v>
      </c>
      <c r="B411" t="str">
        <f t="shared" ca="1" si="31"/>
        <v>2026-09-11</v>
      </c>
      <c r="C411" t="str">
        <f t="shared" ca="1" si="32"/>
        <v>Awa Ndiaye</v>
      </c>
      <c r="D411" t="str" cm="1">
        <f t="array" aca="1" ref="D411" ca="1">INDEX({"Dakar";"dakar";"DAKAR";"Dakar ";"Thiès";"TOUBA";"Kaolack";"Saint-Louis"},RANDBETWEEN(1,8))</f>
        <v>DAKAR</v>
      </c>
      <c r="E411" t="str" cm="1">
        <f t="array" aca="1" ref="E411" ca="1">INDEX({"Laptop";"Souris";"Clavier";"Ecran";"Casque";"Tablete";"Imprimante";"Disque dur"},RANDBETWEEN(1,8))</f>
        <v>Disque dur</v>
      </c>
      <c r="F411">
        <f t="shared" ca="1" si="33"/>
        <v>3</v>
      </c>
      <c r="G411" t="str">
        <f t="shared" ca="1" si="34"/>
        <v>27225</v>
      </c>
    </row>
    <row r="412" spans="1:7" x14ac:dyDescent="0.45">
      <c r="A412" t="str">
        <f t="shared" si="30"/>
        <v>V0411</v>
      </c>
      <c r="B412" t="str">
        <f t="shared" ca="1" si="31"/>
        <v>2026-09-13</v>
      </c>
      <c r="C412" t="str">
        <f t="shared" ca="1" si="32"/>
        <v>Mariama Sow</v>
      </c>
      <c r="D412" t="str" cm="1">
        <f t="array" aca="1" ref="D412" ca="1">INDEX({"Dakar";"dakar";"DAKAR";"Dakar ";"Thiès";"TOUBA";"Kaolack";"Saint-Louis"},RANDBETWEEN(1,8))</f>
        <v xml:space="preserve">Dakar </v>
      </c>
      <c r="E412" t="str" cm="1">
        <f t="array" aca="1" ref="E412" ca="1">INDEX({"Laptop";"Souris";"Clavier";"Ecran";"Casque";"Tablete";"Imprimante";"Disque dur"},RANDBETWEEN(1,8))</f>
        <v>Tablete</v>
      </c>
      <c r="F412">
        <f t="shared" ca="1" si="33"/>
        <v>3</v>
      </c>
      <c r="G412" t="str">
        <f t="shared" ca="1" si="34"/>
        <v>116644</v>
      </c>
    </row>
    <row r="413" spans="1:7" x14ac:dyDescent="0.45">
      <c r="A413" t="str">
        <f t="shared" si="30"/>
        <v>V0412</v>
      </c>
      <c r="B413" t="str">
        <f t="shared" ca="1" si="31"/>
        <v>08-09-26</v>
      </c>
      <c r="C413" t="str">
        <f t="shared" ca="1" si="32"/>
        <v>Mariama Sow</v>
      </c>
      <c r="D413" t="str" cm="1">
        <f t="array" aca="1" ref="D413" ca="1">INDEX({"Dakar";"dakar";"DAKAR";"Dakar ";"Thiès";"TOUBA";"Kaolack";"Saint-Louis"},RANDBETWEEN(1,8))</f>
        <v>DAKAR</v>
      </c>
      <c r="E413" t="str" cm="1">
        <f t="array" aca="1" ref="E413" ca="1">INDEX({"Laptop";"Souris";"Clavier";"Ecran";"Casque";"Tablete";"Imprimante";"Disque dur"},RANDBETWEEN(1,8))</f>
        <v>Laptop</v>
      </c>
      <c r="F413">
        <f t="shared" ca="1" si="33"/>
        <v>8</v>
      </c>
      <c r="G413" t="str">
        <f t="shared" ca="1" si="34"/>
        <v>216935€</v>
      </c>
    </row>
    <row r="414" spans="1:7" x14ac:dyDescent="0.45">
      <c r="A414" t="str">
        <f t="shared" si="30"/>
        <v>V0413</v>
      </c>
      <c r="B414" t="str">
        <f t="shared" ca="1" si="31"/>
        <v>2026-09-17</v>
      </c>
      <c r="C414" t="str">
        <f t="shared" ca="1" si="32"/>
        <v>Mamadou Diop</v>
      </c>
      <c r="D414" t="str" cm="1">
        <f t="array" aca="1" ref="D414" ca="1">INDEX({"Dakar";"dakar";"DAKAR";"Dakar ";"Thiès";"TOUBA";"Kaolack";"Saint-Louis"},RANDBETWEEN(1,8))</f>
        <v>Dakar</v>
      </c>
      <c r="E414" t="str" cm="1">
        <f t="array" aca="1" ref="E414" ca="1">INDEX({"Laptop";"Souris";"Clavier";"Ecran";"Casque";"Tablete";"Imprimante";"Disque dur"},RANDBETWEEN(1,8))</f>
        <v>Laptop</v>
      </c>
      <c r="F414">
        <f t="shared" ca="1" si="33"/>
        <v>7</v>
      </c>
      <c r="G414" t="str">
        <f t="shared" ca="1" si="34"/>
        <v>151746 €</v>
      </c>
    </row>
    <row r="415" spans="1:7" x14ac:dyDescent="0.45">
      <c r="A415" t="str">
        <f t="shared" si="30"/>
        <v>V0414</v>
      </c>
      <c r="B415" t="str">
        <f t="shared" ca="1" si="31"/>
        <v>2026-09-11</v>
      </c>
      <c r="C415" t="str">
        <f t="shared" ca="1" si="32"/>
        <v>Sokhna Diallo</v>
      </c>
      <c r="D415" t="str" cm="1">
        <f t="array" aca="1" ref="D415" ca="1">INDEX({"Dakar";"dakar";"DAKAR";"Dakar ";"Thiès";"TOUBA";"Kaolack";"Saint-Louis"},RANDBETWEEN(1,8))</f>
        <v>DAKAR</v>
      </c>
      <c r="E415" t="str" cm="1">
        <f t="array" aca="1" ref="E415" ca="1">INDEX({"Laptop";"Souris";"Clavier";"Ecran";"Casque";"Tablete";"Imprimante";"Disque dur"},RANDBETWEEN(1,8))</f>
        <v>Tablete</v>
      </c>
      <c r="F415">
        <f t="shared" ca="1" si="33"/>
        <v>5</v>
      </c>
      <c r="G415" t="str">
        <f t="shared" ca="1" si="34"/>
        <v>49042€</v>
      </c>
    </row>
    <row r="416" spans="1:7" x14ac:dyDescent="0.45">
      <c r="A416" t="str">
        <f t="shared" si="30"/>
        <v>V0415</v>
      </c>
      <c r="B416" t="str">
        <f t="shared" ca="1" si="31"/>
        <v>30/09/2026</v>
      </c>
      <c r="C416" t="str">
        <f t="shared" ca="1" si="32"/>
        <v xml:space="preserve">Ousmane Ndiaye  </v>
      </c>
      <c r="D416" t="str" cm="1">
        <f t="array" aca="1" ref="D416" ca="1">INDEX({"Dakar";"dakar";"DAKAR";"Dakar ";"Thiès";"TOUBA";"Kaolack";"Saint-Louis"},RANDBETWEEN(1,8))</f>
        <v>TOUBA</v>
      </c>
      <c r="E416" t="str" cm="1">
        <f t="array" aca="1" ref="E416" ca="1">INDEX({"Laptop";"Souris";"Clavier";"Ecran";"Casque";"Tablete";"Imprimante";"Disque dur"},RANDBETWEEN(1,8))</f>
        <v>Ecran</v>
      </c>
      <c r="F416">
        <f t="shared" ca="1" si="33"/>
        <v>4</v>
      </c>
      <c r="G416" t="str">
        <f t="shared" ca="1" si="34"/>
        <v>369981</v>
      </c>
    </row>
    <row r="417" spans="1:7" x14ac:dyDescent="0.45">
      <c r="A417" t="str">
        <f t="shared" si="30"/>
        <v>V0416</v>
      </c>
      <c r="B417" t="str">
        <f t="shared" ca="1" si="31"/>
        <v>16/09/2026</v>
      </c>
      <c r="C417" t="str">
        <f t="shared" ca="1" si="32"/>
        <v xml:space="preserve">Ousmane Ndiaye  </v>
      </c>
      <c r="D417" t="str" cm="1">
        <f t="array" aca="1" ref="D417" ca="1">INDEX({"Dakar";"dakar";"DAKAR";"Dakar ";"Thiès";"TOUBA";"Kaolack";"Saint-Louis"},RANDBETWEEN(1,8))</f>
        <v>DAKAR</v>
      </c>
      <c r="E417" t="str" cm="1">
        <f t="array" aca="1" ref="E417" ca="1">INDEX({"Laptop";"Souris";"Clavier";"Ecran";"Casque";"Tablete";"Imprimante";"Disque dur"},RANDBETWEEN(1,8))</f>
        <v>Souris</v>
      </c>
      <c r="F417">
        <f t="shared" ca="1" si="33"/>
        <v>8</v>
      </c>
      <c r="G417" t="str">
        <f t="shared" ca="1" si="34"/>
        <v>444810€</v>
      </c>
    </row>
    <row r="418" spans="1:7" x14ac:dyDescent="0.45">
      <c r="A418" t="str">
        <f t="shared" si="30"/>
        <v>V0417</v>
      </c>
      <c r="B418" t="str">
        <f t="shared" ca="1" si="31"/>
        <v>21-09-26</v>
      </c>
      <c r="C418" t="str">
        <f t="shared" ca="1" si="32"/>
        <v xml:space="preserve">Ousmane Ndiaye  </v>
      </c>
      <c r="D418" t="str" cm="1">
        <f t="array" aca="1" ref="D418" ca="1">INDEX({"Dakar";"dakar";"DAKAR";"Dakar ";"Thiès";"TOUBA";"Kaolack";"Saint-Louis"},RANDBETWEEN(1,8))</f>
        <v xml:space="preserve">Dakar </v>
      </c>
      <c r="E418" t="str" cm="1">
        <f t="array" aca="1" ref="E418" ca="1">INDEX({"Laptop";"Souris";"Clavier";"Ecran";"Casque";"Tablete";"Imprimante";"Disque dur"},RANDBETWEEN(1,8))</f>
        <v>Casque</v>
      </c>
      <c r="F418">
        <f t="shared" ca="1" si="33"/>
        <v>6</v>
      </c>
      <c r="G418" t="str">
        <f t="shared" ca="1" si="34"/>
        <v>343044€</v>
      </c>
    </row>
    <row r="419" spans="1:7" x14ac:dyDescent="0.45">
      <c r="A419" t="str">
        <f t="shared" si="30"/>
        <v>V0418</v>
      </c>
      <c r="B419" t="str">
        <f t="shared" ca="1" si="31"/>
        <v>20/09/2026</v>
      </c>
      <c r="C419" t="str">
        <f t="shared" ca="1" si="32"/>
        <v>Awa Ndiaye</v>
      </c>
      <c r="D419" t="str" cm="1">
        <f t="array" aca="1" ref="D419" ca="1">INDEX({"Dakar";"dakar";"DAKAR";"Dakar ";"Thiès";"TOUBA";"Kaolack";"Saint-Louis"},RANDBETWEEN(1,8))</f>
        <v>Dakar</v>
      </c>
      <c r="E419" t="str" cm="1">
        <f t="array" aca="1" ref="E419" ca="1">INDEX({"Laptop";"Souris";"Clavier";"Ecran";"Casque";"Tablete";"Imprimante";"Disque dur"},RANDBETWEEN(1,8))</f>
        <v>Imprimante</v>
      </c>
      <c r="F419">
        <f t="shared" ca="1" si="33"/>
        <v>3</v>
      </c>
      <c r="G419" t="str">
        <f t="shared" ca="1" si="34"/>
        <v>81843€</v>
      </c>
    </row>
    <row r="420" spans="1:7" x14ac:dyDescent="0.45">
      <c r="A420" t="str">
        <f t="shared" si="30"/>
        <v>V0419</v>
      </c>
      <c r="B420" t="str">
        <f t="shared" ca="1" si="31"/>
        <v>12/09/2026</v>
      </c>
      <c r="C420" t="str">
        <f t="shared" ca="1" si="32"/>
        <v xml:space="preserve">Ousmane Ndiaye  </v>
      </c>
      <c r="D420" t="str" cm="1">
        <f t="array" aca="1" ref="D420" ca="1">INDEX({"Dakar";"dakar";"DAKAR";"Dakar ";"Thiès";"TOUBA";"Kaolack";"Saint-Louis"},RANDBETWEEN(1,8))</f>
        <v>Thiès</v>
      </c>
      <c r="E420" t="str" cm="1">
        <f t="array" aca="1" ref="E420" ca="1">INDEX({"Laptop";"Souris";"Clavier";"Ecran";"Casque";"Tablete";"Imprimante";"Disque dur"},RANDBETWEEN(1,8))</f>
        <v>Ecran</v>
      </c>
      <c r="F420" t="str">
        <f t="shared" ca="1" si="33"/>
        <v>10</v>
      </c>
      <c r="G420" t="str">
        <f t="shared" ca="1" si="34"/>
        <v>392796</v>
      </c>
    </row>
    <row r="421" spans="1:7" x14ac:dyDescent="0.45">
      <c r="A421" t="str">
        <f t="shared" si="30"/>
        <v>V0420</v>
      </c>
      <c r="B421" t="str">
        <f t="shared" ca="1" si="31"/>
        <v>2026-09-02</v>
      </c>
      <c r="C421" t="str">
        <f t="shared" ca="1" si="32"/>
        <v xml:space="preserve">  Cheikh Ba</v>
      </c>
      <c r="D421" t="str" cm="1">
        <f t="array" aca="1" ref="D421" ca="1">INDEX({"Dakar";"dakar";"DAKAR";"Dakar ";"Thiès";"TOUBA";"Kaolack";"Saint-Louis"},RANDBETWEEN(1,8))</f>
        <v>Kaolack</v>
      </c>
      <c r="E421" t="str" cm="1">
        <f t="array" aca="1" ref="E421" ca="1">INDEX({"Laptop";"Souris";"Clavier";"Ecran";"Casque";"Tablete";"Imprimante";"Disque dur"},RANDBETWEEN(1,8))</f>
        <v>Imprimante</v>
      </c>
      <c r="F421">
        <f t="shared" ca="1" si="33"/>
        <v>5</v>
      </c>
      <c r="G421" t="str">
        <f t="shared" ca="1" si="34"/>
        <v>€309679</v>
      </c>
    </row>
    <row r="422" spans="1:7" x14ac:dyDescent="0.45">
      <c r="A422" t="str">
        <f t="shared" si="30"/>
        <v>V0421</v>
      </c>
      <c r="B422" t="str">
        <f t="shared" ca="1" si="31"/>
        <v>2026-09-14</v>
      </c>
      <c r="C422" t="str">
        <f t="shared" ca="1" si="32"/>
        <v xml:space="preserve">  Cheikh Ba</v>
      </c>
      <c r="D422" t="str" cm="1">
        <f t="array" aca="1" ref="D422" ca="1">INDEX({"Dakar";"dakar";"DAKAR";"Dakar ";"Thiès";"TOUBA";"Kaolack";"Saint-Louis"},RANDBETWEEN(1,8))</f>
        <v>TOUBA</v>
      </c>
      <c r="E422" t="str" cm="1">
        <f t="array" aca="1" ref="E422" ca="1">INDEX({"Laptop";"Souris";"Clavier";"Ecran";"Casque";"Tablete";"Imprimante";"Disque dur"},RANDBETWEEN(1,8))</f>
        <v>Imprimante</v>
      </c>
      <c r="F422">
        <f t="shared" ca="1" si="33"/>
        <v>4</v>
      </c>
      <c r="G422" t="str">
        <f t="shared" ca="1" si="34"/>
        <v>194889 €</v>
      </c>
    </row>
    <row r="423" spans="1:7" x14ac:dyDescent="0.45">
      <c r="A423" t="str">
        <f t="shared" si="30"/>
        <v>V0422</v>
      </c>
      <c r="B423" t="str">
        <f t="shared" ca="1" si="31"/>
        <v>2026-09-25</v>
      </c>
      <c r="C423" t="str">
        <f t="shared" ca="1" si="32"/>
        <v>Abdoulaye Gueye</v>
      </c>
      <c r="D423" t="str" cm="1">
        <f t="array" aca="1" ref="D423" ca="1">INDEX({"Dakar";"dakar";"DAKAR";"Dakar ";"Thiès";"TOUBA";"Kaolack";"Saint-Louis"},RANDBETWEEN(1,8))</f>
        <v>dakar</v>
      </c>
      <c r="E423" t="str" cm="1">
        <f t="array" aca="1" ref="E423" ca="1">INDEX({"Laptop";"Souris";"Clavier";"Ecran";"Casque";"Tablete";"Imprimante";"Disque dur"},RANDBETWEEN(1,8))</f>
        <v>Clavier</v>
      </c>
      <c r="F423">
        <f t="shared" ca="1" si="33"/>
        <v>7</v>
      </c>
      <c r="G423" t="str">
        <f t="shared" ca="1" si="34"/>
        <v>179713</v>
      </c>
    </row>
    <row r="424" spans="1:7" x14ac:dyDescent="0.45">
      <c r="A424" t="str">
        <f t="shared" si="30"/>
        <v>V0423</v>
      </c>
      <c r="B424" t="str">
        <f t="shared" ca="1" si="31"/>
        <v>2026-09-22</v>
      </c>
      <c r="C424" t="str">
        <f t="shared" ca="1" si="32"/>
        <v>Sokhna Diallo</v>
      </c>
      <c r="D424" t="str" cm="1">
        <f t="array" aca="1" ref="D424" ca="1">INDEX({"Dakar";"dakar";"DAKAR";"Dakar ";"Thiès";"TOUBA";"Kaolack";"Saint-Louis"},RANDBETWEEN(1,8))</f>
        <v>Kaolack</v>
      </c>
      <c r="E424" t="str" cm="1">
        <f t="array" aca="1" ref="E424" ca="1">INDEX({"Laptop";"Souris";"Clavier";"Ecran";"Casque";"Tablete";"Imprimante";"Disque dur"},RANDBETWEEN(1,8))</f>
        <v>Clavier</v>
      </c>
      <c r="F424">
        <f t="shared" ca="1" si="33"/>
        <v>2</v>
      </c>
      <c r="G424" t="str">
        <f t="shared" ca="1" si="34"/>
        <v>171135 €</v>
      </c>
    </row>
    <row r="425" spans="1:7" x14ac:dyDescent="0.45">
      <c r="A425" t="str">
        <f t="shared" si="30"/>
        <v>V0424</v>
      </c>
      <c r="B425" t="str">
        <f t="shared" ca="1" si="31"/>
        <v>25-09-26</v>
      </c>
      <c r="C425" t="str">
        <f t="shared" ca="1" si="32"/>
        <v>Mamadou Diop</v>
      </c>
      <c r="D425" t="str" cm="1">
        <f t="array" aca="1" ref="D425" ca="1">INDEX({"Dakar";"dakar";"DAKAR";"Dakar ";"Thiès";"TOUBA";"Kaolack";"Saint-Louis"},RANDBETWEEN(1,8))</f>
        <v xml:space="preserve">Dakar </v>
      </c>
      <c r="E425" t="str" cm="1">
        <f t="array" aca="1" ref="E425" ca="1">INDEX({"Laptop";"Souris";"Clavier";"Ecran";"Casque";"Tablete";"Imprimante";"Disque dur"},RANDBETWEEN(1,8))</f>
        <v>Tablete</v>
      </c>
      <c r="F425">
        <f t="shared" ca="1" si="33"/>
        <v>6</v>
      </c>
      <c r="G425" t="str">
        <f t="shared" ca="1" si="34"/>
        <v>97160</v>
      </c>
    </row>
    <row r="426" spans="1:7" x14ac:dyDescent="0.45">
      <c r="A426" t="str">
        <f t="shared" si="30"/>
        <v>V0425</v>
      </c>
      <c r="B426" t="str">
        <f t="shared" ca="1" si="31"/>
        <v>03/09/2026</v>
      </c>
      <c r="C426" t="str">
        <f t="shared" ca="1" si="32"/>
        <v>Mariama Sow</v>
      </c>
      <c r="D426" t="str" cm="1">
        <f t="array" aca="1" ref="D426" ca="1">INDEX({"Dakar";"dakar";"DAKAR";"Dakar ";"Thiès";"TOUBA";"Kaolack";"Saint-Louis"},RANDBETWEEN(1,8))</f>
        <v>Dakar</v>
      </c>
      <c r="E426" t="str" cm="1">
        <f t="array" aca="1" ref="E426" ca="1">INDEX({"Laptop";"Souris";"Clavier";"Ecran";"Casque";"Tablete";"Imprimante";"Disque dur"},RANDBETWEEN(1,8))</f>
        <v>Laptop</v>
      </c>
      <c r="F426">
        <f t="shared" ca="1" si="33"/>
        <v>3</v>
      </c>
      <c r="G426" t="str">
        <f t="shared" ca="1" si="34"/>
        <v>174346 €</v>
      </c>
    </row>
    <row r="427" spans="1:7" x14ac:dyDescent="0.45">
      <c r="A427" t="str">
        <f t="shared" si="30"/>
        <v>V0426</v>
      </c>
      <c r="B427" t="str">
        <f t="shared" ca="1" si="31"/>
        <v>26/09/2026</v>
      </c>
      <c r="C427" t="str">
        <f t="shared" ca="1" si="32"/>
        <v>Abdoulaye Gueye</v>
      </c>
      <c r="D427" t="str" cm="1">
        <f t="array" aca="1" ref="D427" ca="1">INDEX({"Dakar";"dakar";"DAKAR";"Dakar ";"Thiès";"TOUBA";"Kaolack";"Saint-Louis"},RANDBETWEEN(1,8))</f>
        <v>Dakar</v>
      </c>
      <c r="E427" t="str" cm="1">
        <f t="array" aca="1" ref="E427" ca="1">INDEX({"Laptop";"Souris";"Clavier";"Ecran";"Casque";"Tablete";"Imprimante";"Disque dur"},RANDBETWEEN(1,8))</f>
        <v>Souris</v>
      </c>
      <c r="F427">
        <f t="shared" ca="1" si="33"/>
        <v>3</v>
      </c>
      <c r="G427" t="str">
        <f t="shared" ca="1" si="34"/>
        <v>254633€</v>
      </c>
    </row>
    <row r="428" spans="1:7" x14ac:dyDescent="0.45">
      <c r="A428" t="str">
        <f t="shared" si="30"/>
        <v>V0427</v>
      </c>
      <c r="B428" t="str">
        <f t="shared" ca="1" si="31"/>
        <v>11-09-26</v>
      </c>
      <c r="C428" t="str">
        <f t="shared" ca="1" si="32"/>
        <v>Mariama Sow</v>
      </c>
      <c r="D428" t="str" cm="1">
        <f t="array" aca="1" ref="D428" ca="1">INDEX({"Dakar";"dakar";"DAKAR";"Dakar ";"Thiès";"TOUBA";"Kaolack";"Saint-Louis"},RANDBETWEEN(1,8))</f>
        <v>Kaolack</v>
      </c>
      <c r="E428" t="str" cm="1">
        <f t="array" aca="1" ref="E428" ca="1">INDEX({"Laptop";"Souris";"Clavier";"Ecran";"Casque";"Tablete";"Imprimante";"Disque dur"},RANDBETWEEN(1,8))</f>
        <v>Imprimante</v>
      </c>
      <c r="F428">
        <f t="shared" ca="1" si="33"/>
        <v>3</v>
      </c>
      <c r="G428" t="str">
        <f t="shared" ca="1" si="34"/>
        <v>363168€</v>
      </c>
    </row>
    <row r="429" spans="1:7" x14ac:dyDescent="0.45">
      <c r="A429" t="str">
        <f t="shared" si="30"/>
        <v>V0428</v>
      </c>
      <c r="B429" t="str">
        <f t="shared" ca="1" si="31"/>
        <v>04-09-26</v>
      </c>
      <c r="C429" t="str">
        <f t="shared" ca="1" si="32"/>
        <v>Fatou Fall</v>
      </c>
      <c r="D429" t="str" cm="1">
        <f t="array" aca="1" ref="D429" ca="1">INDEX({"Dakar";"dakar";"DAKAR";"Dakar ";"Thiès";"TOUBA";"Kaolack";"Saint-Louis"},RANDBETWEEN(1,8))</f>
        <v>DAKAR</v>
      </c>
      <c r="E429" t="str" cm="1">
        <f t="array" aca="1" ref="E429" ca="1">INDEX({"Laptop";"Souris";"Clavier";"Ecran";"Casque";"Tablete";"Imprimante";"Disque dur"},RANDBETWEEN(1,8))</f>
        <v>Laptop</v>
      </c>
      <c r="F429">
        <f t="shared" ca="1" si="33"/>
        <v>5</v>
      </c>
      <c r="G429" t="str">
        <f t="shared" ca="1" si="34"/>
        <v>460597 €</v>
      </c>
    </row>
    <row r="430" spans="1:7" x14ac:dyDescent="0.45">
      <c r="A430" t="str">
        <f t="shared" si="30"/>
        <v>V0429</v>
      </c>
      <c r="B430" t="str">
        <f t="shared" ca="1" si="31"/>
        <v>14-09-26</v>
      </c>
      <c r="C430" t="str">
        <f t="shared" ca="1" si="32"/>
        <v>Awa Ndiaye</v>
      </c>
      <c r="D430" t="str" cm="1">
        <f t="array" aca="1" ref="D430" ca="1">INDEX({"Dakar";"dakar";"DAKAR";"Dakar ";"Thiès";"TOUBA";"Kaolack";"Saint-Louis"},RANDBETWEEN(1,8))</f>
        <v>Kaolack</v>
      </c>
      <c r="E430" t="str" cm="1">
        <f t="array" aca="1" ref="E430" ca="1">INDEX({"Laptop";"Souris";"Clavier";"Ecran";"Casque";"Tablete";"Imprimante";"Disque dur"},RANDBETWEEN(1,8))</f>
        <v>Laptop</v>
      </c>
      <c r="F430">
        <f t="shared" ca="1" si="33"/>
        <v>9</v>
      </c>
      <c r="G430" t="str">
        <f t="shared" ca="1" si="34"/>
        <v>483560 €</v>
      </c>
    </row>
    <row r="431" spans="1:7" x14ac:dyDescent="0.45">
      <c r="A431" t="str">
        <f t="shared" si="30"/>
        <v>V0430</v>
      </c>
      <c r="B431" t="str">
        <f t="shared" ca="1" si="31"/>
        <v>17/09/2026</v>
      </c>
      <c r="C431" t="str">
        <f t="shared" ca="1" si="32"/>
        <v>Awa Ndiaye</v>
      </c>
      <c r="D431" t="str" cm="1">
        <f t="array" aca="1" ref="D431" ca="1">INDEX({"Dakar";"dakar";"DAKAR";"Dakar ";"Thiès";"TOUBA";"Kaolack";"Saint-Louis"},RANDBETWEEN(1,8))</f>
        <v xml:space="preserve">Dakar </v>
      </c>
      <c r="E431" t="str" cm="1">
        <f t="array" aca="1" ref="E431" ca="1">INDEX({"Laptop";"Souris";"Clavier";"Ecran";"Casque";"Tablete";"Imprimante";"Disque dur"},RANDBETWEEN(1,8))</f>
        <v>Casque</v>
      </c>
      <c r="F431">
        <f t="shared" ca="1" si="33"/>
        <v>3</v>
      </c>
      <c r="G431" t="str">
        <f t="shared" ca="1" si="34"/>
        <v>438737€</v>
      </c>
    </row>
    <row r="432" spans="1:7" x14ac:dyDescent="0.45">
      <c r="A432" t="str">
        <f t="shared" si="30"/>
        <v>V0431</v>
      </c>
      <c r="B432" t="str">
        <f t="shared" ca="1" si="31"/>
        <v>28-09-26</v>
      </c>
      <c r="C432" t="str">
        <f t="shared" ca="1" si="32"/>
        <v>Mariama Sow</v>
      </c>
      <c r="D432" t="str" cm="1">
        <f t="array" aca="1" ref="D432" ca="1">INDEX({"Dakar";"dakar";"DAKAR";"Dakar ";"Thiès";"TOUBA";"Kaolack";"Saint-Louis"},RANDBETWEEN(1,8))</f>
        <v>Saint-Louis</v>
      </c>
      <c r="E432" t="str" cm="1">
        <f t="array" aca="1" ref="E432" ca="1">INDEX({"Laptop";"Souris";"Clavier";"Ecran";"Casque";"Tablete";"Imprimante";"Disque dur"},RANDBETWEEN(1,8))</f>
        <v>Souris</v>
      </c>
      <c r="F432">
        <f t="shared" ca="1" si="33"/>
        <v>5</v>
      </c>
      <c r="G432" t="str">
        <f t="shared" ca="1" si="34"/>
        <v>15166</v>
      </c>
    </row>
    <row r="433" spans="1:7" x14ac:dyDescent="0.45">
      <c r="A433" t="str">
        <f t="shared" si="30"/>
        <v>V0432</v>
      </c>
      <c r="B433" t="str">
        <f t="shared" ca="1" si="31"/>
        <v>03-09-26</v>
      </c>
      <c r="C433" t="str">
        <f t="shared" ca="1" si="32"/>
        <v>Abdoulaye Gueye</v>
      </c>
      <c r="D433" t="str" cm="1">
        <f t="array" aca="1" ref="D433" ca="1">INDEX({"Dakar";"dakar";"DAKAR";"Dakar ";"Thiès";"TOUBA";"Kaolack";"Saint-Louis"},RANDBETWEEN(1,8))</f>
        <v>Dakar</v>
      </c>
      <c r="E433" t="str" cm="1">
        <f t="array" aca="1" ref="E433" ca="1">INDEX({"Laptop";"Souris";"Clavier";"Ecran";"Casque";"Tablete";"Imprimante";"Disque dur"},RANDBETWEEN(1,8))</f>
        <v>Imprimante</v>
      </c>
      <c r="F433">
        <f t="shared" ca="1" si="33"/>
        <v>6</v>
      </c>
      <c r="G433" t="str">
        <f t="shared" ca="1" si="34"/>
        <v>€98354</v>
      </c>
    </row>
    <row r="434" spans="1:7" x14ac:dyDescent="0.45">
      <c r="A434" t="str">
        <f t="shared" si="30"/>
        <v>V0433</v>
      </c>
      <c r="B434" t="str">
        <f t="shared" ca="1" si="31"/>
        <v>2026-09-10</v>
      </c>
      <c r="C434" t="str">
        <f t="shared" ca="1" si="32"/>
        <v xml:space="preserve">Ousmane Ndiaye  </v>
      </c>
      <c r="D434" t="str" cm="1">
        <f t="array" aca="1" ref="D434" ca="1">INDEX({"Dakar";"dakar";"DAKAR";"Dakar ";"Thiès";"TOUBA";"Kaolack";"Saint-Louis"},RANDBETWEEN(1,8))</f>
        <v>TOUBA</v>
      </c>
      <c r="E434" t="str" cm="1">
        <f t="array" aca="1" ref="E434" ca="1">INDEX({"Laptop";"Souris";"Clavier";"Ecran";"Casque";"Tablete";"Imprimante";"Disque dur"},RANDBETWEEN(1,8))</f>
        <v>Ecran</v>
      </c>
      <c r="F434">
        <f t="shared" ca="1" si="33"/>
        <v>6</v>
      </c>
      <c r="G434" t="str">
        <f t="shared" ca="1" si="34"/>
        <v>70429€</v>
      </c>
    </row>
    <row r="435" spans="1:7" x14ac:dyDescent="0.45">
      <c r="A435" t="str">
        <f t="shared" si="30"/>
        <v>V0434</v>
      </c>
      <c r="B435" t="str">
        <f t="shared" ca="1" si="31"/>
        <v>01/09/2026</v>
      </c>
      <c r="C435" t="str">
        <f t="shared" ca="1" si="32"/>
        <v>Awa Ndiaye</v>
      </c>
      <c r="D435" t="str" cm="1">
        <f t="array" aca="1" ref="D435" ca="1">INDEX({"Dakar";"dakar";"DAKAR";"Dakar ";"Thiès";"TOUBA";"Kaolack";"Saint-Louis"},RANDBETWEEN(1,8))</f>
        <v>dakar</v>
      </c>
      <c r="E435" t="str" cm="1">
        <f t="array" aca="1" ref="E435" ca="1">INDEX({"Laptop";"Souris";"Clavier";"Ecran";"Casque";"Tablete";"Imprimante";"Disque dur"},RANDBETWEEN(1,8))</f>
        <v>Casque</v>
      </c>
      <c r="F435">
        <f t="shared" ca="1" si="33"/>
        <v>10</v>
      </c>
      <c r="G435" t="str">
        <f t="shared" ca="1" si="34"/>
        <v>236243</v>
      </c>
    </row>
    <row r="436" spans="1:7" x14ac:dyDescent="0.45">
      <c r="A436" t="str">
        <f t="shared" si="30"/>
        <v>V0435</v>
      </c>
      <c r="B436" t="str">
        <f t="shared" ca="1" si="31"/>
        <v>27/09/2026</v>
      </c>
      <c r="C436" t="str">
        <f t="shared" ca="1" si="32"/>
        <v>Mamadou Diop</v>
      </c>
      <c r="D436" t="str" cm="1">
        <f t="array" aca="1" ref="D436" ca="1">INDEX({"Dakar";"dakar";"DAKAR";"Dakar ";"Thiès";"TOUBA";"Kaolack";"Saint-Louis"},RANDBETWEEN(1,8))</f>
        <v>Kaolack</v>
      </c>
      <c r="E436" t="str" cm="1">
        <f t="array" aca="1" ref="E436" ca="1">INDEX({"Laptop";"Souris";"Clavier";"Ecran";"Casque";"Tablete";"Imprimante";"Disque dur"},RANDBETWEEN(1,8))</f>
        <v>Souris</v>
      </c>
      <c r="F436">
        <f t="shared" ca="1" si="33"/>
        <v>1</v>
      </c>
      <c r="G436" t="str">
        <f t="shared" ca="1" si="34"/>
        <v>102577€</v>
      </c>
    </row>
    <row r="437" spans="1:7" x14ac:dyDescent="0.45">
      <c r="A437" t="str">
        <f t="shared" si="30"/>
        <v>V0436</v>
      </c>
      <c r="B437" t="str">
        <f t="shared" ca="1" si="31"/>
        <v>27-09-26</v>
      </c>
      <c r="C437" t="str">
        <f t="shared" ca="1" si="32"/>
        <v>Mariama Sow</v>
      </c>
      <c r="D437" t="str" cm="1">
        <f t="array" aca="1" ref="D437" ca="1">INDEX({"Dakar";"dakar";"DAKAR";"Dakar ";"Thiès";"TOUBA";"Kaolack";"Saint-Louis"},RANDBETWEEN(1,8))</f>
        <v>Kaolack</v>
      </c>
      <c r="E437" t="str" cm="1">
        <f t="array" aca="1" ref="E437" ca="1">INDEX({"Laptop";"Souris";"Clavier";"Ecran";"Casque";"Tablete";"Imprimante";"Disque dur"},RANDBETWEEN(1,8))</f>
        <v>Disque dur</v>
      </c>
      <c r="F437">
        <f t="shared" ca="1" si="33"/>
        <v>6</v>
      </c>
      <c r="G437" t="str">
        <f t="shared" ca="1" si="34"/>
        <v>367403 €</v>
      </c>
    </row>
    <row r="438" spans="1:7" x14ac:dyDescent="0.45">
      <c r="A438" t="str">
        <f t="shared" si="30"/>
        <v>V0437</v>
      </c>
      <c r="B438" t="str">
        <f t="shared" ca="1" si="31"/>
        <v>08/09/2026</v>
      </c>
      <c r="C438" t="str">
        <f t="shared" ca="1" si="32"/>
        <v xml:space="preserve">  Cheikh Ba</v>
      </c>
      <c r="D438" t="str" cm="1">
        <f t="array" aca="1" ref="D438" ca="1">INDEX({"Dakar";"dakar";"DAKAR";"Dakar ";"Thiès";"TOUBA";"Kaolack";"Saint-Louis"},RANDBETWEEN(1,8))</f>
        <v xml:space="preserve">Dakar </v>
      </c>
      <c r="E438" t="str" cm="1">
        <f t="array" aca="1" ref="E438" ca="1">INDEX({"Laptop";"Souris";"Clavier";"Ecran";"Casque";"Tablete";"Imprimante";"Disque dur"},RANDBETWEEN(1,8))</f>
        <v>Clavier</v>
      </c>
      <c r="F438">
        <f t="shared" ca="1" si="33"/>
        <v>8</v>
      </c>
      <c r="G438" t="str">
        <f t="shared" ca="1" si="34"/>
        <v>218181€</v>
      </c>
    </row>
    <row r="439" spans="1:7" x14ac:dyDescent="0.45">
      <c r="A439" t="str">
        <f t="shared" si="30"/>
        <v>V0438</v>
      </c>
      <c r="B439" t="str">
        <f t="shared" ca="1" si="31"/>
        <v>01/09/2026</v>
      </c>
      <c r="C439" t="str">
        <f t="shared" ca="1" si="32"/>
        <v>Abdoulaye Gueye</v>
      </c>
      <c r="D439" t="str" cm="1">
        <f t="array" aca="1" ref="D439" ca="1">INDEX({"Dakar";"dakar";"DAKAR";"Dakar ";"Thiès";"TOUBA";"Kaolack";"Saint-Louis"},RANDBETWEEN(1,8))</f>
        <v>DAKAR</v>
      </c>
      <c r="E439" t="str" cm="1">
        <f t="array" aca="1" ref="E439" ca="1">INDEX({"Laptop";"Souris";"Clavier";"Ecran";"Casque";"Tablete";"Imprimante";"Disque dur"},RANDBETWEEN(1,8))</f>
        <v>Tablete</v>
      </c>
      <c r="F439">
        <f t="shared" ca="1" si="33"/>
        <v>4</v>
      </c>
      <c r="G439" t="str">
        <f t="shared" ca="1" si="34"/>
        <v>€344333</v>
      </c>
    </row>
    <row r="440" spans="1:7" x14ac:dyDescent="0.45">
      <c r="A440" t="str">
        <f t="shared" si="30"/>
        <v>V0439</v>
      </c>
      <c r="B440" t="str">
        <f t="shared" ca="1" si="31"/>
        <v>23/09/2026</v>
      </c>
      <c r="C440" t="str">
        <f t="shared" ca="1" si="32"/>
        <v>Abdoulaye Gueye</v>
      </c>
      <c r="D440" t="str" cm="1">
        <f t="array" aca="1" ref="D440" ca="1">INDEX({"Dakar";"dakar";"DAKAR";"Dakar ";"Thiès";"TOUBA";"Kaolack";"Saint-Louis"},RANDBETWEEN(1,8))</f>
        <v>TOUBA</v>
      </c>
      <c r="E440" t="str" cm="1">
        <f t="array" aca="1" ref="E440" ca="1">INDEX({"Laptop";"Souris";"Clavier";"Ecran";"Casque";"Tablete";"Imprimante";"Disque dur"},RANDBETWEEN(1,8))</f>
        <v>Ecran</v>
      </c>
      <c r="F440">
        <f t="shared" ca="1" si="33"/>
        <v>10</v>
      </c>
      <c r="G440" t="str">
        <f t="shared" ca="1" si="34"/>
        <v>351867 €</v>
      </c>
    </row>
    <row r="441" spans="1:7" x14ac:dyDescent="0.45">
      <c r="A441" t="str">
        <f t="shared" si="30"/>
        <v>V0440</v>
      </c>
      <c r="B441" t="str">
        <f t="shared" ca="1" si="31"/>
        <v>29-09-26</v>
      </c>
      <c r="C441" t="str">
        <f t="shared" ca="1" si="32"/>
        <v xml:space="preserve">  Cheikh Ba</v>
      </c>
      <c r="D441" t="str" cm="1">
        <f t="array" aca="1" ref="D441" ca="1">INDEX({"Dakar";"dakar";"DAKAR";"Dakar ";"Thiès";"TOUBA";"Kaolack";"Saint-Louis"},RANDBETWEEN(1,8))</f>
        <v>Saint-Louis</v>
      </c>
      <c r="E441" t="str" cm="1">
        <f t="array" aca="1" ref="E441" ca="1">INDEX({"Laptop";"Souris";"Clavier";"Ecran";"Casque";"Tablete";"Imprimante";"Disque dur"},RANDBETWEEN(1,8))</f>
        <v>Souris</v>
      </c>
      <c r="F441">
        <f t="shared" ca="1" si="33"/>
        <v>3</v>
      </c>
      <c r="G441" t="str">
        <f t="shared" ca="1" si="34"/>
        <v>271516</v>
      </c>
    </row>
    <row r="442" spans="1:7" x14ac:dyDescent="0.45">
      <c r="A442" t="str">
        <f t="shared" si="30"/>
        <v>V0441</v>
      </c>
      <c r="B442" t="str">
        <f t="shared" ca="1" si="31"/>
        <v>2026-09-25</v>
      </c>
      <c r="C442" t="str">
        <f t="shared" ca="1" si="32"/>
        <v>Awa Ndiaye</v>
      </c>
      <c r="D442" t="str" cm="1">
        <f t="array" aca="1" ref="D442" ca="1">INDEX({"Dakar";"dakar";"DAKAR";"Dakar ";"Thiès";"TOUBA";"Kaolack";"Saint-Louis"},RANDBETWEEN(1,8))</f>
        <v>Dakar</v>
      </c>
      <c r="E442" t="str" cm="1">
        <f t="array" aca="1" ref="E442" ca="1">INDEX({"Laptop";"Souris";"Clavier";"Ecran";"Casque";"Tablete";"Imprimante";"Disque dur"},RANDBETWEEN(1,8))</f>
        <v>Ecran</v>
      </c>
      <c r="F442">
        <f t="shared" ca="1" si="33"/>
        <v>10</v>
      </c>
      <c r="G442" t="str">
        <f t="shared" ca="1" si="34"/>
        <v>188316€</v>
      </c>
    </row>
    <row r="443" spans="1:7" x14ac:dyDescent="0.45">
      <c r="A443" t="str">
        <f t="shared" si="30"/>
        <v>V0442</v>
      </c>
      <c r="B443" t="str">
        <f t="shared" ca="1" si="31"/>
        <v>2026-09-19</v>
      </c>
      <c r="C443" t="str">
        <f t="shared" ca="1" si="32"/>
        <v>Mariama Sow</v>
      </c>
      <c r="D443" t="str" cm="1">
        <f t="array" aca="1" ref="D443" ca="1">INDEX({"Dakar";"dakar";"DAKAR";"Dakar ";"Thiès";"TOUBA";"Kaolack";"Saint-Louis"},RANDBETWEEN(1,8))</f>
        <v>Dakar</v>
      </c>
      <c r="E443" t="str" cm="1">
        <f t="array" aca="1" ref="E443" ca="1">INDEX({"Laptop";"Souris";"Clavier";"Ecran";"Casque";"Tablete";"Imprimante";"Disque dur"},RANDBETWEEN(1,8))</f>
        <v>Clavier</v>
      </c>
      <c r="F443">
        <f t="shared" ca="1" si="33"/>
        <v>2</v>
      </c>
      <c r="G443" t="str">
        <f t="shared" ca="1" si="34"/>
        <v>120654</v>
      </c>
    </row>
    <row r="444" spans="1:7" x14ac:dyDescent="0.45">
      <c r="A444" t="str">
        <f t="shared" si="30"/>
        <v>V0443</v>
      </c>
      <c r="B444" t="str">
        <f t="shared" ca="1" si="31"/>
        <v>2026-09-17</v>
      </c>
      <c r="C444" t="str">
        <f t="shared" ca="1" si="32"/>
        <v xml:space="preserve">Ousmane Ndiaye  </v>
      </c>
      <c r="D444" t="str" cm="1">
        <f t="array" aca="1" ref="D444" ca="1">INDEX({"Dakar";"dakar";"DAKAR";"Dakar ";"Thiès";"TOUBA";"Kaolack";"Saint-Louis"},RANDBETWEEN(1,8))</f>
        <v>DAKAR</v>
      </c>
      <c r="E444" t="str" cm="1">
        <f t="array" aca="1" ref="E444" ca="1">INDEX({"Laptop";"Souris";"Clavier";"Ecran";"Casque";"Tablete";"Imprimante";"Disque dur"},RANDBETWEEN(1,8))</f>
        <v>Casque</v>
      </c>
      <c r="F444">
        <f t="shared" ca="1" si="33"/>
        <v>3</v>
      </c>
      <c r="G444" t="str">
        <f t="shared" ca="1" si="34"/>
        <v>117495€</v>
      </c>
    </row>
    <row r="445" spans="1:7" x14ac:dyDescent="0.45">
      <c r="A445" t="str">
        <f t="shared" si="30"/>
        <v>V0444</v>
      </c>
      <c r="B445" t="str">
        <f t="shared" ca="1" si="31"/>
        <v>2026-09-02</v>
      </c>
      <c r="C445" t="str">
        <f t="shared" ca="1" si="32"/>
        <v>Abdoulaye Gueye</v>
      </c>
      <c r="D445" t="str" cm="1">
        <f t="array" aca="1" ref="D445" ca="1">INDEX({"Dakar";"dakar";"DAKAR";"Dakar ";"Thiès";"TOUBA";"Kaolack";"Saint-Louis"},RANDBETWEEN(1,8))</f>
        <v>Dakar</v>
      </c>
      <c r="E445" t="str" cm="1">
        <f t="array" aca="1" ref="E445" ca="1">INDEX({"Laptop";"Souris";"Clavier";"Ecran";"Casque";"Tablete";"Imprimante";"Disque dur"},RANDBETWEEN(1,8))</f>
        <v>Disque dur</v>
      </c>
      <c r="F445">
        <f t="shared" ca="1" si="33"/>
        <v>1</v>
      </c>
      <c r="G445" t="str">
        <f t="shared" ca="1" si="34"/>
        <v>461041</v>
      </c>
    </row>
    <row r="446" spans="1:7" x14ac:dyDescent="0.45">
      <c r="A446" t="str">
        <f t="shared" si="30"/>
        <v>V0445</v>
      </c>
      <c r="B446" t="str">
        <f t="shared" ca="1" si="31"/>
        <v>2026-09-18</v>
      </c>
      <c r="C446" t="str">
        <f t="shared" ca="1" si="32"/>
        <v>Fatou Fall</v>
      </c>
      <c r="D446" t="str" cm="1">
        <f t="array" aca="1" ref="D446" ca="1">INDEX({"Dakar";"dakar";"DAKAR";"Dakar ";"Thiès";"TOUBA";"Kaolack";"Saint-Louis"},RANDBETWEEN(1,8))</f>
        <v>Kaolack</v>
      </c>
      <c r="E446" t="str" cm="1">
        <f t="array" aca="1" ref="E446" ca="1">INDEX({"Laptop";"Souris";"Clavier";"Ecran";"Casque";"Tablete";"Imprimante";"Disque dur"},RANDBETWEEN(1,8))</f>
        <v>Tablete</v>
      </c>
      <c r="F446">
        <f t="shared" ca="1" si="33"/>
        <v>10</v>
      </c>
      <c r="G446" t="str">
        <f t="shared" ca="1" si="34"/>
        <v>202056</v>
      </c>
    </row>
    <row r="447" spans="1:7" x14ac:dyDescent="0.45">
      <c r="A447" t="str">
        <f t="shared" si="30"/>
        <v>V0446</v>
      </c>
      <c r="B447" t="str">
        <f t="shared" ca="1" si="31"/>
        <v>03-09-26</v>
      </c>
      <c r="C447" t="str">
        <f t="shared" ca="1" si="32"/>
        <v>Mamadou Diop</v>
      </c>
      <c r="D447" t="str" cm="1">
        <f t="array" aca="1" ref="D447" ca="1">INDEX({"Dakar";"dakar";"DAKAR";"Dakar ";"Thiès";"TOUBA";"Kaolack";"Saint-Louis"},RANDBETWEEN(1,8))</f>
        <v>Kaolack</v>
      </c>
      <c r="E447" t="str" cm="1">
        <f t="array" aca="1" ref="E447" ca="1">INDEX({"Laptop";"Souris";"Clavier";"Ecran";"Casque";"Tablete";"Imprimante";"Disque dur"},RANDBETWEEN(1,8))</f>
        <v>Ecran</v>
      </c>
      <c r="F447" t="str">
        <f t="shared" ca="1" si="33"/>
        <v>10</v>
      </c>
      <c r="G447" t="str">
        <f t="shared" ca="1" si="34"/>
        <v>184745</v>
      </c>
    </row>
    <row r="448" spans="1:7" x14ac:dyDescent="0.45">
      <c r="A448" t="str">
        <f t="shared" si="30"/>
        <v>V0447</v>
      </c>
      <c r="B448" t="str">
        <f t="shared" ca="1" si="31"/>
        <v>02/09/2026</v>
      </c>
      <c r="C448" t="str">
        <f t="shared" ca="1" si="32"/>
        <v>Awa Ndiaye</v>
      </c>
      <c r="D448" t="str" cm="1">
        <f t="array" aca="1" ref="D448" ca="1">INDEX({"Dakar";"dakar";"DAKAR";"Dakar ";"Thiès";"TOUBA";"Kaolack";"Saint-Louis"},RANDBETWEEN(1,8))</f>
        <v>Saint-Louis</v>
      </c>
      <c r="E448" t="str" cm="1">
        <f t="array" aca="1" ref="E448" ca="1">INDEX({"Laptop";"Souris";"Clavier";"Ecran";"Casque";"Tablete";"Imprimante";"Disque dur"},RANDBETWEEN(1,8))</f>
        <v>Ecran</v>
      </c>
      <c r="F448" t="str">
        <f t="shared" ca="1" si="33"/>
        <v>2</v>
      </c>
      <c r="G448" t="str">
        <f t="shared" ca="1" si="34"/>
        <v>210257</v>
      </c>
    </row>
    <row r="449" spans="1:7" x14ac:dyDescent="0.45">
      <c r="A449" t="str">
        <f t="shared" si="30"/>
        <v>V0448</v>
      </c>
      <c r="B449" t="str">
        <f t="shared" ca="1" si="31"/>
        <v>25/09/2026</v>
      </c>
      <c r="C449" t="str">
        <f t="shared" ca="1" si="32"/>
        <v>Awa Ndiaye</v>
      </c>
      <c r="D449" t="str" cm="1">
        <f t="array" aca="1" ref="D449" ca="1">INDEX({"Dakar";"dakar";"DAKAR";"Dakar ";"Thiès";"TOUBA";"Kaolack";"Saint-Louis"},RANDBETWEEN(1,8))</f>
        <v>TOUBA</v>
      </c>
      <c r="E449" t="str" cm="1">
        <f t="array" aca="1" ref="E449" ca="1">INDEX({"Laptop";"Souris";"Clavier";"Ecran";"Casque";"Tablete";"Imprimante";"Disque dur"},RANDBETWEEN(1,8))</f>
        <v>Clavier</v>
      </c>
      <c r="F449">
        <f t="shared" ca="1" si="33"/>
        <v>6</v>
      </c>
      <c r="G449" t="str">
        <f t="shared" ca="1" si="34"/>
        <v>416101 €</v>
      </c>
    </row>
    <row r="450" spans="1:7" x14ac:dyDescent="0.45">
      <c r="A450" t="str">
        <f t="shared" si="30"/>
        <v>V0449</v>
      </c>
      <c r="B450" t="str">
        <f t="shared" ca="1" si="31"/>
        <v>01/09/2026</v>
      </c>
      <c r="C450" t="str">
        <f t="shared" ca="1" si="32"/>
        <v>Fatou Fall</v>
      </c>
      <c r="D450" t="str" cm="1">
        <f t="array" aca="1" ref="D450" ca="1">INDEX({"Dakar";"dakar";"DAKAR";"Dakar ";"Thiès";"TOUBA";"Kaolack";"Saint-Louis"},RANDBETWEEN(1,8))</f>
        <v xml:space="preserve">Dakar </v>
      </c>
      <c r="E450" t="str" cm="1">
        <f t="array" aca="1" ref="E450" ca="1">INDEX({"Laptop";"Souris";"Clavier";"Ecran";"Casque";"Tablete";"Imprimante";"Disque dur"},RANDBETWEEN(1,8))</f>
        <v>Clavier</v>
      </c>
      <c r="F450">
        <f t="shared" ca="1" si="33"/>
        <v>9</v>
      </c>
      <c r="G450" t="str">
        <f t="shared" ca="1" si="34"/>
        <v>€362753</v>
      </c>
    </row>
    <row r="451" spans="1:7" x14ac:dyDescent="0.45">
      <c r="A451" t="str">
        <f t="shared" ref="A451:A501" si="35">"V" &amp; TEXT(ROW()-1, "0000")</f>
        <v>V0450</v>
      </c>
      <c r="B451" t="str">
        <f t="shared" ref="B451:B501" ca="1" si="36">IF(RAND()&lt;0.3,
    TEXT(DATE(2026,9,RANDBETWEEN(1,30)),"jj/mm/aaaa"),
    IF(RAND()&lt;0.5,
        TEXT(DATE(2026,9,RANDBETWEEN(1,30)),"aaaa-mm-jj"),
        TEXT(DATE(2026,9,RANDBETWEEN(1,30)),"jj-mm-aa")
    )
)</f>
        <v>14-09-26</v>
      </c>
      <c r="C451" t="str">
        <f t="shared" ref="C451:C501" ca="1" si="37">CHOOSE(RANDBETWEEN(1,8),"Awa Ndiaye","Mamadou Diop","Fatou Fall","  Cheikh Ba","Mariama Sow","Ousmane Ndiaye  ","Sokhna Diallo","Abdoulaye Gueye")</f>
        <v>Mamadou Diop</v>
      </c>
      <c r="D451" t="str" cm="1">
        <f t="array" aca="1" ref="D451" ca="1">INDEX({"Dakar";"dakar";"DAKAR";"Dakar ";"Thiès";"TOUBA";"Kaolack";"Saint-Louis"},RANDBETWEEN(1,8))</f>
        <v>dakar</v>
      </c>
      <c r="E451" t="str" cm="1">
        <f t="array" aca="1" ref="E451" ca="1">INDEX({"Laptop";"Souris";"Clavier";"Ecran";"Casque";"Tablete";"Imprimante";"Disque dur"},RANDBETWEEN(1,8))</f>
        <v>Laptop</v>
      </c>
      <c r="F451">
        <f t="shared" ref="F451:F501" ca="1" si="38">IF(RAND()&lt;0.1, TEXT(RANDBETWEEN(1,10),"0"), RANDBETWEEN(1,10))</f>
        <v>10</v>
      </c>
      <c r="G451" t="str">
        <f t="shared" ref="G451:G501" ca="1" si="39">CHOOSE(RANDBETWEEN(1,4),
    TEXT(RANDBETWEEN(10000,500000),"0") &amp; " €",
    TEXT(RANDBETWEEN(10000,500000),"0") &amp; "€",
    TEXT(RANDBETWEEN(10000,500000),"0"),
    "€" &amp; TEXT(RANDBETWEEN(10000,500000),"0")
)</f>
        <v>233963€</v>
      </c>
    </row>
    <row r="452" spans="1:7" x14ac:dyDescent="0.45">
      <c r="A452" t="str">
        <f t="shared" si="35"/>
        <v>V0451</v>
      </c>
      <c r="B452" t="str">
        <f t="shared" ca="1" si="36"/>
        <v>2026-09-14</v>
      </c>
      <c r="C452" t="str">
        <f t="shared" ca="1" si="37"/>
        <v xml:space="preserve">  Cheikh Ba</v>
      </c>
      <c r="D452" t="str" cm="1">
        <f t="array" aca="1" ref="D452" ca="1">INDEX({"Dakar";"dakar";"DAKAR";"Dakar ";"Thiès";"TOUBA";"Kaolack";"Saint-Louis"},RANDBETWEEN(1,8))</f>
        <v>Thiès</v>
      </c>
      <c r="E452" t="str" cm="1">
        <f t="array" aca="1" ref="E452" ca="1">INDEX({"Laptop";"Souris";"Clavier";"Ecran";"Casque";"Tablete";"Imprimante";"Disque dur"},RANDBETWEEN(1,8))</f>
        <v>Ecran</v>
      </c>
      <c r="F452">
        <f t="shared" ca="1" si="38"/>
        <v>1</v>
      </c>
      <c r="G452" t="str">
        <f t="shared" ca="1" si="39"/>
        <v>302988</v>
      </c>
    </row>
    <row r="453" spans="1:7" x14ac:dyDescent="0.45">
      <c r="A453" t="str">
        <f t="shared" si="35"/>
        <v>V0452</v>
      </c>
      <c r="B453" t="str">
        <f t="shared" ca="1" si="36"/>
        <v>26-09-26</v>
      </c>
      <c r="C453" t="str">
        <f t="shared" ca="1" si="37"/>
        <v>Abdoulaye Gueye</v>
      </c>
      <c r="D453" t="str" cm="1">
        <f t="array" aca="1" ref="D453" ca="1">INDEX({"Dakar";"dakar";"DAKAR";"Dakar ";"Thiès";"TOUBA";"Kaolack";"Saint-Louis"},RANDBETWEEN(1,8))</f>
        <v>Saint-Louis</v>
      </c>
      <c r="E453" t="str" cm="1">
        <f t="array" aca="1" ref="E453" ca="1">INDEX({"Laptop";"Souris";"Clavier";"Ecran";"Casque";"Tablete";"Imprimante";"Disque dur"},RANDBETWEEN(1,8))</f>
        <v>Clavier</v>
      </c>
      <c r="F453">
        <f t="shared" ca="1" si="38"/>
        <v>2</v>
      </c>
      <c r="G453" t="str">
        <f t="shared" ca="1" si="39"/>
        <v>422635</v>
      </c>
    </row>
    <row r="454" spans="1:7" x14ac:dyDescent="0.45">
      <c r="A454" t="str">
        <f t="shared" si="35"/>
        <v>V0453</v>
      </c>
      <c r="B454" t="str">
        <f t="shared" ca="1" si="36"/>
        <v>18/09/2026</v>
      </c>
      <c r="C454" t="str">
        <f t="shared" ca="1" si="37"/>
        <v>Abdoulaye Gueye</v>
      </c>
      <c r="D454" t="str" cm="1">
        <f t="array" aca="1" ref="D454" ca="1">INDEX({"Dakar";"dakar";"DAKAR";"Dakar ";"Thiès";"TOUBA";"Kaolack";"Saint-Louis"},RANDBETWEEN(1,8))</f>
        <v>DAKAR</v>
      </c>
      <c r="E454" t="str" cm="1">
        <f t="array" aca="1" ref="E454" ca="1">INDEX({"Laptop";"Souris";"Clavier";"Ecran";"Casque";"Tablete";"Imprimante";"Disque dur"},RANDBETWEEN(1,8))</f>
        <v>Laptop</v>
      </c>
      <c r="F454">
        <f t="shared" ca="1" si="38"/>
        <v>10</v>
      </c>
      <c r="G454" t="str">
        <f t="shared" ca="1" si="39"/>
        <v>451239</v>
      </c>
    </row>
    <row r="455" spans="1:7" x14ac:dyDescent="0.45">
      <c r="A455" t="str">
        <f t="shared" si="35"/>
        <v>V0454</v>
      </c>
      <c r="B455" t="str">
        <f t="shared" ca="1" si="36"/>
        <v>09/09/2026</v>
      </c>
      <c r="C455" t="str">
        <f t="shared" ca="1" si="37"/>
        <v>Fatou Fall</v>
      </c>
      <c r="D455" t="str" cm="1">
        <f t="array" aca="1" ref="D455" ca="1">INDEX({"Dakar";"dakar";"DAKAR";"Dakar ";"Thiès";"TOUBA";"Kaolack";"Saint-Louis"},RANDBETWEEN(1,8))</f>
        <v>dakar</v>
      </c>
      <c r="E455" t="str" cm="1">
        <f t="array" aca="1" ref="E455" ca="1">INDEX({"Laptop";"Souris";"Clavier";"Ecran";"Casque";"Tablete";"Imprimante";"Disque dur"},RANDBETWEEN(1,8))</f>
        <v>Tablete</v>
      </c>
      <c r="F455">
        <f t="shared" ca="1" si="38"/>
        <v>8</v>
      </c>
      <c r="G455" t="str">
        <f t="shared" ca="1" si="39"/>
        <v>433005</v>
      </c>
    </row>
    <row r="456" spans="1:7" x14ac:dyDescent="0.45">
      <c r="A456" t="str">
        <f t="shared" si="35"/>
        <v>V0455</v>
      </c>
      <c r="B456" t="str">
        <f t="shared" ca="1" si="36"/>
        <v>26/09/2026</v>
      </c>
      <c r="C456" t="str">
        <f t="shared" ca="1" si="37"/>
        <v xml:space="preserve">  Cheikh Ba</v>
      </c>
      <c r="D456" t="str" cm="1">
        <f t="array" aca="1" ref="D456" ca="1">INDEX({"Dakar";"dakar";"DAKAR";"Dakar ";"Thiès";"TOUBA";"Kaolack";"Saint-Louis"},RANDBETWEEN(1,8))</f>
        <v>TOUBA</v>
      </c>
      <c r="E456" t="str" cm="1">
        <f t="array" aca="1" ref="E456" ca="1">INDEX({"Laptop";"Souris";"Clavier";"Ecran";"Casque";"Tablete";"Imprimante";"Disque dur"},RANDBETWEEN(1,8))</f>
        <v>Souris</v>
      </c>
      <c r="F456">
        <f t="shared" ca="1" si="38"/>
        <v>9</v>
      </c>
      <c r="G456" t="str">
        <f t="shared" ca="1" si="39"/>
        <v>€37785</v>
      </c>
    </row>
    <row r="457" spans="1:7" x14ac:dyDescent="0.45">
      <c r="A457" t="str">
        <f t="shared" si="35"/>
        <v>V0456</v>
      </c>
      <c r="B457" t="str">
        <f t="shared" ca="1" si="36"/>
        <v>2026-09-24</v>
      </c>
      <c r="C457" t="str">
        <f t="shared" ca="1" si="37"/>
        <v xml:space="preserve">  Cheikh Ba</v>
      </c>
      <c r="D457" t="str" cm="1">
        <f t="array" aca="1" ref="D457" ca="1">INDEX({"Dakar";"dakar";"DAKAR";"Dakar ";"Thiès";"TOUBA";"Kaolack";"Saint-Louis"},RANDBETWEEN(1,8))</f>
        <v>dakar</v>
      </c>
      <c r="E457" t="str" cm="1">
        <f t="array" aca="1" ref="E457" ca="1">INDEX({"Laptop";"Souris";"Clavier";"Ecran";"Casque";"Tablete";"Imprimante";"Disque dur"},RANDBETWEEN(1,8))</f>
        <v>Casque</v>
      </c>
      <c r="F457" t="str">
        <f t="shared" ca="1" si="38"/>
        <v>6</v>
      </c>
      <c r="G457" t="str">
        <f t="shared" ca="1" si="39"/>
        <v>€32386</v>
      </c>
    </row>
    <row r="458" spans="1:7" x14ac:dyDescent="0.45">
      <c r="A458" t="str">
        <f t="shared" si="35"/>
        <v>V0457</v>
      </c>
      <c r="B458" t="str">
        <f t="shared" ca="1" si="36"/>
        <v>09-09-26</v>
      </c>
      <c r="C458" t="str">
        <f t="shared" ca="1" si="37"/>
        <v>Mamadou Diop</v>
      </c>
      <c r="D458" t="str" cm="1">
        <f t="array" aca="1" ref="D458" ca="1">INDEX({"Dakar";"dakar";"DAKAR";"Dakar ";"Thiès";"TOUBA";"Kaolack";"Saint-Louis"},RANDBETWEEN(1,8))</f>
        <v>dakar</v>
      </c>
      <c r="E458" t="str" cm="1">
        <f t="array" aca="1" ref="E458" ca="1">INDEX({"Laptop";"Souris";"Clavier";"Ecran";"Casque";"Tablete";"Imprimante";"Disque dur"},RANDBETWEEN(1,8))</f>
        <v>Disque dur</v>
      </c>
      <c r="F458">
        <f t="shared" ca="1" si="38"/>
        <v>1</v>
      </c>
      <c r="G458" t="str">
        <f t="shared" ca="1" si="39"/>
        <v>91953</v>
      </c>
    </row>
    <row r="459" spans="1:7" x14ac:dyDescent="0.45">
      <c r="A459" t="str">
        <f t="shared" si="35"/>
        <v>V0458</v>
      </c>
      <c r="B459" t="str">
        <f t="shared" ca="1" si="36"/>
        <v>24-09-26</v>
      </c>
      <c r="C459" t="str">
        <f t="shared" ca="1" si="37"/>
        <v>Awa Ndiaye</v>
      </c>
      <c r="D459" t="str" cm="1">
        <f t="array" aca="1" ref="D459" ca="1">INDEX({"Dakar";"dakar";"DAKAR";"Dakar ";"Thiès";"TOUBA";"Kaolack";"Saint-Louis"},RANDBETWEEN(1,8))</f>
        <v>Saint-Louis</v>
      </c>
      <c r="E459" t="str" cm="1">
        <f t="array" aca="1" ref="E459" ca="1">INDEX({"Laptop";"Souris";"Clavier";"Ecran";"Casque";"Tablete";"Imprimante";"Disque dur"},RANDBETWEEN(1,8))</f>
        <v>Disque dur</v>
      </c>
      <c r="F459">
        <f t="shared" ca="1" si="38"/>
        <v>2</v>
      </c>
      <c r="G459" t="str">
        <f t="shared" ca="1" si="39"/>
        <v>81903 €</v>
      </c>
    </row>
    <row r="460" spans="1:7" x14ac:dyDescent="0.45">
      <c r="A460" t="str">
        <f t="shared" si="35"/>
        <v>V0459</v>
      </c>
      <c r="B460" t="str">
        <f t="shared" ca="1" si="36"/>
        <v>02-09-26</v>
      </c>
      <c r="C460" t="str">
        <f t="shared" ca="1" si="37"/>
        <v xml:space="preserve">Ousmane Ndiaye  </v>
      </c>
      <c r="D460" t="str" cm="1">
        <f t="array" aca="1" ref="D460" ca="1">INDEX({"Dakar";"dakar";"DAKAR";"Dakar ";"Thiès";"TOUBA";"Kaolack";"Saint-Louis"},RANDBETWEEN(1,8))</f>
        <v>dakar</v>
      </c>
      <c r="E460" t="str" cm="1">
        <f t="array" aca="1" ref="E460" ca="1">INDEX({"Laptop";"Souris";"Clavier";"Ecran";"Casque";"Tablete";"Imprimante";"Disque dur"},RANDBETWEEN(1,8))</f>
        <v>Laptop</v>
      </c>
      <c r="F460">
        <f t="shared" ca="1" si="38"/>
        <v>10</v>
      </c>
      <c r="G460" t="str">
        <f t="shared" ca="1" si="39"/>
        <v>239416€</v>
      </c>
    </row>
    <row r="461" spans="1:7" x14ac:dyDescent="0.45">
      <c r="A461" t="str">
        <f t="shared" si="35"/>
        <v>V0460</v>
      </c>
      <c r="B461" t="str">
        <f t="shared" ca="1" si="36"/>
        <v>04/09/2026</v>
      </c>
      <c r="C461" t="str">
        <f t="shared" ca="1" si="37"/>
        <v>Mamadou Diop</v>
      </c>
      <c r="D461" t="str" cm="1">
        <f t="array" aca="1" ref="D461" ca="1">INDEX({"Dakar";"dakar";"DAKAR";"Dakar ";"Thiès";"TOUBA";"Kaolack";"Saint-Louis"},RANDBETWEEN(1,8))</f>
        <v>dakar</v>
      </c>
      <c r="E461" t="str" cm="1">
        <f t="array" aca="1" ref="E461" ca="1">INDEX({"Laptop";"Souris";"Clavier";"Ecran";"Casque";"Tablete";"Imprimante";"Disque dur"},RANDBETWEEN(1,8))</f>
        <v>Imprimante</v>
      </c>
      <c r="F461" t="str">
        <f t="shared" ca="1" si="38"/>
        <v>3</v>
      </c>
      <c r="G461" t="str">
        <f t="shared" ca="1" si="39"/>
        <v>330876 €</v>
      </c>
    </row>
    <row r="462" spans="1:7" x14ac:dyDescent="0.45">
      <c r="A462" t="str">
        <f t="shared" si="35"/>
        <v>V0461</v>
      </c>
      <c r="B462" t="str">
        <f t="shared" ca="1" si="36"/>
        <v>02-09-26</v>
      </c>
      <c r="C462" t="str">
        <f t="shared" ca="1" si="37"/>
        <v>Sokhna Diallo</v>
      </c>
      <c r="D462" t="str" cm="1">
        <f t="array" aca="1" ref="D462" ca="1">INDEX({"Dakar";"dakar";"DAKAR";"Dakar ";"Thiès";"TOUBA";"Kaolack";"Saint-Louis"},RANDBETWEEN(1,8))</f>
        <v xml:space="preserve">Dakar </v>
      </c>
      <c r="E462" t="str" cm="1">
        <f t="array" aca="1" ref="E462" ca="1">INDEX({"Laptop";"Souris";"Clavier";"Ecran";"Casque";"Tablete";"Imprimante";"Disque dur"},RANDBETWEEN(1,8))</f>
        <v>Imprimante</v>
      </c>
      <c r="F462">
        <f t="shared" ca="1" si="38"/>
        <v>4</v>
      </c>
      <c r="G462" t="str">
        <f t="shared" ca="1" si="39"/>
        <v>239867 €</v>
      </c>
    </row>
    <row r="463" spans="1:7" x14ac:dyDescent="0.45">
      <c r="A463" t="str">
        <f t="shared" si="35"/>
        <v>V0462</v>
      </c>
      <c r="B463" t="str">
        <f t="shared" ca="1" si="36"/>
        <v>08/09/2026</v>
      </c>
      <c r="C463" t="str">
        <f t="shared" ca="1" si="37"/>
        <v>Mamadou Diop</v>
      </c>
      <c r="D463" t="str" cm="1">
        <f t="array" aca="1" ref="D463" ca="1">INDEX({"Dakar";"dakar";"DAKAR";"Dakar ";"Thiès";"TOUBA";"Kaolack";"Saint-Louis"},RANDBETWEEN(1,8))</f>
        <v>dakar</v>
      </c>
      <c r="E463" t="str" cm="1">
        <f t="array" aca="1" ref="E463" ca="1">INDEX({"Laptop";"Souris";"Clavier";"Ecran";"Casque";"Tablete";"Imprimante";"Disque dur"},RANDBETWEEN(1,8))</f>
        <v>Disque dur</v>
      </c>
      <c r="F463">
        <f t="shared" ca="1" si="38"/>
        <v>6</v>
      </c>
      <c r="G463" t="str">
        <f t="shared" ca="1" si="39"/>
        <v>283758</v>
      </c>
    </row>
    <row r="464" spans="1:7" x14ac:dyDescent="0.45">
      <c r="A464" t="str">
        <f t="shared" si="35"/>
        <v>V0463</v>
      </c>
      <c r="B464" t="str">
        <f t="shared" ca="1" si="36"/>
        <v>20/09/2026</v>
      </c>
      <c r="C464" t="str">
        <f t="shared" ca="1" si="37"/>
        <v>Mamadou Diop</v>
      </c>
      <c r="D464" t="str" cm="1">
        <f t="array" aca="1" ref="D464" ca="1">INDEX({"Dakar";"dakar";"DAKAR";"Dakar ";"Thiès";"TOUBA";"Kaolack";"Saint-Louis"},RANDBETWEEN(1,8))</f>
        <v xml:space="preserve">Dakar </v>
      </c>
      <c r="E464" t="str" cm="1">
        <f t="array" aca="1" ref="E464" ca="1">INDEX({"Laptop";"Souris";"Clavier";"Ecran";"Casque";"Tablete";"Imprimante";"Disque dur"},RANDBETWEEN(1,8))</f>
        <v>Ecran</v>
      </c>
      <c r="F464">
        <f t="shared" ca="1" si="38"/>
        <v>2</v>
      </c>
      <c r="G464" t="str">
        <f t="shared" ca="1" si="39"/>
        <v>283444 €</v>
      </c>
    </row>
    <row r="465" spans="1:7" x14ac:dyDescent="0.45">
      <c r="A465" t="str">
        <f t="shared" si="35"/>
        <v>V0464</v>
      </c>
      <c r="B465" t="str">
        <f t="shared" ca="1" si="36"/>
        <v>2026-09-09</v>
      </c>
      <c r="C465" t="str">
        <f t="shared" ca="1" si="37"/>
        <v xml:space="preserve">  Cheikh Ba</v>
      </c>
      <c r="D465" t="str" cm="1">
        <f t="array" aca="1" ref="D465" ca="1">INDEX({"Dakar";"dakar";"DAKAR";"Dakar ";"Thiès";"TOUBA";"Kaolack";"Saint-Louis"},RANDBETWEEN(1,8))</f>
        <v>dakar</v>
      </c>
      <c r="E465" t="str" cm="1">
        <f t="array" aca="1" ref="E465" ca="1">INDEX({"Laptop";"Souris";"Clavier";"Ecran";"Casque";"Tablete";"Imprimante";"Disque dur"},RANDBETWEEN(1,8))</f>
        <v>Casque</v>
      </c>
      <c r="F465">
        <f t="shared" ca="1" si="38"/>
        <v>10</v>
      </c>
      <c r="G465" t="str">
        <f t="shared" ca="1" si="39"/>
        <v>307263</v>
      </c>
    </row>
    <row r="466" spans="1:7" x14ac:dyDescent="0.45">
      <c r="A466" t="str">
        <f t="shared" si="35"/>
        <v>V0465</v>
      </c>
      <c r="B466" t="str">
        <f t="shared" ca="1" si="36"/>
        <v>06-09-26</v>
      </c>
      <c r="C466" t="str">
        <f t="shared" ca="1" si="37"/>
        <v>Awa Ndiaye</v>
      </c>
      <c r="D466" t="str" cm="1">
        <f t="array" aca="1" ref="D466" ca="1">INDEX({"Dakar";"dakar";"DAKAR";"Dakar ";"Thiès";"TOUBA";"Kaolack";"Saint-Louis"},RANDBETWEEN(1,8))</f>
        <v>DAKAR</v>
      </c>
      <c r="E466" t="str" cm="1">
        <f t="array" aca="1" ref="E466" ca="1">INDEX({"Laptop";"Souris";"Clavier";"Ecran";"Casque";"Tablete";"Imprimante";"Disque dur"},RANDBETWEEN(1,8))</f>
        <v>Tablete</v>
      </c>
      <c r="F466">
        <f t="shared" ca="1" si="38"/>
        <v>2</v>
      </c>
      <c r="G466" t="str">
        <f t="shared" ca="1" si="39"/>
        <v>236546 €</v>
      </c>
    </row>
    <row r="467" spans="1:7" x14ac:dyDescent="0.45">
      <c r="A467" t="str">
        <f t="shared" si="35"/>
        <v>V0466</v>
      </c>
      <c r="B467" t="str">
        <f t="shared" ca="1" si="36"/>
        <v>2026-09-12</v>
      </c>
      <c r="C467" t="str">
        <f t="shared" ca="1" si="37"/>
        <v xml:space="preserve">  Cheikh Ba</v>
      </c>
      <c r="D467" t="str" cm="1">
        <f t="array" aca="1" ref="D467" ca="1">INDEX({"Dakar";"dakar";"DAKAR";"Dakar ";"Thiès";"TOUBA";"Kaolack";"Saint-Louis"},RANDBETWEEN(1,8))</f>
        <v>DAKAR</v>
      </c>
      <c r="E467" t="str" cm="1">
        <f t="array" aca="1" ref="E467" ca="1">INDEX({"Laptop";"Souris";"Clavier";"Ecran";"Casque";"Tablete";"Imprimante";"Disque dur"},RANDBETWEEN(1,8))</f>
        <v>Souris</v>
      </c>
      <c r="F467">
        <f t="shared" ca="1" si="38"/>
        <v>4</v>
      </c>
      <c r="G467" t="str">
        <f t="shared" ca="1" si="39"/>
        <v>485665</v>
      </c>
    </row>
    <row r="468" spans="1:7" x14ac:dyDescent="0.45">
      <c r="A468" t="str">
        <f t="shared" si="35"/>
        <v>V0467</v>
      </c>
      <c r="B468" t="str">
        <f t="shared" ca="1" si="36"/>
        <v>07/09/2026</v>
      </c>
      <c r="C468" t="str">
        <f t="shared" ca="1" si="37"/>
        <v>Awa Ndiaye</v>
      </c>
      <c r="D468" t="str" cm="1">
        <f t="array" aca="1" ref="D468" ca="1">INDEX({"Dakar";"dakar";"DAKAR";"Dakar ";"Thiès";"TOUBA";"Kaolack";"Saint-Louis"},RANDBETWEEN(1,8))</f>
        <v>Dakar</v>
      </c>
      <c r="E468" t="str" cm="1">
        <f t="array" aca="1" ref="E468" ca="1">INDEX({"Laptop";"Souris";"Clavier";"Ecran";"Casque";"Tablete";"Imprimante";"Disque dur"},RANDBETWEEN(1,8))</f>
        <v>Laptop</v>
      </c>
      <c r="F468">
        <f t="shared" ca="1" si="38"/>
        <v>9</v>
      </c>
      <c r="G468" t="str">
        <f t="shared" ca="1" si="39"/>
        <v>443165</v>
      </c>
    </row>
    <row r="469" spans="1:7" x14ac:dyDescent="0.45">
      <c r="A469" t="str">
        <f t="shared" si="35"/>
        <v>V0468</v>
      </c>
      <c r="B469" t="str">
        <f t="shared" ca="1" si="36"/>
        <v>27-09-26</v>
      </c>
      <c r="C469" t="str">
        <f t="shared" ca="1" si="37"/>
        <v xml:space="preserve">Ousmane Ndiaye  </v>
      </c>
      <c r="D469" t="str" cm="1">
        <f t="array" aca="1" ref="D469" ca="1">INDEX({"Dakar";"dakar";"DAKAR";"Dakar ";"Thiès";"TOUBA";"Kaolack";"Saint-Louis"},RANDBETWEEN(1,8))</f>
        <v>Dakar</v>
      </c>
      <c r="E469" t="str" cm="1">
        <f t="array" aca="1" ref="E469" ca="1">INDEX({"Laptop";"Souris";"Clavier";"Ecran";"Casque";"Tablete";"Imprimante";"Disque dur"},RANDBETWEEN(1,8))</f>
        <v>Laptop</v>
      </c>
      <c r="F469" t="str">
        <f t="shared" ca="1" si="38"/>
        <v>5</v>
      </c>
      <c r="G469" t="str">
        <f t="shared" ca="1" si="39"/>
        <v>114061 €</v>
      </c>
    </row>
    <row r="470" spans="1:7" x14ac:dyDescent="0.45">
      <c r="A470" t="str">
        <f t="shared" si="35"/>
        <v>V0469</v>
      </c>
      <c r="B470" t="str">
        <f t="shared" ca="1" si="36"/>
        <v>2026-09-29</v>
      </c>
      <c r="C470" t="str">
        <f t="shared" ca="1" si="37"/>
        <v>Abdoulaye Gueye</v>
      </c>
      <c r="D470" t="str" cm="1">
        <f t="array" aca="1" ref="D470" ca="1">INDEX({"Dakar";"dakar";"DAKAR";"Dakar ";"Thiès";"TOUBA";"Kaolack";"Saint-Louis"},RANDBETWEEN(1,8))</f>
        <v>DAKAR</v>
      </c>
      <c r="E470" t="str" cm="1">
        <f t="array" aca="1" ref="E470" ca="1">INDEX({"Laptop";"Souris";"Clavier";"Ecran";"Casque";"Tablete";"Imprimante";"Disque dur"},RANDBETWEEN(1,8))</f>
        <v>Disque dur</v>
      </c>
      <c r="F470">
        <f t="shared" ca="1" si="38"/>
        <v>8</v>
      </c>
      <c r="G470" t="str">
        <f t="shared" ca="1" si="39"/>
        <v>€498457</v>
      </c>
    </row>
    <row r="471" spans="1:7" x14ac:dyDescent="0.45">
      <c r="A471" t="str">
        <f t="shared" si="35"/>
        <v>V0470</v>
      </c>
      <c r="B471" t="str">
        <f t="shared" ca="1" si="36"/>
        <v>03-09-26</v>
      </c>
      <c r="C471" t="str">
        <f t="shared" ca="1" si="37"/>
        <v xml:space="preserve">  Cheikh Ba</v>
      </c>
      <c r="D471" t="str" cm="1">
        <f t="array" aca="1" ref="D471" ca="1">INDEX({"Dakar";"dakar";"DAKAR";"Dakar ";"Thiès";"TOUBA";"Kaolack";"Saint-Louis"},RANDBETWEEN(1,8))</f>
        <v xml:space="preserve">Dakar </v>
      </c>
      <c r="E471" t="str" cm="1">
        <f t="array" aca="1" ref="E471" ca="1">INDEX({"Laptop";"Souris";"Clavier";"Ecran";"Casque";"Tablete";"Imprimante";"Disque dur"},RANDBETWEEN(1,8))</f>
        <v>Disque dur</v>
      </c>
      <c r="F471">
        <f t="shared" ca="1" si="38"/>
        <v>7</v>
      </c>
      <c r="G471" t="str">
        <f t="shared" ca="1" si="39"/>
        <v>75426</v>
      </c>
    </row>
    <row r="472" spans="1:7" x14ac:dyDescent="0.45">
      <c r="A472" t="str">
        <f t="shared" si="35"/>
        <v>V0471</v>
      </c>
      <c r="B472" t="str">
        <f t="shared" ca="1" si="36"/>
        <v>2026-09-12</v>
      </c>
      <c r="C472" t="str">
        <f t="shared" ca="1" si="37"/>
        <v>Abdoulaye Gueye</v>
      </c>
      <c r="D472" t="str" cm="1">
        <f t="array" aca="1" ref="D472" ca="1">INDEX({"Dakar";"dakar";"DAKAR";"Dakar ";"Thiès";"TOUBA";"Kaolack";"Saint-Louis"},RANDBETWEEN(1,8))</f>
        <v xml:space="preserve">Dakar </v>
      </c>
      <c r="E472" t="str" cm="1">
        <f t="array" aca="1" ref="E472" ca="1">INDEX({"Laptop";"Souris";"Clavier";"Ecran";"Casque";"Tablete";"Imprimante";"Disque dur"},RANDBETWEEN(1,8))</f>
        <v>Laptop</v>
      </c>
      <c r="F472">
        <f t="shared" ca="1" si="38"/>
        <v>9</v>
      </c>
      <c r="G472" t="str">
        <f t="shared" ca="1" si="39"/>
        <v>446866</v>
      </c>
    </row>
    <row r="473" spans="1:7" x14ac:dyDescent="0.45">
      <c r="A473" t="str">
        <f t="shared" si="35"/>
        <v>V0472</v>
      </c>
      <c r="B473" t="str">
        <f t="shared" ca="1" si="36"/>
        <v>2026-09-28</v>
      </c>
      <c r="C473" t="str">
        <f t="shared" ca="1" si="37"/>
        <v>Mariama Sow</v>
      </c>
      <c r="D473" t="str" cm="1">
        <f t="array" aca="1" ref="D473" ca="1">INDEX({"Dakar";"dakar";"DAKAR";"Dakar ";"Thiès";"TOUBA";"Kaolack";"Saint-Louis"},RANDBETWEEN(1,8))</f>
        <v>Dakar</v>
      </c>
      <c r="E473" t="str" cm="1">
        <f t="array" aca="1" ref="E473" ca="1">INDEX({"Laptop";"Souris";"Clavier";"Ecran";"Casque";"Tablete";"Imprimante";"Disque dur"},RANDBETWEEN(1,8))</f>
        <v>Souris</v>
      </c>
      <c r="F473">
        <f t="shared" ca="1" si="38"/>
        <v>2</v>
      </c>
      <c r="G473" t="str">
        <f t="shared" ca="1" si="39"/>
        <v>425141 €</v>
      </c>
    </row>
    <row r="474" spans="1:7" x14ac:dyDescent="0.45">
      <c r="A474" t="str">
        <f t="shared" si="35"/>
        <v>V0473</v>
      </c>
      <c r="B474" t="str">
        <f t="shared" ca="1" si="36"/>
        <v>2026-09-13</v>
      </c>
      <c r="C474" t="str">
        <f t="shared" ca="1" si="37"/>
        <v xml:space="preserve">  Cheikh Ba</v>
      </c>
      <c r="D474" t="str" cm="1">
        <f t="array" aca="1" ref="D474" ca="1">INDEX({"Dakar";"dakar";"DAKAR";"Dakar ";"Thiès";"TOUBA";"Kaolack";"Saint-Louis"},RANDBETWEEN(1,8))</f>
        <v xml:space="preserve">Dakar </v>
      </c>
      <c r="E474" t="str" cm="1">
        <f t="array" aca="1" ref="E474" ca="1">INDEX({"Laptop";"Souris";"Clavier";"Ecran";"Casque";"Tablete";"Imprimante";"Disque dur"},RANDBETWEEN(1,8))</f>
        <v>Ecran</v>
      </c>
      <c r="F474">
        <f t="shared" ca="1" si="38"/>
        <v>1</v>
      </c>
      <c r="G474" t="str">
        <f t="shared" ca="1" si="39"/>
        <v>345683</v>
      </c>
    </row>
    <row r="475" spans="1:7" x14ac:dyDescent="0.45">
      <c r="A475" t="str">
        <f t="shared" si="35"/>
        <v>V0474</v>
      </c>
      <c r="B475" t="str">
        <f t="shared" ca="1" si="36"/>
        <v>27-09-26</v>
      </c>
      <c r="C475" t="str">
        <f t="shared" ca="1" si="37"/>
        <v>Sokhna Diallo</v>
      </c>
      <c r="D475" t="str" cm="1">
        <f t="array" aca="1" ref="D475" ca="1">INDEX({"Dakar";"dakar";"DAKAR";"Dakar ";"Thiès";"TOUBA";"Kaolack";"Saint-Louis"},RANDBETWEEN(1,8))</f>
        <v xml:space="preserve">Dakar </v>
      </c>
      <c r="E475" t="str" cm="1">
        <f t="array" aca="1" ref="E475" ca="1">INDEX({"Laptop";"Souris";"Clavier";"Ecran";"Casque";"Tablete";"Imprimante";"Disque dur"},RANDBETWEEN(1,8))</f>
        <v>Clavier</v>
      </c>
      <c r="F475">
        <f t="shared" ca="1" si="38"/>
        <v>5</v>
      </c>
      <c r="G475" t="str">
        <f t="shared" ca="1" si="39"/>
        <v>€370368</v>
      </c>
    </row>
    <row r="476" spans="1:7" x14ac:dyDescent="0.45">
      <c r="A476" t="str">
        <f t="shared" si="35"/>
        <v>V0475</v>
      </c>
      <c r="B476" t="str">
        <f t="shared" ca="1" si="36"/>
        <v>2026-09-26</v>
      </c>
      <c r="C476" t="str">
        <f t="shared" ca="1" si="37"/>
        <v>Fatou Fall</v>
      </c>
      <c r="D476" t="str" cm="1">
        <f t="array" aca="1" ref="D476" ca="1">INDEX({"Dakar";"dakar";"DAKAR";"Dakar ";"Thiès";"TOUBA";"Kaolack";"Saint-Louis"},RANDBETWEEN(1,8))</f>
        <v xml:space="preserve">Dakar </v>
      </c>
      <c r="E476" t="str" cm="1">
        <f t="array" aca="1" ref="E476" ca="1">INDEX({"Laptop";"Souris";"Clavier";"Ecran";"Casque";"Tablete";"Imprimante";"Disque dur"},RANDBETWEEN(1,8))</f>
        <v>Laptop</v>
      </c>
      <c r="F476">
        <f t="shared" ca="1" si="38"/>
        <v>6</v>
      </c>
      <c r="G476" t="str">
        <f t="shared" ca="1" si="39"/>
        <v>351417€</v>
      </c>
    </row>
    <row r="477" spans="1:7" x14ac:dyDescent="0.45">
      <c r="A477" t="str">
        <f t="shared" si="35"/>
        <v>V0476</v>
      </c>
      <c r="B477" t="str">
        <f t="shared" ca="1" si="36"/>
        <v>03-09-26</v>
      </c>
      <c r="C477" t="str">
        <f t="shared" ca="1" si="37"/>
        <v>Mariama Sow</v>
      </c>
      <c r="D477" t="str" cm="1">
        <f t="array" aca="1" ref="D477" ca="1">INDEX({"Dakar";"dakar";"DAKAR";"Dakar ";"Thiès";"TOUBA";"Kaolack";"Saint-Louis"},RANDBETWEEN(1,8))</f>
        <v>TOUBA</v>
      </c>
      <c r="E477" t="str" cm="1">
        <f t="array" aca="1" ref="E477" ca="1">INDEX({"Laptop";"Souris";"Clavier";"Ecran";"Casque";"Tablete";"Imprimante";"Disque dur"},RANDBETWEEN(1,8))</f>
        <v>Disque dur</v>
      </c>
      <c r="F477">
        <f t="shared" ca="1" si="38"/>
        <v>5</v>
      </c>
      <c r="G477" t="str">
        <f t="shared" ca="1" si="39"/>
        <v>458544 €</v>
      </c>
    </row>
    <row r="478" spans="1:7" x14ac:dyDescent="0.45">
      <c r="A478" t="str">
        <f t="shared" si="35"/>
        <v>V0477</v>
      </c>
      <c r="B478" t="str">
        <f t="shared" ca="1" si="36"/>
        <v>11/09/2026</v>
      </c>
      <c r="C478" t="str">
        <f t="shared" ca="1" si="37"/>
        <v>Mariama Sow</v>
      </c>
      <c r="D478" t="str" cm="1">
        <f t="array" aca="1" ref="D478" ca="1">INDEX({"Dakar";"dakar";"DAKAR";"Dakar ";"Thiès";"TOUBA";"Kaolack";"Saint-Louis"},RANDBETWEEN(1,8))</f>
        <v>dakar</v>
      </c>
      <c r="E478" t="str" cm="1">
        <f t="array" aca="1" ref="E478" ca="1">INDEX({"Laptop";"Souris";"Clavier";"Ecran";"Casque";"Tablete";"Imprimante";"Disque dur"},RANDBETWEEN(1,8))</f>
        <v>Clavier</v>
      </c>
      <c r="F478">
        <f t="shared" ca="1" si="38"/>
        <v>10</v>
      </c>
      <c r="G478" t="str">
        <f t="shared" ca="1" si="39"/>
        <v>36203€</v>
      </c>
    </row>
    <row r="479" spans="1:7" x14ac:dyDescent="0.45">
      <c r="A479" t="str">
        <f t="shared" si="35"/>
        <v>V0478</v>
      </c>
      <c r="B479" t="str">
        <f t="shared" ca="1" si="36"/>
        <v>17-09-26</v>
      </c>
      <c r="C479" t="str">
        <f t="shared" ca="1" si="37"/>
        <v>Sokhna Diallo</v>
      </c>
      <c r="D479" t="str" cm="1">
        <f t="array" aca="1" ref="D479" ca="1">INDEX({"Dakar";"dakar";"DAKAR";"Dakar ";"Thiès";"TOUBA";"Kaolack";"Saint-Louis"},RANDBETWEEN(1,8))</f>
        <v>DAKAR</v>
      </c>
      <c r="E479" t="str" cm="1">
        <f t="array" aca="1" ref="E479" ca="1">INDEX({"Laptop";"Souris";"Clavier";"Ecran";"Casque";"Tablete";"Imprimante";"Disque dur"},RANDBETWEEN(1,8))</f>
        <v>Casque</v>
      </c>
      <c r="F479">
        <f t="shared" ca="1" si="38"/>
        <v>9</v>
      </c>
      <c r="G479" t="str">
        <f t="shared" ca="1" si="39"/>
        <v>208325€</v>
      </c>
    </row>
    <row r="480" spans="1:7" x14ac:dyDescent="0.45">
      <c r="A480" t="str">
        <f t="shared" si="35"/>
        <v>V0479</v>
      </c>
      <c r="B480" t="str">
        <f t="shared" ca="1" si="36"/>
        <v>2026-09-17</v>
      </c>
      <c r="C480" t="str">
        <f t="shared" ca="1" si="37"/>
        <v>Mariama Sow</v>
      </c>
      <c r="D480" t="str" cm="1">
        <f t="array" aca="1" ref="D480" ca="1">INDEX({"Dakar";"dakar";"DAKAR";"Dakar ";"Thiès";"TOUBA";"Kaolack";"Saint-Louis"},RANDBETWEEN(1,8))</f>
        <v>Kaolack</v>
      </c>
      <c r="E480" t="str" cm="1">
        <f t="array" aca="1" ref="E480" ca="1">INDEX({"Laptop";"Souris";"Clavier";"Ecran";"Casque";"Tablete";"Imprimante";"Disque dur"},RANDBETWEEN(1,8))</f>
        <v>Disque dur</v>
      </c>
      <c r="F480">
        <f t="shared" ca="1" si="38"/>
        <v>8</v>
      </c>
      <c r="G480" t="str">
        <f t="shared" ca="1" si="39"/>
        <v>64726€</v>
      </c>
    </row>
    <row r="481" spans="1:7" x14ac:dyDescent="0.45">
      <c r="A481" t="str">
        <f t="shared" si="35"/>
        <v>V0480</v>
      </c>
      <c r="B481" t="str">
        <f t="shared" ca="1" si="36"/>
        <v>2026-09-25</v>
      </c>
      <c r="C481" t="str">
        <f t="shared" ca="1" si="37"/>
        <v>Awa Ndiaye</v>
      </c>
      <c r="D481" t="str" cm="1">
        <f t="array" aca="1" ref="D481" ca="1">INDEX({"Dakar";"dakar";"DAKAR";"Dakar ";"Thiès";"TOUBA";"Kaolack";"Saint-Louis"},RANDBETWEEN(1,8))</f>
        <v>Thiès</v>
      </c>
      <c r="E481" t="str" cm="1">
        <f t="array" aca="1" ref="E481" ca="1">INDEX({"Laptop";"Souris";"Clavier";"Ecran";"Casque";"Tablete";"Imprimante";"Disque dur"},RANDBETWEEN(1,8))</f>
        <v>Casque</v>
      </c>
      <c r="F481">
        <f t="shared" ca="1" si="38"/>
        <v>3</v>
      </c>
      <c r="G481" t="str">
        <f t="shared" ca="1" si="39"/>
        <v>114665 €</v>
      </c>
    </row>
    <row r="482" spans="1:7" x14ac:dyDescent="0.45">
      <c r="A482" t="str">
        <f t="shared" si="35"/>
        <v>V0481</v>
      </c>
      <c r="B482" t="str">
        <f t="shared" ca="1" si="36"/>
        <v>2026-09-07</v>
      </c>
      <c r="C482" t="str">
        <f t="shared" ca="1" si="37"/>
        <v>Mamadou Diop</v>
      </c>
      <c r="D482" t="str" cm="1">
        <f t="array" aca="1" ref="D482" ca="1">INDEX({"Dakar";"dakar";"DAKAR";"Dakar ";"Thiès";"TOUBA";"Kaolack";"Saint-Louis"},RANDBETWEEN(1,8))</f>
        <v>DAKAR</v>
      </c>
      <c r="E482" t="str" cm="1">
        <f t="array" aca="1" ref="E482" ca="1">INDEX({"Laptop";"Souris";"Clavier";"Ecran";"Casque";"Tablete";"Imprimante";"Disque dur"},RANDBETWEEN(1,8))</f>
        <v>Souris</v>
      </c>
      <c r="F482">
        <f t="shared" ca="1" si="38"/>
        <v>9</v>
      </c>
      <c r="G482" t="str">
        <f t="shared" ca="1" si="39"/>
        <v>34884€</v>
      </c>
    </row>
    <row r="483" spans="1:7" x14ac:dyDescent="0.45">
      <c r="A483" t="str">
        <f t="shared" si="35"/>
        <v>V0482</v>
      </c>
      <c r="B483" t="str">
        <f t="shared" ca="1" si="36"/>
        <v>2026-09-24</v>
      </c>
      <c r="C483" t="str">
        <f t="shared" ca="1" si="37"/>
        <v xml:space="preserve">Ousmane Ndiaye  </v>
      </c>
      <c r="D483" t="str" cm="1">
        <f t="array" aca="1" ref="D483" ca="1">INDEX({"Dakar";"dakar";"DAKAR";"Dakar ";"Thiès";"TOUBA";"Kaolack";"Saint-Louis"},RANDBETWEEN(1,8))</f>
        <v>DAKAR</v>
      </c>
      <c r="E483" t="str" cm="1">
        <f t="array" aca="1" ref="E483" ca="1">INDEX({"Laptop";"Souris";"Clavier";"Ecran";"Casque";"Tablete";"Imprimante";"Disque dur"},RANDBETWEEN(1,8))</f>
        <v>Laptop</v>
      </c>
      <c r="F483">
        <f t="shared" ca="1" si="38"/>
        <v>2</v>
      </c>
      <c r="G483" t="str">
        <f t="shared" ca="1" si="39"/>
        <v>€67791</v>
      </c>
    </row>
    <row r="484" spans="1:7" x14ac:dyDescent="0.45">
      <c r="A484" t="str">
        <f t="shared" si="35"/>
        <v>V0483</v>
      </c>
      <c r="B484" t="str">
        <f t="shared" ca="1" si="36"/>
        <v>26-09-26</v>
      </c>
      <c r="C484" t="str">
        <f t="shared" ca="1" si="37"/>
        <v>Abdoulaye Gueye</v>
      </c>
      <c r="D484" t="str" cm="1">
        <f t="array" aca="1" ref="D484" ca="1">INDEX({"Dakar";"dakar";"DAKAR";"Dakar ";"Thiès";"TOUBA";"Kaolack";"Saint-Louis"},RANDBETWEEN(1,8))</f>
        <v>Kaolack</v>
      </c>
      <c r="E484" t="str" cm="1">
        <f t="array" aca="1" ref="E484" ca="1">INDEX({"Laptop";"Souris";"Clavier";"Ecran";"Casque";"Tablete";"Imprimante";"Disque dur"},RANDBETWEEN(1,8))</f>
        <v>Tablete</v>
      </c>
      <c r="F484">
        <f t="shared" ca="1" si="38"/>
        <v>6</v>
      </c>
      <c r="G484" t="str">
        <f t="shared" ca="1" si="39"/>
        <v>€65532</v>
      </c>
    </row>
    <row r="485" spans="1:7" x14ac:dyDescent="0.45">
      <c r="A485" t="str">
        <f t="shared" si="35"/>
        <v>V0484</v>
      </c>
      <c r="B485" t="str">
        <f t="shared" ca="1" si="36"/>
        <v>09-09-26</v>
      </c>
      <c r="C485" t="str">
        <f t="shared" ca="1" si="37"/>
        <v xml:space="preserve">Ousmane Ndiaye  </v>
      </c>
      <c r="D485" t="str" cm="1">
        <f t="array" aca="1" ref="D485" ca="1">INDEX({"Dakar";"dakar";"DAKAR";"Dakar ";"Thiès";"TOUBA";"Kaolack";"Saint-Louis"},RANDBETWEEN(1,8))</f>
        <v>TOUBA</v>
      </c>
      <c r="E485" t="str" cm="1">
        <f t="array" aca="1" ref="E485" ca="1">INDEX({"Laptop";"Souris";"Clavier";"Ecran";"Casque";"Tablete";"Imprimante";"Disque dur"},RANDBETWEEN(1,8))</f>
        <v>Imprimante</v>
      </c>
      <c r="F485">
        <f t="shared" ca="1" si="38"/>
        <v>1</v>
      </c>
      <c r="G485" t="str">
        <f t="shared" ca="1" si="39"/>
        <v>143346€</v>
      </c>
    </row>
    <row r="486" spans="1:7" x14ac:dyDescent="0.45">
      <c r="A486" t="str">
        <f t="shared" si="35"/>
        <v>V0485</v>
      </c>
      <c r="B486" t="str">
        <f t="shared" ca="1" si="36"/>
        <v>20-09-26</v>
      </c>
      <c r="C486" t="str">
        <f t="shared" ca="1" si="37"/>
        <v>Mamadou Diop</v>
      </c>
      <c r="D486" t="str" cm="1">
        <f t="array" aca="1" ref="D486" ca="1">INDEX({"Dakar";"dakar";"DAKAR";"Dakar ";"Thiès";"TOUBA";"Kaolack";"Saint-Louis"},RANDBETWEEN(1,8))</f>
        <v xml:space="preserve">Dakar </v>
      </c>
      <c r="E486" t="str" cm="1">
        <f t="array" aca="1" ref="E486" ca="1">INDEX({"Laptop";"Souris";"Clavier";"Ecran";"Casque";"Tablete";"Imprimante";"Disque dur"},RANDBETWEEN(1,8))</f>
        <v>Souris</v>
      </c>
      <c r="F486">
        <f t="shared" ca="1" si="38"/>
        <v>9</v>
      </c>
      <c r="G486" t="str">
        <f t="shared" ca="1" si="39"/>
        <v>127845 €</v>
      </c>
    </row>
    <row r="487" spans="1:7" x14ac:dyDescent="0.45">
      <c r="A487" t="str">
        <f t="shared" si="35"/>
        <v>V0486</v>
      </c>
      <c r="B487" t="str">
        <f t="shared" ca="1" si="36"/>
        <v>26-09-26</v>
      </c>
      <c r="C487" t="str">
        <f t="shared" ca="1" si="37"/>
        <v>Abdoulaye Gueye</v>
      </c>
      <c r="D487" t="str" cm="1">
        <f t="array" aca="1" ref="D487" ca="1">INDEX({"Dakar";"dakar";"DAKAR";"Dakar ";"Thiès";"TOUBA";"Kaolack";"Saint-Louis"},RANDBETWEEN(1,8))</f>
        <v>DAKAR</v>
      </c>
      <c r="E487" t="str" cm="1">
        <f t="array" aca="1" ref="E487" ca="1">INDEX({"Laptop";"Souris";"Clavier";"Ecran";"Casque";"Tablete";"Imprimante";"Disque dur"},RANDBETWEEN(1,8))</f>
        <v>Souris</v>
      </c>
      <c r="F487">
        <f t="shared" ca="1" si="38"/>
        <v>9</v>
      </c>
      <c r="G487" t="str">
        <f t="shared" ca="1" si="39"/>
        <v>493603</v>
      </c>
    </row>
    <row r="488" spans="1:7" x14ac:dyDescent="0.45">
      <c r="A488" t="str">
        <f t="shared" si="35"/>
        <v>V0487</v>
      </c>
      <c r="B488" t="str">
        <f t="shared" ca="1" si="36"/>
        <v>2026-09-22</v>
      </c>
      <c r="C488" t="str">
        <f t="shared" ca="1" si="37"/>
        <v>Awa Ndiaye</v>
      </c>
      <c r="D488" t="str" cm="1">
        <f t="array" aca="1" ref="D488" ca="1">INDEX({"Dakar";"dakar";"DAKAR";"Dakar ";"Thiès";"TOUBA";"Kaolack";"Saint-Louis"},RANDBETWEEN(1,8))</f>
        <v>Saint-Louis</v>
      </c>
      <c r="E488" t="str" cm="1">
        <f t="array" aca="1" ref="E488" ca="1">INDEX({"Laptop";"Souris";"Clavier";"Ecran";"Casque";"Tablete";"Imprimante";"Disque dur"},RANDBETWEEN(1,8))</f>
        <v>Imprimante</v>
      </c>
      <c r="F488">
        <f t="shared" ca="1" si="38"/>
        <v>8</v>
      </c>
      <c r="G488" t="str">
        <f t="shared" ca="1" si="39"/>
        <v>452439</v>
      </c>
    </row>
    <row r="489" spans="1:7" x14ac:dyDescent="0.45">
      <c r="A489" t="str">
        <f t="shared" si="35"/>
        <v>V0488</v>
      </c>
      <c r="B489" t="str">
        <f t="shared" ca="1" si="36"/>
        <v>01/09/2026</v>
      </c>
      <c r="C489" t="str">
        <f t="shared" ca="1" si="37"/>
        <v>Awa Ndiaye</v>
      </c>
      <c r="D489" t="str" cm="1">
        <f t="array" aca="1" ref="D489" ca="1">INDEX({"Dakar";"dakar";"DAKAR";"Dakar ";"Thiès";"TOUBA";"Kaolack";"Saint-Louis"},RANDBETWEEN(1,8))</f>
        <v>TOUBA</v>
      </c>
      <c r="E489" t="str" cm="1">
        <f t="array" aca="1" ref="E489" ca="1">INDEX({"Laptop";"Souris";"Clavier";"Ecran";"Casque";"Tablete";"Imprimante";"Disque dur"},RANDBETWEEN(1,8))</f>
        <v>Disque dur</v>
      </c>
      <c r="F489">
        <f t="shared" ca="1" si="38"/>
        <v>6</v>
      </c>
      <c r="G489" t="str">
        <f t="shared" ca="1" si="39"/>
        <v>152415 €</v>
      </c>
    </row>
    <row r="490" spans="1:7" x14ac:dyDescent="0.45">
      <c r="A490" t="str">
        <f t="shared" si="35"/>
        <v>V0489</v>
      </c>
      <c r="B490" t="str">
        <f t="shared" ca="1" si="36"/>
        <v>2026-09-06</v>
      </c>
      <c r="C490" t="str">
        <f t="shared" ca="1" si="37"/>
        <v>Abdoulaye Gueye</v>
      </c>
      <c r="D490" t="str" cm="1">
        <f t="array" aca="1" ref="D490" ca="1">INDEX({"Dakar";"dakar";"DAKAR";"Dakar ";"Thiès";"TOUBA";"Kaolack";"Saint-Louis"},RANDBETWEEN(1,8))</f>
        <v xml:space="preserve">Dakar </v>
      </c>
      <c r="E490" t="str" cm="1">
        <f t="array" aca="1" ref="E490" ca="1">INDEX({"Laptop";"Souris";"Clavier";"Ecran";"Casque";"Tablete";"Imprimante";"Disque dur"},RANDBETWEEN(1,8))</f>
        <v>Imprimante</v>
      </c>
      <c r="F490">
        <f t="shared" ca="1" si="38"/>
        <v>6</v>
      </c>
      <c r="G490" t="str">
        <f t="shared" ca="1" si="39"/>
        <v>206634</v>
      </c>
    </row>
    <row r="491" spans="1:7" x14ac:dyDescent="0.45">
      <c r="A491" t="str">
        <f t="shared" si="35"/>
        <v>V0490</v>
      </c>
      <c r="B491" t="str">
        <f t="shared" ca="1" si="36"/>
        <v>27-09-26</v>
      </c>
      <c r="C491" t="str">
        <f t="shared" ca="1" si="37"/>
        <v>Mamadou Diop</v>
      </c>
      <c r="D491" t="str" cm="1">
        <f t="array" aca="1" ref="D491" ca="1">INDEX({"Dakar";"dakar";"DAKAR";"Dakar ";"Thiès";"TOUBA";"Kaolack";"Saint-Louis"},RANDBETWEEN(1,8))</f>
        <v xml:space="preserve">Dakar </v>
      </c>
      <c r="E491" t="str" cm="1">
        <f t="array" aca="1" ref="E491" ca="1">INDEX({"Laptop";"Souris";"Clavier";"Ecran";"Casque";"Tablete";"Imprimante";"Disque dur"},RANDBETWEEN(1,8))</f>
        <v>Souris</v>
      </c>
      <c r="F491">
        <f t="shared" ca="1" si="38"/>
        <v>4</v>
      </c>
      <c r="G491" t="str">
        <f t="shared" ca="1" si="39"/>
        <v>386824</v>
      </c>
    </row>
    <row r="492" spans="1:7" x14ac:dyDescent="0.45">
      <c r="A492" t="str">
        <f t="shared" si="35"/>
        <v>V0491</v>
      </c>
      <c r="B492" t="str">
        <f t="shared" ca="1" si="36"/>
        <v>29/09/2026</v>
      </c>
      <c r="C492" t="str">
        <f t="shared" ca="1" si="37"/>
        <v>Fatou Fall</v>
      </c>
      <c r="D492" t="str" cm="1">
        <f t="array" aca="1" ref="D492" ca="1">INDEX({"Dakar";"dakar";"DAKAR";"Dakar ";"Thiès";"TOUBA";"Kaolack";"Saint-Louis"},RANDBETWEEN(1,8))</f>
        <v>Saint-Louis</v>
      </c>
      <c r="E492" t="str" cm="1">
        <f t="array" aca="1" ref="E492" ca="1">INDEX({"Laptop";"Souris";"Clavier";"Ecran";"Casque";"Tablete";"Imprimante";"Disque dur"},RANDBETWEEN(1,8))</f>
        <v>Imprimante</v>
      </c>
      <c r="F492">
        <f t="shared" ca="1" si="38"/>
        <v>10</v>
      </c>
      <c r="G492" t="str">
        <f t="shared" ca="1" si="39"/>
        <v>266953 €</v>
      </c>
    </row>
    <row r="493" spans="1:7" x14ac:dyDescent="0.45">
      <c r="A493" t="str">
        <f t="shared" si="35"/>
        <v>V0492</v>
      </c>
      <c r="B493" t="str">
        <f t="shared" ca="1" si="36"/>
        <v>2026-09-17</v>
      </c>
      <c r="C493" t="str">
        <f t="shared" ca="1" si="37"/>
        <v>Mariama Sow</v>
      </c>
      <c r="D493" t="str" cm="1">
        <f t="array" aca="1" ref="D493" ca="1">INDEX({"Dakar";"dakar";"DAKAR";"Dakar ";"Thiès";"TOUBA";"Kaolack";"Saint-Louis"},RANDBETWEEN(1,8))</f>
        <v>Dakar</v>
      </c>
      <c r="E493" t="str" cm="1">
        <f t="array" aca="1" ref="E493" ca="1">INDEX({"Laptop";"Souris";"Clavier";"Ecran";"Casque";"Tablete";"Imprimante";"Disque dur"},RANDBETWEEN(1,8))</f>
        <v>Souris</v>
      </c>
      <c r="F493">
        <f t="shared" ca="1" si="38"/>
        <v>3</v>
      </c>
      <c r="G493" t="str">
        <f t="shared" ca="1" si="39"/>
        <v>415147€</v>
      </c>
    </row>
    <row r="494" spans="1:7" x14ac:dyDescent="0.45">
      <c r="A494" t="str">
        <f t="shared" si="35"/>
        <v>V0493</v>
      </c>
      <c r="B494" t="str">
        <f t="shared" ca="1" si="36"/>
        <v>01-09-26</v>
      </c>
      <c r="C494" t="str">
        <f t="shared" ca="1" si="37"/>
        <v>Awa Ndiaye</v>
      </c>
      <c r="D494" t="str" cm="1">
        <f t="array" aca="1" ref="D494" ca="1">INDEX({"Dakar";"dakar";"DAKAR";"Dakar ";"Thiès";"TOUBA";"Kaolack";"Saint-Louis"},RANDBETWEEN(1,8))</f>
        <v>Saint-Louis</v>
      </c>
      <c r="E494" t="str" cm="1">
        <f t="array" aca="1" ref="E494" ca="1">INDEX({"Laptop";"Souris";"Clavier";"Ecran";"Casque";"Tablete";"Imprimante";"Disque dur"},RANDBETWEEN(1,8))</f>
        <v>Disque dur</v>
      </c>
      <c r="F494">
        <f t="shared" ca="1" si="38"/>
        <v>3</v>
      </c>
      <c r="G494" t="str">
        <f t="shared" ca="1" si="39"/>
        <v>€462364</v>
      </c>
    </row>
    <row r="495" spans="1:7" x14ac:dyDescent="0.45">
      <c r="A495" t="str">
        <f t="shared" si="35"/>
        <v>V0494</v>
      </c>
      <c r="B495" t="str">
        <f t="shared" ca="1" si="36"/>
        <v>18/09/2026</v>
      </c>
      <c r="C495" t="str">
        <f t="shared" ca="1" si="37"/>
        <v>Awa Ndiaye</v>
      </c>
      <c r="D495" t="str" cm="1">
        <f t="array" aca="1" ref="D495" ca="1">INDEX({"Dakar";"dakar";"DAKAR";"Dakar ";"Thiès";"TOUBA";"Kaolack";"Saint-Louis"},RANDBETWEEN(1,8))</f>
        <v xml:space="preserve">Dakar </v>
      </c>
      <c r="E495" t="str" cm="1">
        <f t="array" aca="1" ref="E495" ca="1">INDEX({"Laptop";"Souris";"Clavier";"Ecran";"Casque";"Tablete";"Imprimante";"Disque dur"},RANDBETWEEN(1,8))</f>
        <v>Tablete</v>
      </c>
      <c r="F495">
        <f t="shared" ca="1" si="38"/>
        <v>6</v>
      </c>
      <c r="G495" t="str">
        <f t="shared" ca="1" si="39"/>
        <v>290872</v>
      </c>
    </row>
    <row r="496" spans="1:7" x14ac:dyDescent="0.45">
      <c r="A496" t="str">
        <f t="shared" si="35"/>
        <v>V0495</v>
      </c>
      <c r="B496" t="str">
        <f t="shared" ca="1" si="36"/>
        <v>2026-09-07</v>
      </c>
      <c r="C496" t="str">
        <f t="shared" ca="1" si="37"/>
        <v>Mariama Sow</v>
      </c>
      <c r="D496" t="str" cm="1">
        <f t="array" aca="1" ref="D496" ca="1">INDEX({"Dakar";"dakar";"DAKAR";"Dakar ";"Thiès";"TOUBA";"Kaolack";"Saint-Louis"},RANDBETWEEN(1,8))</f>
        <v>DAKAR</v>
      </c>
      <c r="E496" t="str" cm="1">
        <f t="array" aca="1" ref="E496" ca="1">INDEX({"Laptop";"Souris";"Clavier";"Ecran";"Casque";"Tablete";"Imprimante";"Disque dur"},RANDBETWEEN(1,8))</f>
        <v>Tablete</v>
      </c>
      <c r="F496">
        <f t="shared" ca="1" si="38"/>
        <v>3</v>
      </c>
      <c r="G496" t="str">
        <f t="shared" ca="1" si="39"/>
        <v>163832</v>
      </c>
    </row>
    <row r="497" spans="1:7" x14ac:dyDescent="0.45">
      <c r="A497" t="str">
        <f t="shared" si="35"/>
        <v>V0496</v>
      </c>
      <c r="B497" t="str">
        <f t="shared" ca="1" si="36"/>
        <v>2026-09-21</v>
      </c>
      <c r="C497" t="str">
        <f t="shared" ca="1" si="37"/>
        <v>Abdoulaye Gueye</v>
      </c>
      <c r="D497" t="str" cm="1">
        <f t="array" aca="1" ref="D497" ca="1">INDEX({"Dakar";"dakar";"DAKAR";"Dakar ";"Thiès";"TOUBA";"Kaolack";"Saint-Louis"},RANDBETWEEN(1,8))</f>
        <v>Saint-Louis</v>
      </c>
      <c r="E497" t="str" cm="1">
        <f t="array" aca="1" ref="E497" ca="1">INDEX({"Laptop";"Souris";"Clavier";"Ecran";"Casque";"Tablete";"Imprimante";"Disque dur"},RANDBETWEEN(1,8))</f>
        <v>Imprimante</v>
      </c>
      <c r="F497">
        <f t="shared" ca="1" si="38"/>
        <v>3</v>
      </c>
      <c r="G497" t="str">
        <f t="shared" ca="1" si="39"/>
        <v>€489872</v>
      </c>
    </row>
    <row r="498" spans="1:7" x14ac:dyDescent="0.45">
      <c r="A498" t="str">
        <f t="shared" si="35"/>
        <v>V0497</v>
      </c>
      <c r="B498" t="str">
        <f t="shared" ca="1" si="36"/>
        <v>21/09/2026</v>
      </c>
      <c r="C498" t="str">
        <f t="shared" ca="1" si="37"/>
        <v>Sokhna Diallo</v>
      </c>
      <c r="D498" t="str" cm="1">
        <f t="array" aca="1" ref="D498" ca="1">INDEX({"Dakar";"dakar";"DAKAR";"Dakar ";"Thiès";"TOUBA";"Kaolack";"Saint-Louis"},RANDBETWEEN(1,8))</f>
        <v>Dakar</v>
      </c>
      <c r="E498" t="str" cm="1">
        <f t="array" aca="1" ref="E498" ca="1">INDEX({"Laptop";"Souris";"Clavier";"Ecran";"Casque";"Tablete";"Imprimante";"Disque dur"},RANDBETWEEN(1,8))</f>
        <v>Imprimante</v>
      </c>
      <c r="F498">
        <f t="shared" ca="1" si="38"/>
        <v>2</v>
      </c>
      <c r="G498" t="str">
        <f t="shared" ca="1" si="39"/>
        <v>355794</v>
      </c>
    </row>
    <row r="499" spans="1:7" x14ac:dyDescent="0.45">
      <c r="A499" t="str">
        <f t="shared" si="35"/>
        <v>V0498</v>
      </c>
      <c r="B499" t="str">
        <f t="shared" ca="1" si="36"/>
        <v>02-09-26</v>
      </c>
      <c r="C499" t="str">
        <f t="shared" ca="1" si="37"/>
        <v>Abdoulaye Gueye</v>
      </c>
      <c r="D499" t="str" cm="1">
        <f t="array" aca="1" ref="D499" ca="1">INDEX({"Dakar";"dakar";"DAKAR";"Dakar ";"Thiès";"TOUBA";"Kaolack";"Saint-Louis"},RANDBETWEEN(1,8))</f>
        <v xml:space="preserve">Dakar </v>
      </c>
      <c r="E499" t="str" cm="1">
        <f t="array" aca="1" ref="E499" ca="1">INDEX({"Laptop";"Souris";"Clavier";"Ecran";"Casque";"Tablete";"Imprimante";"Disque dur"},RANDBETWEEN(1,8))</f>
        <v>Disque dur</v>
      </c>
      <c r="F499">
        <f t="shared" ca="1" si="38"/>
        <v>5</v>
      </c>
      <c r="G499" t="str">
        <f t="shared" ca="1" si="39"/>
        <v>243071€</v>
      </c>
    </row>
    <row r="500" spans="1:7" x14ac:dyDescent="0.45">
      <c r="A500" t="str">
        <f t="shared" si="35"/>
        <v>V0499</v>
      </c>
      <c r="B500" t="str">
        <f t="shared" ca="1" si="36"/>
        <v>13-09-26</v>
      </c>
      <c r="C500" t="str">
        <f t="shared" ca="1" si="37"/>
        <v>Abdoulaye Gueye</v>
      </c>
      <c r="D500" t="str" cm="1">
        <f t="array" aca="1" ref="D500" ca="1">INDEX({"Dakar";"dakar";"DAKAR";"Dakar ";"Thiès";"TOUBA";"Kaolack";"Saint-Louis"},RANDBETWEEN(1,8))</f>
        <v>Saint-Louis</v>
      </c>
      <c r="E500" t="str" cm="1">
        <f t="array" aca="1" ref="E500" ca="1">INDEX({"Laptop";"Souris";"Clavier";"Ecran";"Casque";"Tablete";"Imprimante";"Disque dur"},RANDBETWEEN(1,8))</f>
        <v>Casque</v>
      </c>
      <c r="F500">
        <f t="shared" ca="1" si="38"/>
        <v>1</v>
      </c>
      <c r="G500" t="str">
        <f t="shared" ca="1" si="39"/>
        <v>386064€</v>
      </c>
    </row>
    <row r="501" spans="1:7" x14ac:dyDescent="0.45">
      <c r="A501" t="str">
        <f t="shared" si="35"/>
        <v>V0500</v>
      </c>
      <c r="B501" t="str">
        <f t="shared" ca="1" si="36"/>
        <v>24-09-26</v>
      </c>
      <c r="C501" t="str">
        <f t="shared" ca="1" si="37"/>
        <v xml:space="preserve">  Cheikh Ba</v>
      </c>
      <c r="D501" t="str" cm="1">
        <f t="array" aca="1" ref="D501" ca="1">INDEX({"Dakar";"dakar";"DAKAR";"Dakar ";"Thiès";"TOUBA";"Kaolack";"Saint-Louis"},RANDBETWEEN(1,8))</f>
        <v>Thiès</v>
      </c>
      <c r="E501" t="str" cm="1">
        <f t="array" aca="1" ref="E501" ca="1">INDEX({"Laptop";"Souris";"Clavier";"Ecran";"Casque";"Tablete";"Imprimante";"Disque dur"},RANDBETWEEN(1,8))</f>
        <v>Souris</v>
      </c>
      <c r="F501">
        <f t="shared" ca="1" si="38"/>
        <v>5</v>
      </c>
      <c r="G501" t="str">
        <f t="shared" ca="1" si="39"/>
        <v>183755 €</v>
      </c>
    </row>
    <row r="502" spans="1:7" x14ac:dyDescent="0.45">
      <c r="A502" t="str">
        <f>"V" &amp; TEXT(ROW()-1, "0000")</f>
        <v>V0501</v>
      </c>
      <c r="B502" t="str">
        <f ca="1">IF(RAND()&lt;0.3,
    TEXT(DATE(2026,9,RANDBETWEEN(1,30)),"jj/mm/aaaa"),
    IF(RAND()&lt;0.5,
        TEXT(DATE(2026,9,RANDBETWEEN(1,30)),"aaaa-mm-jj"),
        TEXT(DATE(2026,9,RANDBETWEEN(1,30)),"jj-mm-aa")
    )
)</f>
        <v>06-09-26</v>
      </c>
      <c r="C502" t="str">
        <f ca="1">CHOOSE(RANDBETWEEN(1,8),"Awa Ndiaye","Mamadou Diop","Fatou Fall","  Cheikh Ba","Mariama Sow","Ousmane Ndiaye  ","Sokhna Diallo","Abdoulaye Gueye")</f>
        <v>Awa Ndiaye</v>
      </c>
      <c r="D502" t="str" cm="1">
        <f t="array" aca="1" ref="D502" ca="1">INDEX({"Dakar";"dakar";"DAKAR";"Dakar ";"Thiès";"TOUBA";"Kaolack";"Saint-Louis"},RANDBETWEEN(1,8))</f>
        <v>Dakar</v>
      </c>
      <c r="E502" t="str" cm="1">
        <f t="array" aca="1" ref="E502" ca="1">INDEX({"Laptop";"Souris";"Clavier";"Ecran";"Casque";"Tablete";"Imprimante";"Disque dur"},RANDBETWEEN(1,8))</f>
        <v>Laptop</v>
      </c>
      <c r="F502" t="str">
        <f ca="1">IF(RAND()&lt;0.1, TEXT(RANDBETWEEN(1,10),"0"), RANDBETWEEN(1,10))</f>
        <v>6</v>
      </c>
      <c r="G502" t="str">
        <f ca="1">CHOOSE(RANDBETWEEN(1,4),
    TEXT(RANDBETWEEN(10000,500000),"0") &amp; " €",
    TEXT(RANDBETWEEN(10000,500000),"0") &amp; "€",
    TEXT(RANDBETWEEN(10000,500000),"0"),
    "€" &amp; TEXT(RANDBETWEEN(10000,500000),"0")
)</f>
        <v>446045 €</v>
      </c>
    </row>
    <row r="503" spans="1:7" x14ac:dyDescent="0.45">
      <c r="A503" t="str">
        <f t="shared" ref="A503:A533" si="40">"V" &amp; TEXT(ROW()-1, "0000")</f>
        <v>V0502</v>
      </c>
      <c r="B503" t="str">
        <f t="shared" ref="B503:B533" ca="1" si="41">IF(RAND()&lt;0.3,
    TEXT(DATE(2026,9,RANDBETWEEN(1,30)),"jj/mm/aaaa"),
    IF(RAND()&lt;0.5,
        TEXT(DATE(2026,9,RANDBETWEEN(1,30)),"aaaa-mm-jj"),
        TEXT(DATE(2026,9,RANDBETWEEN(1,30)),"jj-mm-aa")
    )
)</f>
        <v>2026-09-22</v>
      </c>
      <c r="C503" t="str">
        <f t="shared" ref="C503:C533" ca="1" si="42">CHOOSE(RANDBETWEEN(1,8),"Awa Ndiaye","Mamadou Diop","Fatou Fall","  Cheikh Ba","Mariama Sow","Ousmane Ndiaye  ","Sokhna Diallo","Abdoulaye Gueye")</f>
        <v>Abdoulaye Gueye</v>
      </c>
      <c r="D503" t="str" cm="1">
        <f t="array" aca="1" ref="D503" ca="1">INDEX({"Dakar";"dakar";"DAKAR";"Dakar ";"Thiès";"TOUBA";"Kaolack";"Saint-Louis"},RANDBETWEEN(1,8))</f>
        <v>Saint-Louis</v>
      </c>
      <c r="E503" t="str" cm="1">
        <f t="array" aca="1" ref="E503" ca="1">INDEX({"Laptop";"Souris";"Clavier";"Ecran";"Casque";"Tablete";"Imprimante";"Disque dur"},RANDBETWEEN(1,8))</f>
        <v>Ecran</v>
      </c>
      <c r="F503">
        <f t="shared" ref="F503:F533" ca="1" si="43">IF(RAND()&lt;0.1, TEXT(RANDBETWEEN(1,10),"0"), RANDBETWEEN(1,10))</f>
        <v>6</v>
      </c>
      <c r="G503" t="str">
        <f t="shared" ref="G503:G533" ca="1" si="44">CHOOSE(RANDBETWEEN(1,4),
    TEXT(RANDBETWEEN(10000,500000),"0") &amp; " €",
    TEXT(RANDBETWEEN(10000,500000),"0") &amp; "€",
    TEXT(RANDBETWEEN(10000,500000),"0"),
    "€" &amp; TEXT(RANDBETWEEN(10000,500000),"0")
)</f>
        <v>€318006</v>
      </c>
    </row>
    <row r="504" spans="1:7" x14ac:dyDescent="0.45">
      <c r="A504" t="str">
        <f t="shared" si="40"/>
        <v>V0503</v>
      </c>
      <c r="B504" t="str">
        <f t="shared" ca="1" si="41"/>
        <v>2026-09-23</v>
      </c>
      <c r="C504" t="str">
        <f t="shared" ca="1" si="42"/>
        <v>Mariama Sow</v>
      </c>
      <c r="D504" t="str" cm="1">
        <f t="array" aca="1" ref="D504" ca="1">INDEX({"Dakar";"dakar";"DAKAR";"Dakar ";"Thiès";"TOUBA";"Kaolack";"Saint-Louis"},RANDBETWEEN(1,8))</f>
        <v>DAKAR</v>
      </c>
      <c r="E504" t="str" cm="1">
        <f t="array" aca="1" ref="E504" ca="1">INDEX({"Laptop";"Souris";"Clavier";"Ecran";"Casque";"Tablete";"Imprimante";"Disque dur"},RANDBETWEEN(1,8))</f>
        <v>Disque dur</v>
      </c>
      <c r="F504">
        <f t="shared" ca="1" si="43"/>
        <v>10</v>
      </c>
      <c r="G504" t="str">
        <f t="shared" ca="1" si="44"/>
        <v>360488</v>
      </c>
    </row>
    <row r="505" spans="1:7" x14ac:dyDescent="0.45">
      <c r="A505" t="str">
        <f t="shared" si="40"/>
        <v>V0504</v>
      </c>
      <c r="B505" t="str">
        <f t="shared" ca="1" si="41"/>
        <v>2026-09-01</v>
      </c>
      <c r="C505" t="str">
        <f t="shared" ca="1" si="42"/>
        <v xml:space="preserve">  Cheikh Ba</v>
      </c>
      <c r="D505" t="str" cm="1">
        <f t="array" aca="1" ref="D505" ca="1">INDEX({"Dakar";"dakar";"DAKAR";"Dakar ";"Thiès";"TOUBA";"Kaolack";"Saint-Louis"},RANDBETWEEN(1,8))</f>
        <v>TOUBA</v>
      </c>
      <c r="E505" t="str" cm="1">
        <f t="array" aca="1" ref="E505" ca="1">INDEX({"Laptop";"Souris";"Clavier";"Ecran";"Casque";"Tablete";"Imprimante";"Disque dur"},RANDBETWEEN(1,8))</f>
        <v>Casque</v>
      </c>
      <c r="F505">
        <f t="shared" ca="1" si="43"/>
        <v>4</v>
      </c>
      <c r="G505" t="str">
        <f t="shared" ca="1" si="44"/>
        <v>168269</v>
      </c>
    </row>
    <row r="506" spans="1:7" x14ac:dyDescent="0.45">
      <c r="A506" t="str">
        <f t="shared" si="40"/>
        <v>V0505</v>
      </c>
      <c r="B506" t="str">
        <f t="shared" ca="1" si="41"/>
        <v>27/09/2026</v>
      </c>
      <c r="C506" t="str">
        <f t="shared" ca="1" si="42"/>
        <v>Fatou Fall</v>
      </c>
      <c r="D506" t="str" cm="1">
        <f t="array" aca="1" ref="D506" ca="1">INDEX({"Dakar";"dakar";"DAKAR";"Dakar ";"Thiès";"TOUBA";"Kaolack";"Saint-Louis"},RANDBETWEEN(1,8))</f>
        <v>TOUBA</v>
      </c>
      <c r="E506" t="str" cm="1">
        <f t="array" aca="1" ref="E506" ca="1">INDEX({"Laptop";"Souris";"Clavier";"Ecran";"Casque";"Tablete";"Imprimante";"Disque dur"},RANDBETWEEN(1,8))</f>
        <v>Disque dur</v>
      </c>
      <c r="F506">
        <f t="shared" ca="1" si="43"/>
        <v>2</v>
      </c>
      <c r="G506" t="str">
        <f t="shared" ca="1" si="44"/>
        <v>25903€</v>
      </c>
    </row>
    <row r="507" spans="1:7" x14ac:dyDescent="0.45">
      <c r="A507" t="str">
        <f t="shared" si="40"/>
        <v>V0506</v>
      </c>
      <c r="B507" t="str">
        <f t="shared" ca="1" si="41"/>
        <v>26-09-26</v>
      </c>
      <c r="C507" t="str">
        <f t="shared" ca="1" si="42"/>
        <v>Sokhna Diallo</v>
      </c>
      <c r="D507" t="str" cm="1">
        <f t="array" aca="1" ref="D507" ca="1">INDEX({"Dakar";"dakar";"DAKAR";"Dakar ";"Thiès";"TOUBA";"Kaolack";"Saint-Louis"},RANDBETWEEN(1,8))</f>
        <v xml:space="preserve">Dakar </v>
      </c>
      <c r="E507" t="str" cm="1">
        <f t="array" aca="1" ref="E507" ca="1">INDEX({"Laptop";"Souris";"Clavier";"Ecran";"Casque";"Tablete";"Imprimante";"Disque dur"},RANDBETWEEN(1,8))</f>
        <v>Tablete</v>
      </c>
      <c r="F507">
        <f t="shared" ca="1" si="43"/>
        <v>4</v>
      </c>
      <c r="G507" t="str">
        <f t="shared" ca="1" si="44"/>
        <v>€261366</v>
      </c>
    </row>
    <row r="508" spans="1:7" x14ac:dyDescent="0.45">
      <c r="A508" t="str">
        <f t="shared" si="40"/>
        <v>V0507</v>
      </c>
      <c r="B508" t="str">
        <f t="shared" ca="1" si="41"/>
        <v>2026-09-20</v>
      </c>
      <c r="C508" t="str">
        <f t="shared" ca="1" si="42"/>
        <v>Mamadou Diop</v>
      </c>
      <c r="D508" t="str" cm="1">
        <f t="array" aca="1" ref="D508" ca="1">INDEX({"Dakar";"dakar";"DAKAR";"Dakar ";"Thiès";"TOUBA";"Kaolack";"Saint-Louis"},RANDBETWEEN(1,8))</f>
        <v>dakar</v>
      </c>
      <c r="E508" t="str" cm="1">
        <f t="array" aca="1" ref="E508" ca="1">INDEX({"Laptop";"Souris";"Clavier";"Ecran";"Casque";"Tablete";"Imprimante";"Disque dur"},RANDBETWEEN(1,8))</f>
        <v>Clavier</v>
      </c>
      <c r="F508">
        <f t="shared" ca="1" si="43"/>
        <v>1</v>
      </c>
      <c r="G508" t="str">
        <f t="shared" ca="1" si="44"/>
        <v>326955€</v>
      </c>
    </row>
    <row r="509" spans="1:7" x14ac:dyDescent="0.45">
      <c r="A509" t="str">
        <f t="shared" si="40"/>
        <v>V0508</v>
      </c>
      <c r="B509" t="str">
        <f t="shared" ca="1" si="41"/>
        <v>19-09-26</v>
      </c>
      <c r="C509" t="str">
        <f t="shared" ca="1" si="42"/>
        <v>Abdoulaye Gueye</v>
      </c>
      <c r="D509" t="str" cm="1">
        <f t="array" aca="1" ref="D509" ca="1">INDEX({"Dakar";"dakar";"DAKAR";"Dakar ";"Thiès";"TOUBA";"Kaolack";"Saint-Louis"},RANDBETWEEN(1,8))</f>
        <v>Thiès</v>
      </c>
      <c r="E509" t="str" cm="1">
        <f t="array" aca="1" ref="E509" ca="1">INDEX({"Laptop";"Souris";"Clavier";"Ecran";"Casque";"Tablete";"Imprimante";"Disque dur"},RANDBETWEEN(1,8))</f>
        <v>Imprimante</v>
      </c>
      <c r="F509">
        <f t="shared" ca="1" si="43"/>
        <v>5</v>
      </c>
      <c r="G509" t="str">
        <f t="shared" ca="1" si="44"/>
        <v>300603</v>
      </c>
    </row>
    <row r="510" spans="1:7" x14ac:dyDescent="0.45">
      <c r="A510" t="str">
        <f t="shared" si="40"/>
        <v>V0509</v>
      </c>
      <c r="B510" t="str">
        <f t="shared" ca="1" si="41"/>
        <v>2026-09-29</v>
      </c>
      <c r="C510" t="str">
        <f t="shared" ca="1" si="42"/>
        <v>Awa Ndiaye</v>
      </c>
      <c r="D510" t="str" cm="1">
        <f t="array" aca="1" ref="D510" ca="1">INDEX({"Dakar";"dakar";"DAKAR";"Dakar ";"Thiès";"TOUBA";"Kaolack";"Saint-Louis"},RANDBETWEEN(1,8))</f>
        <v>dakar</v>
      </c>
      <c r="E510" t="str" cm="1">
        <f t="array" aca="1" ref="E510" ca="1">INDEX({"Laptop";"Souris";"Clavier";"Ecran";"Casque";"Tablete";"Imprimante";"Disque dur"},RANDBETWEEN(1,8))</f>
        <v>Casque</v>
      </c>
      <c r="F510">
        <f t="shared" ca="1" si="43"/>
        <v>3</v>
      </c>
      <c r="G510" t="str">
        <f t="shared" ca="1" si="44"/>
        <v>160951€</v>
      </c>
    </row>
    <row r="511" spans="1:7" x14ac:dyDescent="0.45">
      <c r="A511" t="str">
        <f t="shared" si="40"/>
        <v>V0510</v>
      </c>
      <c r="B511" t="str">
        <f t="shared" ca="1" si="41"/>
        <v>23-09-26</v>
      </c>
      <c r="C511" t="str">
        <f t="shared" ca="1" si="42"/>
        <v>Mariama Sow</v>
      </c>
      <c r="D511" t="str" cm="1">
        <f t="array" aca="1" ref="D511" ca="1">INDEX({"Dakar";"dakar";"DAKAR";"Dakar ";"Thiès";"TOUBA";"Kaolack";"Saint-Louis"},RANDBETWEEN(1,8))</f>
        <v>Thiès</v>
      </c>
      <c r="E511" t="str" cm="1">
        <f t="array" aca="1" ref="E511" ca="1">INDEX({"Laptop";"Souris";"Clavier";"Ecran";"Casque";"Tablete";"Imprimante";"Disque dur"},RANDBETWEEN(1,8))</f>
        <v>Disque dur</v>
      </c>
      <c r="F511" t="str">
        <f t="shared" ca="1" si="43"/>
        <v>1</v>
      </c>
      <c r="G511" t="str">
        <f t="shared" ca="1" si="44"/>
        <v>112307</v>
      </c>
    </row>
    <row r="512" spans="1:7" x14ac:dyDescent="0.45">
      <c r="A512" t="str">
        <f t="shared" si="40"/>
        <v>V0511</v>
      </c>
      <c r="B512" t="str">
        <f t="shared" ca="1" si="41"/>
        <v>29-09-26</v>
      </c>
      <c r="C512" t="str">
        <f t="shared" ca="1" si="42"/>
        <v>Mamadou Diop</v>
      </c>
      <c r="D512" t="str" cm="1">
        <f t="array" aca="1" ref="D512" ca="1">INDEX({"Dakar";"dakar";"DAKAR";"Dakar ";"Thiès";"TOUBA";"Kaolack";"Saint-Louis"},RANDBETWEEN(1,8))</f>
        <v>TOUBA</v>
      </c>
      <c r="E512" t="str" cm="1">
        <f t="array" aca="1" ref="E512" ca="1">INDEX({"Laptop";"Souris";"Clavier";"Ecran";"Casque";"Tablete";"Imprimante";"Disque dur"},RANDBETWEEN(1,8))</f>
        <v>Tablete</v>
      </c>
      <c r="F512">
        <f t="shared" ca="1" si="43"/>
        <v>6</v>
      </c>
      <c r="G512" t="str">
        <f t="shared" ca="1" si="44"/>
        <v>434810 €</v>
      </c>
    </row>
    <row r="513" spans="1:7" x14ac:dyDescent="0.45">
      <c r="A513" t="str">
        <f t="shared" si="40"/>
        <v>V0512</v>
      </c>
      <c r="B513" t="str">
        <f t="shared" ca="1" si="41"/>
        <v>10-09-26</v>
      </c>
      <c r="C513" t="str">
        <f t="shared" ca="1" si="42"/>
        <v>Mamadou Diop</v>
      </c>
      <c r="D513" t="str" cm="1">
        <f t="array" aca="1" ref="D513" ca="1">INDEX({"Dakar";"dakar";"DAKAR";"Dakar ";"Thiès";"TOUBA";"Kaolack";"Saint-Louis"},RANDBETWEEN(1,8))</f>
        <v xml:space="preserve">Dakar </v>
      </c>
      <c r="E513" t="str" cm="1">
        <f t="array" aca="1" ref="E513" ca="1">INDEX({"Laptop";"Souris";"Clavier";"Ecran";"Casque";"Tablete";"Imprimante";"Disque dur"},RANDBETWEEN(1,8))</f>
        <v>Clavier</v>
      </c>
      <c r="F513">
        <f t="shared" ca="1" si="43"/>
        <v>2</v>
      </c>
      <c r="G513" t="str">
        <f t="shared" ca="1" si="44"/>
        <v>109836 €</v>
      </c>
    </row>
    <row r="514" spans="1:7" x14ac:dyDescent="0.45">
      <c r="A514" t="str">
        <f t="shared" si="40"/>
        <v>V0513</v>
      </c>
      <c r="B514" t="str">
        <f t="shared" ca="1" si="41"/>
        <v>16/09/2026</v>
      </c>
      <c r="C514" t="str">
        <f t="shared" ca="1" si="42"/>
        <v>Fatou Fall</v>
      </c>
      <c r="D514" t="str" cm="1">
        <f t="array" aca="1" ref="D514" ca="1">INDEX({"Dakar";"dakar";"DAKAR";"Dakar ";"Thiès";"TOUBA";"Kaolack";"Saint-Louis"},RANDBETWEEN(1,8))</f>
        <v>Thiès</v>
      </c>
      <c r="E514" t="str" cm="1">
        <f t="array" aca="1" ref="E514" ca="1">INDEX({"Laptop";"Souris";"Clavier";"Ecran";"Casque";"Tablete";"Imprimante";"Disque dur"},RANDBETWEEN(1,8))</f>
        <v>Tablete</v>
      </c>
      <c r="F514">
        <f t="shared" ca="1" si="43"/>
        <v>7</v>
      </c>
      <c r="G514" t="str">
        <f t="shared" ca="1" si="44"/>
        <v>360699</v>
      </c>
    </row>
    <row r="515" spans="1:7" x14ac:dyDescent="0.45">
      <c r="A515" t="str">
        <f t="shared" si="40"/>
        <v>V0514</v>
      </c>
      <c r="B515" t="str">
        <f t="shared" ca="1" si="41"/>
        <v>2026-09-25</v>
      </c>
      <c r="C515" t="str">
        <f t="shared" ca="1" si="42"/>
        <v>Mariama Sow</v>
      </c>
      <c r="D515" t="str" cm="1">
        <f t="array" aca="1" ref="D515" ca="1">INDEX({"Dakar";"dakar";"DAKAR";"Dakar ";"Thiès";"TOUBA";"Kaolack";"Saint-Louis"},RANDBETWEEN(1,8))</f>
        <v>Saint-Louis</v>
      </c>
      <c r="E515" t="str" cm="1">
        <f t="array" aca="1" ref="E515" ca="1">INDEX({"Laptop";"Souris";"Clavier";"Ecran";"Casque";"Tablete";"Imprimante";"Disque dur"},RANDBETWEEN(1,8))</f>
        <v>Souris</v>
      </c>
      <c r="F515" t="str">
        <f t="shared" ca="1" si="43"/>
        <v>6</v>
      </c>
      <c r="G515" t="str">
        <f t="shared" ca="1" si="44"/>
        <v>490877</v>
      </c>
    </row>
    <row r="516" spans="1:7" x14ac:dyDescent="0.45">
      <c r="A516" t="str">
        <f t="shared" si="40"/>
        <v>V0515</v>
      </c>
      <c r="B516" t="str">
        <f t="shared" ca="1" si="41"/>
        <v>2026-09-15</v>
      </c>
      <c r="C516" t="str">
        <f t="shared" ca="1" si="42"/>
        <v xml:space="preserve">  Cheikh Ba</v>
      </c>
      <c r="D516" t="str" cm="1">
        <f t="array" aca="1" ref="D516" ca="1">INDEX({"Dakar";"dakar";"DAKAR";"Dakar ";"Thiès";"TOUBA";"Kaolack";"Saint-Louis"},RANDBETWEEN(1,8))</f>
        <v>Saint-Louis</v>
      </c>
      <c r="E516" t="str" cm="1">
        <f t="array" aca="1" ref="E516" ca="1">INDEX({"Laptop";"Souris";"Clavier";"Ecran";"Casque";"Tablete";"Imprimante";"Disque dur"},RANDBETWEEN(1,8))</f>
        <v>Disque dur</v>
      </c>
      <c r="F516">
        <f t="shared" ca="1" si="43"/>
        <v>1</v>
      </c>
      <c r="G516" t="str">
        <f t="shared" ca="1" si="44"/>
        <v>228328</v>
      </c>
    </row>
    <row r="517" spans="1:7" x14ac:dyDescent="0.45">
      <c r="A517" t="str">
        <f t="shared" si="40"/>
        <v>V0516</v>
      </c>
      <c r="B517" t="str">
        <f t="shared" ca="1" si="41"/>
        <v>27-09-26</v>
      </c>
      <c r="C517" t="str">
        <f t="shared" ca="1" si="42"/>
        <v>Mariama Sow</v>
      </c>
      <c r="D517" t="str" cm="1">
        <f t="array" aca="1" ref="D517" ca="1">INDEX({"Dakar";"dakar";"DAKAR";"Dakar ";"Thiès";"TOUBA";"Kaolack";"Saint-Louis"},RANDBETWEEN(1,8))</f>
        <v>dakar</v>
      </c>
      <c r="E517" t="str" cm="1">
        <f t="array" aca="1" ref="E517" ca="1">INDEX({"Laptop";"Souris";"Clavier";"Ecran";"Casque";"Tablete";"Imprimante";"Disque dur"},RANDBETWEEN(1,8))</f>
        <v>Laptop</v>
      </c>
      <c r="F517">
        <f t="shared" ca="1" si="43"/>
        <v>2</v>
      </c>
      <c r="G517" t="str">
        <f t="shared" ca="1" si="44"/>
        <v>159618</v>
      </c>
    </row>
    <row r="518" spans="1:7" x14ac:dyDescent="0.45">
      <c r="A518" t="str">
        <f t="shared" si="40"/>
        <v>V0517</v>
      </c>
      <c r="B518" t="str">
        <f t="shared" ca="1" si="41"/>
        <v>2026-09-17</v>
      </c>
      <c r="C518" t="str">
        <f t="shared" ca="1" si="42"/>
        <v xml:space="preserve">  Cheikh Ba</v>
      </c>
      <c r="D518" t="str" cm="1">
        <f t="array" aca="1" ref="D518" ca="1">INDEX({"Dakar";"dakar";"DAKAR";"Dakar ";"Thiès";"TOUBA";"Kaolack";"Saint-Louis"},RANDBETWEEN(1,8))</f>
        <v>Thiès</v>
      </c>
      <c r="E518" t="str" cm="1">
        <f t="array" aca="1" ref="E518" ca="1">INDEX({"Laptop";"Souris";"Clavier";"Ecran";"Casque";"Tablete";"Imprimante";"Disque dur"},RANDBETWEEN(1,8))</f>
        <v>Tablete</v>
      </c>
      <c r="F518">
        <f t="shared" ca="1" si="43"/>
        <v>10</v>
      </c>
      <c r="G518" t="str">
        <f t="shared" ca="1" si="44"/>
        <v>324703</v>
      </c>
    </row>
    <row r="519" spans="1:7" x14ac:dyDescent="0.45">
      <c r="A519" t="str">
        <f t="shared" si="40"/>
        <v>V0518</v>
      </c>
      <c r="B519" t="str">
        <f t="shared" ca="1" si="41"/>
        <v>09/09/2026</v>
      </c>
      <c r="C519" t="str">
        <f t="shared" ca="1" si="42"/>
        <v>Mamadou Diop</v>
      </c>
      <c r="D519" t="str" cm="1">
        <f t="array" aca="1" ref="D519" ca="1">INDEX({"Dakar";"dakar";"DAKAR";"Dakar ";"Thiès";"TOUBA";"Kaolack";"Saint-Louis"},RANDBETWEEN(1,8))</f>
        <v>Thiès</v>
      </c>
      <c r="E519" t="str" cm="1">
        <f t="array" aca="1" ref="E519" ca="1">INDEX({"Laptop";"Souris";"Clavier";"Ecran";"Casque";"Tablete";"Imprimante";"Disque dur"},RANDBETWEEN(1,8))</f>
        <v>Casque</v>
      </c>
      <c r="F519">
        <f t="shared" ca="1" si="43"/>
        <v>7</v>
      </c>
      <c r="G519" t="str">
        <f t="shared" ca="1" si="44"/>
        <v>€361292</v>
      </c>
    </row>
    <row r="520" spans="1:7" x14ac:dyDescent="0.45">
      <c r="A520" t="str">
        <f t="shared" si="40"/>
        <v>V0519</v>
      </c>
      <c r="B520" t="str">
        <f t="shared" ca="1" si="41"/>
        <v>2026-09-26</v>
      </c>
      <c r="C520" t="str">
        <f t="shared" ca="1" si="42"/>
        <v>Sokhna Diallo</v>
      </c>
      <c r="D520" t="str" cm="1">
        <f t="array" aca="1" ref="D520" ca="1">INDEX({"Dakar";"dakar";"DAKAR";"Dakar ";"Thiès";"TOUBA";"Kaolack";"Saint-Louis"},RANDBETWEEN(1,8))</f>
        <v>TOUBA</v>
      </c>
      <c r="E520" t="str" cm="1">
        <f t="array" aca="1" ref="E520" ca="1">INDEX({"Laptop";"Souris";"Clavier";"Ecran";"Casque";"Tablete";"Imprimante";"Disque dur"},RANDBETWEEN(1,8))</f>
        <v>Clavier</v>
      </c>
      <c r="F520">
        <f t="shared" ca="1" si="43"/>
        <v>2</v>
      </c>
      <c r="G520" t="str">
        <f t="shared" ca="1" si="44"/>
        <v>139443€</v>
      </c>
    </row>
    <row r="521" spans="1:7" x14ac:dyDescent="0.45">
      <c r="A521" t="str">
        <f t="shared" si="40"/>
        <v>V0520</v>
      </c>
      <c r="B521" t="str">
        <f t="shared" ca="1" si="41"/>
        <v>06/09/2026</v>
      </c>
      <c r="C521" t="str">
        <f t="shared" ca="1" si="42"/>
        <v xml:space="preserve">  Cheikh Ba</v>
      </c>
      <c r="D521" t="str" cm="1">
        <f t="array" aca="1" ref="D521" ca="1">INDEX({"Dakar";"dakar";"DAKAR";"Dakar ";"Thiès";"TOUBA";"Kaolack";"Saint-Louis"},RANDBETWEEN(1,8))</f>
        <v>Dakar</v>
      </c>
      <c r="E521" t="str" cm="1">
        <f t="array" aca="1" ref="E521" ca="1">INDEX({"Laptop";"Souris";"Clavier";"Ecran";"Casque";"Tablete";"Imprimante";"Disque dur"},RANDBETWEEN(1,8))</f>
        <v>Laptop</v>
      </c>
      <c r="F521">
        <f t="shared" ca="1" si="43"/>
        <v>4</v>
      </c>
      <c r="G521" t="str">
        <f t="shared" ca="1" si="44"/>
        <v>382834</v>
      </c>
    </row>
    <row r="522" spans="1:7" x14ac:dyDescent="0.45">
      <c r="A522" t="str">
        <f t="shared" si="40"/>
        <v>V0521</v>
      </c>
      <c r="B522" t="str">
        <f t="shared" ca="1" si="41"/>
        <v>12/09/2026</v>
      </c>
      <c r="C522" t="str">
        <f t="shared" ca="1" si="42"/>
        <v>Mariama Sow</v>
      </c>
      <c r="D522" t="str" cm="1">
        <f t="array" aca="1" ref="D522" ca="1">INDEX({"Dakar";"dakar";"DAKAR";"Dakar ";"Thiès";"TOUBA";"Kaolack";"Saint-Louis"},RANDBETWEEN(1,8))</f>
        <v>DAKAR</v>
      </c>
      <c r="E522" t="str" cm="1">
        <f t="array" aca="1" ref="E522" ca="1">INDEX({"Laptop";"Souris";"Clavier";"Ecran";"Casque";"Tablete";"Imprimante";"Disque dur"},RANDBETWEEN(1,8))</f>
        <v>Laptop</v>
      </c>
      <c r="F522">
        <f t="shared" ca="1" si="43"/>
        <v>7</v>
      </c>
      <c r="G522" t="str">
        <f t="shared" ca="1" si="44"/>
        <v>442583 €</v>
      </c>
    </row>
    <row r="523" spans="1:7" x14ac:dyDescent="0.45">
      <c r="A523" t="str">
        <f t="shared" si="40"/>
        <v>V0522</v>
      </c>
      <c r="B523" t="str">
        <f t="shared" ca="1" si="41"/>
        <v>07/09/2026</v>
      </c>
      <c r="C523" t="str">
        <f t="shared" ca="1" si="42"/>
        <v>Sokhna Diallo</v>
      </c>
      <c r="D523" t="str" cm="1">
        <f t="array" aca="1" ref="D523" ca="1">INDEX({"Dakar";"dakar";"DAKAR";"Dakar ";"Thiès";"TOUBA";"Kaolack";"Saint-Louis"},RANDBETWEEN(1,8))</f>
        <v>Dakar</v>
      </c>
      <c r="E523" t="str" cm="1">
        <f t="array" aca="1" ref="E523" ca="1">INDEX({"Laptop";"Souris";"Clavier";"Ecran";"Casque";"Tablete";"Imprimante";"Disque dur"},RANDBETWEEN(1,8))</f>
        <v>Souris</v>
      </c>
      <c r="F523">
        <f t="shared" ca="1" si="43"/>
        <v>9</v>
      </c>
      <c r="G523" t="str">
        <f t="shared" ca="1" si="44"/>
        <v>120841€</v>
      </c>
    </row>
    <row r="524" spans="1:7" x14ac:dyDescent="0.45">
      <c r="A524" t="str">
        <f t="shared" si="40"/>
        <v>V0523</v>
      </c>
      <c r="B524" t="str">
        <f t="shared" ca="1" si="41"/>
        <v>30-09-26</v>
      </c>
      <c r="C524" t="str">
        <f t="shared" ca="1" si="42"/>
        <v>Fatou Fall</v>
      </c>
      <c r="D524" t="str" cm="1">
        <f t="array" aca="1" ref="D524" ca="1">INDEX({"Dakar";"dakar";"DAKAR";"Dakar ";"Thiès";"TOUBA";"Kaolack";"Saint-Louis"},RANDBETWEEN(1,8))</f>
        <v>Thiès</v>
      </c>
      <c r="E524" t="str" cm="1">
        <f t="array" aca="1" ref="E524" ca="1">INDEX({"Laptop";"Souris";"Clavier";"Ecran";"Casque";"Tablete";"Imprimante";"Disque dur"},RANDBETWEEN(1,8))</f>
        <v>Laptop</v>
      </c>
      <c r="F524">
        <f t="shared" ca="1" si="43"/>
        <v>8</v>
      </c>
      <c r="G524" t="str">
        <f t="shared" ca="1" si="44"/>
        <v>445502€</v>
      </c>
    </row>
    <row r="525" spans="1:7" x14ac:dyDescent="0.45">
      <c r="A525" t="str">
        <f t="shared" si="40"/>
        <v>V0524</v>
      </c>
      <c r="B525" t="str">
        <f t="shared" ca="1" si="41"/>
        <v>2026-09-26</v>
      </c>
      <c r="C525" t="str">
        <f t="shared" ca="1" si="42"/>
        <v>Fatou Fall</v>
      </c>
      <c r="D525" t="str" cm="1">
        <f t="array" aca="1" ref="D525" ca="1">INDEX({"Dakar";"dakar";"DAKAR";"Dakar ";"Thiès";"TOUBA";"Kaolack";"Saint-Louis"},RANDBETWEEN(1,8))</f>
        <v>TOUBA</v>
      </c>
      <c r="E525" t="str" cm="1">
        <f t="array" aca="1" ref="E525" ca="1">INDEX({"Laptop";"Souris";"Clavier";"Ecran";"Casque";"Tablete";"Imprimante";"Disque dur"},RANDBETWEEN(1,8))</f>
        <v>Souris</v>
      </c>
      <c r="F525">
        <f t="shared" ca="1" si="43"/>
        <v>7</v>
      </c>
      <c r="G525" t="str">
        <f t="shared" ca="1" si="44"/>
        <v>€320084</v>
      </c>
    </row>
    <row r="526" spans="1:7" x14ac:dyDescent="0.45">
      <c r="A526" t="str">
        <f t="shared" si="40"/>
        <v>V0525</v>
      </c>
      <c r="B526" t="str">
        <f t="shared" ca="1" si="41"/>
        <v>12-09-26</v>
      </c>
      <c r="C526" t="str">
        <f t="shared" ca="1" si="42"/>
        <v>Fatou Fall</v>
      </c>
      <c r="D526" t="str" cm="1">
        <f t="array" aca="1" ref="D526" ca="1">INDEX({"Dakar";"dakar";"DAKAR";"Dakar ";"Thiès";"TOUBA";"Kaolack";"Saint-Louis"},RANDBETWEEN(1,8))</f>
        <v>Kaolack</v>
      </c>
      <c r="E526" t="str" cm="1">
        <f t="array" aca="1" ref="E526" ca="1">INDEX({"Laptop";"Souris";"Clavier";"Ecran";"Casque";"Tablete";"Imprimante";"Disque dur"},RANDBETWEEN(1,8))</f>
        <v>Ecran</v>
      </c>
      <c r="F526">
        <f t="shared" ca="1" si="43"/>
        <v>10</v>
      </c>
      <c r="G526" t="str">
        <f t="shared" ca="1" si="44"/>
        <v>128496€</v>
      </c>
    </row>
    <row r="527" spans="1:7" x14ac:dyDescent="0.45">
      <c r="A527" t="str">
        <f t="shared" si="40"/>
        <v>V0526</v>
      </c>
      <c r="B527" t="str">
        <f t="shared" ca="1" si="41"/>
        <v>2026-09-22</v>
      </c>
      <c r="C527" t="str">
        <f t="shared" ca="1" si="42"/>
        <v xml:space="preserve">  Cheikh Ba</v>
      </c>
      <c r="D527" t="str" cm="1">
        <f t="array" aca="1" ref="D527" ca="1">INDEX({"Dakar";"dakar";"DAKAR";"Dakar ";"Thiès";"TOUBA";"Kaolack";"Saint-Louis"},RANDBETWEEN(1,8))</f>
        <v>TOUBA</v>
      </c>
      <c r="E527" t="str" cm="1">
        <f t="array" aca="1" ref="E527" ca="1">INDEX({"Laptop";"Souris";"Clavier";"Ecran";"Casque";"Tablete";"Imprimante";"Disque dur"},RANDBETWEEN(1,8))</f>
        <v>Ecran</v>
      </c>
      <c r="F527">
        <f t="shared" ca="1" si="43"/>
        <v>8</v>
      </c>
      <c r="G527" t="str">
        <f t="shared" ca="1" si="44"/>
        <v>412972 €</v>
      </c>
    </row>
    <row r="528" spans="1:7" x14ac:dyDescent="0.45">
      <c r="A528" t="str">
        <f t="shared" si="40"/>
        <v>V0527</v>
      </c>
      <c r="B528" t="str">
        <f t="shared" ca="1" si="41"/>
        <v>2026-09-05</v>
      </c>
      <c r="C528" t="str">
        <f t="shared" ca="1" si="42"/>
        <v xml:space="preserve">Ousmane Ndiaye  </v>
      </c>
      <c r="D528" t="str" cm="1">
        <f t="array" aca="1" ref="D528" ca="1">INDEX({"Dakar";"dakar";"DAKAR";"Dakar ";"Thiès";"TOUBA";"Kaolack";"Saint-Louis"},RANDBETWEEN(1,8))</f>
        <v>Thiès</v>
      </c>
      <c r="E528" t="str" cm="1">
        <f t="array" aca="1" ref="E528" ca="1">INDEX({"Laptop";"Souris";"Clavier";"Ecran";"Casque";"Tablete";"Imprimante";"Disque dur"},RANDBETWEEN(1,8))</f>
        <v>Laptop</v>
      </c>
      <c r="F528">
        <f t="shared" ca="1" si="43"/>
        <v>6</v>
      </c>
      <c r="G528" t="str">
        <f t="shared" ca="1" si="44"/>
        <v>€362065</v>
      </c>
    </row>
    <row r="529" spans="1:7" x14ac:dyDescent="0.45">
      <c r="A529" t="str">
        <f t="shared" si="40"/>
        <v>V0528</v>
      </c>
      <c r="B529" t="str">
        <f t="shared" ca="1" si="41"/>
        <v>06/09/2026</v>
      </c>
      <c r="C529" t="str">
        <f t="shared" ca="1" si="42"/>
        <v>Mariama Sow</v>
      </c>
      <c r="D529" t="str" cm="1">
        <f t="array" aca="1" ref="D529" ca="1">INDEX({"Dakar";"dakar";"DAKAR";"Dakar ";"Thiès";"TOUBA";"Kaolack";"Saint-Louis"},RANDBETWEEN(1,8))</f>
        <v>DAKAR</v>
      </c>
      <c r="E529" t="str" cm="1">
        <f t="array" aca="1" ref="E529" ca="1">INDEX({"Laptop";"Souris";"Clavier";"Ecran";"Casque";"Tablete";"Imprimante";"Disque dur"},RANDBETWEEN(1,8))</f>
        <v>Clavier</v>
      </c>
      <c r="F529">
        <f t="shared" ca="1" si="43"/>
        <v>3</v>
      </c>
      <c r="G529" t="str">
        <f t="shared" ca="1" si="44"/>
        <v>353456 €</v>
      </c>
    </row>
    <row r="530" spans="1:7" x14ac:dyDescent="0.45">
      <c r="A530" t="str">
        <f t="shared" si="40"/>
        <v>V0529</v>
      </c>
      <c r="B530" t="str">
        <f t="shared" ca="1" si="41"/>
        <v>26-09-26</v>
      </c>
      <c r="C530" t="str">
        <f t="shared" ca="1" si="42"/>
        <v>Fatou Fall</v>
      </c>
      <c r="D530" t="str" cm="1">
        <f t="array" aca="1" ref="D530" ca="1">INDEX({"Dakar";"dakar";"DAKAR";"Dakar ";"Thiès";"TOUBA";"Kaolack";"Saint-Louis"},RANDBETWEEN(1,8))</f>
        <v>Thiès</v>
      </c>
      <c r="E530" t="str" cm="1">
        <f t="array" aca="1" ref="E530" ca="1">INDEX({"Laptop";"Souris";"Clavier";"Ecran";"Casque";"Tablete";"Imprimante";"Disque dur"},RANDBETWEEN(1,8))</f>
        <v>Laptop</v>
      </c>
      <c r="F530" t="str">
        <f t="shared" ca="1" si="43"/>
        <v>10</v>
      </c>
      <c r="G530" t="str">
        <f t="shared" ca="1" si="44"/>
        <v>43027</v>
      </c>
    </row>
    <row r="531" spans="1:7" x14ac:dyDescent="0.45">
      <c r="A531" t="str">
        <f t="shared" si="40"/>
        <v>V0530</v>
      </c>
      <c r="B531" t="str">
        <f t="shared" ca="1" si="41"/>
        <v>09-09-26</v>
      </c>
      <c r="C531" t="str">
        <f t="shared" ca="1" si="42"/>
        <v xml:space="preserve">  Cheikh Ba</v>
      </c>
      <c r="D531" t="str" cm="1">
        <f t="array" aca="1" ref="D531" ca="1">INDEX({"Dakar";"dakar";"DAKAR";"Dakar ";"Thiès";"TOUBA";"Kaolack";"Saint-Louis"},RANDBETWEEN(1,8))</f>
        <v>Kaolack</v>
      </c>
      <c r="E531" t="str" cm="1">
        <f t="array" aca="1" ref="E531" ca="1">INDEX({"Laptop";"Souris";"Clavier";"Ecran";"Casque";"Tablete";"Imprimante";"Disque dur"},RANDBETWEEN(1,8))</f>
        <v>Clavier</v>
      </c>
      <c r="F531">
        <f t="shared" ca="1" si="43"/>
        <v>5</v>
      </c>
      <c r="G531" t="str">
        <f t="shared" ca="1" si="44"/>
        <v>€356868</v>
      </c>
    </row>
    <row r="532" spans="1:7" x14ac:dyDescent="0.45">
      <c r="A532" t="str">
        <f t="shared" si="40"/>
        <v>V0531</v>
      </c>
      <c r="B532" t="str">
        <f t="shared" ca="1" si="41"/>
        <v>2026-09-22</v>
      </c>
      <c r="C532" t="str">
        <f t="shared" ca="1" si="42"/>
        <v>Fatou Fall</v>
      </c>
      <c r="D532" t="str" cm="1">
        <f t="array" aca="1" ref="D532" ca="1">INDEX({"Dakar";"dakar";"DAKAR";"Dakar ";"Thiès";"TOUBA";"Kaolack";"Saint-Louis"},RANDBETWEEN(1,8))</f>
        <v>DAKAR</v>
      </c>
      <c r="E532" t="str" cm="1">
        <f t="array" aca="1" ref="E532" ca="1">INDEX({"Laptop";"Souris";"Clavier";"Ecran";"Casque";"Tablete";"Imprimante";"Disque dur"},RANDBETWEEN(1,8))</f>
        <v>Ecran</v>
      </c>
      <c r="F532">
        <f t="shared" ca="1" si="43"/>
        <v>4</v>
      </c>
      <c r="G532" t="str">
        <f t="shared" ca="1" si="44"/>
        <v>253582€</v>
      </c>
    </row>
    <row r="533" spans="1:7" x14ac:dyDescent="0.45">
      <c r="A533" t="str">
        <f t="shared" si="40"/>
        <v>V0532</v>
      </c>
      <c r="B533" t="str">
        <f t="shared" ca="1" si="41"/>
        <v>13-09-26</v>
      </c>
      <c r="C533" t="str">
        <f t="shared" ca="1" si="42"/>
        <v>Fatou Fall</v>
      </c>
      <c r="D533" t="str" cm="1">
        <f t="array" aca="1" ref="D533" ca="1">INDEX({"Dakar";"dakar";"DAKAR";"Dakar ";"Thiès";"TOUBA";"Kaolack";"Saint-Louis"},RANDBETWEEN(1,8))</f>
        <v>Saint-Louis</v>
      </c>
      <c r="E533" t="str" cm="1">
        <f t="array" aca="1" ref="E533" ca="1">INDEX({"Laptop";"Souris";"Clavier";"Ecran";"Casque";"Tablete";"Imprimante";"Disque dur"},RANDBETWEEN(1,8))</f>
        <v>Souris</v>
      </c>
      <c r="F533">
        <f t="shared" ca="1" si="43"/>
        <v>2</v>
      </c>
      <c r="G533" t="str">
        <f t="shared" ca="1" si="44"/>
        <v>341387 €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3C65-A59E-4340-9C59-1BAB7A3D85A5}">
  <dimension ref="A1:I533"/>
  <sheetViews>
    <sheetView tabSelected="1" workbookViewId="0">
      <selection activeCell="J10" sqref="J10"/>
    </sheetView>
  </sheetViews>
  <sheetFormatPr baseColWidth="10" defaultRowHeight="14.25" x14ac:dyDescent="0.45"/>
  <cols>
    <col min="3" max="3" width="14.6640625" bestFit="1" customWidth="1"/>
    <col min="7" max="7" width="12.6640625" customWidth="1"/>
    <col min="9" max="9" width="11.73046875" style="3" bestFit="1" customWidth="1"/>
  </cols>
  <sheetData>
    <row r="1" spans="1:8" x14ac:dyDescent="0.45">
      <c r="A1" t="s">
        <v>12</v>
      </c>
      <c r="B1" t="s">
        <v>4</v>
      </c>
      <c r="C1" t="s">
        <v>13</v>
      </c>
      <c r="D1" t="s">
        <v>2</v>
      </c>
      <c r="E1" t="s">
        <v>14</v>
      </c>
      <c r="F1" s="4" t="s">
        <v>15</v>
      </c>
      <c r="G1" s="3" t="s">
        <v>16</v>
      </c>
    </row>
    <row r="2" spans="1:8" x14ac:dyDescent="0.45">
      <c r="A2" t="s">
        <v>17</v>
      </c>
      <c r="B2" s="1">
        <v>46281</v>
      </c>
      <c r="C2" t="s">
        <v>567</v>
      </c>
      <c r="D2" t="s">
        <v>576</v>
      </c>
      <c r="E2" t="s">
        <v>22</v>
      </c>
      <c r="F2" s="4">
        <v>2</v>
      </c>
      <c r="G2" s="3">
        <v>360066</v>
      </c>
      <c r="H2" s="1"/>
    </row>
    <row r="3" spans="1:8" x14ac:dyDescent="0.45">
      <c r="A3" t="s">
        <v>18</v>
      </c>
      <c r="B3" s="1">
        <v>46286</v>
      </c>
      <c r="C3" t="s">
        <v>568</v>
      </c>
      <c r="D3" t="s">
        <v>11</v>
      </c>
      <c r="E3" t="s">
        <v>569</v>
      </c>
      <c r="F3" s="4">
        <v>9</v>
      </c>
      <c r="G3" s="3">
        <v>22058</v>
      </c>
      <c r="H3" s="1"/>
    </row>
    <row r="4" spans="1:8" x14ac:dyDescent="0.45">
      <c r="A4" t="s">
        <v>20</v>
      </c>
      <c r="B4" s="1">
        <v>46280</v>
      </c>
      <c r="C4" t="s">
        <v>570</v>
      </c>
      <c r="D4" t="s">
        <v>11</v>
      </c>
      <c r="E4" t="s">
        <v>26</v>
      </c>
      <c r="F4" s="4">
        <v>7</v>
      </c>
      <c r="G4" s="3">
        <v>459171</v>
      </c>
      <c r="H4" s="1"/>
    </row>
    <row r="5" spans="1:8" x14ac:dyDescent="0.45">
      <c r="A5" t="s">
        <v>21</v>
      </c>
      <c r="B5" s="1">
        <v>46288</v>
      </c>
      <c r="C5" t="s">
        <v>570</v>
      </c>
      <c r="D5" t="s">
        <v>10</v>
      </c>
      <c r="E5" t="s">
        <v>38</v>
      </c>
      <c r="F5" s="4">
        <v>3</v>
      </c>
      <c r="G5" s="3">
        <v>154543</v>
      </c>
      <c r="H5" s="1"/>
    </row>
    <row r="6" spans="1:8" x14ac:dyDescent="0.45">
      <c r="A6" t="s">
        <v>23</v>
      </c>
      <c r="B6" s="1"/>
      <c r="C6" t="s">
        <v>570</v>
      </c>
      <c r="D6" t="s">
        <v>576</v>
      </c>
      <c r="E6" t="s">
        <v>49</v>
      </c>
      <c r="F6" s="4">
        <v>10</v>
      </c>
      <c r="G6" s="3">
        <v>484609</v>
      </c>
      <c r="H6" s="1"/>
    </row>
    <row r="7" spans="1:8" x14ac:dyDescent="0.45">
      <c r="A7" t="s">
        <v>25</v>
      </c>
      <c r="B7" s="1">
        <v>46270</v>
      </c>
      <c r="C7" t="s">
        <v>571</v>
      </c>
      <c r="D7" t="s">
        <v>10</v>
      </c>
      <c r="E7" t="s">
        <v>22</v>
      </c>
      <c r="F7" s="4">
        <v>4</v>
      </c>
      <c r="G7" s="3">
        <v>353014</v>
      </c>
      <c r="H7" s="1"/>
    </row>
    <row r="8" spans="1:8" x14ac:dyDescent="0.45">
      <c r="A8" t="s">
        <v>27</v>
      </c>
      <c r="B8" s="1">
        <v>46274</v>
      </c>
      <c r="C8" t="s">
        <v>570</v>
      </c>
      <c r="D8" t="s">
        <v>10</v>
      </c>
      <c r="E8" t="s">
        <v>569</v>
      </c>
      <c r="F8" s="4">
        <v>5</v>
      </c>
      <c r="G8" s="3">
        <v>455974</v>
      </c>
      <c r="H8" s="1"/>
    </row>
    <row r="9" spans="1:8" x14ac:dyDescent="0.45">
      <c r="A9" t="s">
        <v>28</v>
      </c>
      <c r="B9" s="1">
        <v>46273</v>
      </c>
      <c r="C9" t="s">
        <v>571</v>
      </c>
      <c r="D9" t="s">
        <v>10</v>
      </c>
      <c r="E9" t="s">
        <v>19</v>
      </c>
      <c r="F9" s="4">
        <v>9</v>
      </c>
      <c r="G9" s="3">
        <v>246264</v>
      </c>
      <c r="H9" s="1"/>
    </row>
    <row r="10" spans="1:8" x14ac:dyDescent="0.45">
      <c r="A10" t="s">
        <v>30</v>
      </c>
      <c r="B10" s="1">
        <v>46273</v>
      </c>
      <c r="C10" t="s">
        <v>568</v>
      </c>
      <c r="D10" t="s">
        <v>10</v>
      </c>
      <c r="E10" t="s">
        <v>24</v>
      </c>
      <c r="F10" s="4">
        <v>7</v>
      </c>
      <c r="G10" s="3">
        <v>156736</v>
      </c>
      <c r="H10" s="1"/>
    </row>
    <row r="11" spans="1:8" x14ac:dyDescent="0.45">
      <c r="A11" t="s">
        <v>32</v>
      </c>
      <c r="B11" s="1">
        <v>46285</v>
      </c>
      <c r="C11" t="s">
        <v>572</v>
      </c>
      <c r="D11" t="s">
        <v>11</v>
      </c>
      <c r="E11" t="s">
        <v>24</v>
      </c>
      <c r="F11" s="4">
        <v>9</v>
      </c>
      <c r="G11" s="3">
        <v>135585</v>
      </c>
      <c r="H11" s="1"/>
    </row>
    <row r="12" spans="1:8" x14ac:dyDescent="0.45">
      <c r="A12" t="s">
        <v>34</v>
      </c>
      <c r="B12" s="1">
        <v>46276</v>
      </c>
      <c r="C12" t="s">
        <v>572</v>
      </c>
      <c r="D12" t="s">
        <v>576</v>
      </c>
      <c r="E12" t="s">
        <v>38</v>
      </c>
      <c r="F12" s="4">
        <v>5</v>
      </c>
      <c r="G12" s="3">
        <v>492089</v>
      </c>
      <c r="H12" s="1"/>
    </row>
    <row r="13" spans="1:8" x14ac:dyDescent="0.45">
      <c r="A13" t="s">
        <v>35</v>
      </c>
      <c r="B13" s="1">
        <v>46277</v>
      </c>
      <c r="C13" t="s">
        <v>567</v>
      </c>
      <c r="D13" t="s">
        <v>11</v>
      </c>
      <c r="E13" t="s">
        <v>49</v>
      </c>
      <c r="F13" s="4">
        <v>1</v>
      </c>
      <c r="G13" s="3">
        <v>403727</v>
      </c>
      <c r="H13" s="1"/>
    </row>
    <row r="14" spans="1:8" x14ac:dyDescent="0.45">
      <c r="A14" t="s">
        <v>36</v>
      </c>
      <c r="B14" s="1">
        <v>46289</v>
      </c>
      <c r="C14" t="s">
        <v>570</v>
      </c>
      <c r="D14" t="s">
        <v>10</v>
      </c>
      <c r="E14" t="s">
        <v>31</v>
      </c>
      <c r="F14" s="4">
        <v>2</v>
      </c>
      <c r="G14" s="3">
        <v>312025</v>
      </c>
      <c r="H14" s="1"/>
    </row>
    <row r="15" spans="1:8" x14ac:dyDescent="0.45">
      <c r="A15" t="s">
        <v>37</v>
      </c>
      <c r="B15" s="1">
        <v>46292</v>
      </c>
      <c r="C15" t="s">
        <v>567</v>
      </c>
      <c r="D15" t="s">
        <v>10</v>
      </c>
      <c r="E15" t="s">
        <v>31</v>
      </c>
      <c r="F15" s="4">
        <v>7</v>
      </c>
      <c r="G15" s="3">
        <v>142894</v>
      </c>
      <c r="H15" s="1"/>
    </row>
    <row r="16" spans="1:8" x14ac:dyDescent="0.45">
      <c r="A16" t="s">
        <v>39</v>
      </c>
      <c r="B16" s="1">
        <v>46285</v>
      </c>
      <c r="C16" t="s">
        <v>572</v>
      </c>
      <c r="D16" t="s">
        <v>10</v>
      </c>
      <c r="E16" t="s">
        <v>24</v>
      </c>
      <c r="F16" s="4">
        <v>4</v>
      </c>
      <c r="G16" s="3">
        <v>435351</v>
      </c>
      <c r="H16" s="1"/>
    </row>
    <row r="17" spans="1:8" x14ac:dyDescent="0.45">
      <c r="A17" t="s">
        <v>40</v>
      </c>
      <c r="B17" s="1">
        <v>46268</v>
      </c>
      <c r="C17" t="s">
        <v>573</v>
      </c>
      <c r="D17" t="s">
        <v>10</v>
      </c>
      <c r="E17" t="s">
        <v>26</v>
      </c>
      <c r="F17" s="4">
        <v>1</v>
      </c>
      <c r="G17" s="3">
        <v>239064</v>
      </c>
      <c r="H17" s="1"/>
    </row>
    <row r="18" spans="1:8" x14ac:dyDescent="0.45">
      <c r="A18" t="s">
        <v>41</v>
      </c>
      <c r="B18" s="1">
        <v>46290</v>
      </c>
      <c r="C18" t="s">
        <v>571</v>
      </c>
      <c r="D18" t="s">
        <v>10</v>
      </c>
      <c r="E18" t="s">
        <v>49</v>
      </c>
      <c r="F18" s="4">
        <v>9</v>
      </c>
      <c r="G18" s="3">
        <v>427813</v>
      </c>
      <c r="H18" s="1"/>
    </row>
    <row r="19" spans="1:8" x14ac:dyDescent="0.45">
      <c r="A19" t="s">
        <v>42</v>
      </c>
      <c r="B19" s="1">
        <v>46292</v>
      </c>
      <c r="C19" t="s">
        <v>567</v>
      </c>
      <c r="D19" t="s">
        <v>10</v>
      </c>
      <c r="E19" t="s">
        <v>24</v>
      </c>
      <c r="F19" s="4">
        <v>7</v>
      </c>
      <c r="G19" s="3">
        <v>402906</v>
      </c>
      <c r="H19" s="1"/>
    </row>
    <row r="20" spans="1:8" x14ac:dyDescent="0.45">
      <c r="A20" t="s">
        <v>43</v>
      </c>
      <c r="B20" s="1">
        <v>46282</v>
      </c>
      <c r="C20" t="s">
        <v>568</v>
      </c>
      <c r="D20" t="s">
        <v>10</v>
      </c>
      <c r="E20" t="s">
        <v>19</v>
      </c>
      <c r="F20" s="4">
        <v>9</v>
      </c>
      <c r="G20" s="3">
        <v>255206</v>
      </c>
      <c r="H20" s="1"/>
    </row>
    <row r="21" spans="1:8" x14ac:dyDescent="0.45">
      <c r="A21" t="s">
        <v>44</v>
      </c>
      <c r="B21" s="1">
        <v>46282</v>
      </c>
      <c r="C21" t="s">
        <v>568</v>
      </c>
      <c r="D21" t="s">
        <v>33</v>
      </c>
      <c r="E21" t="s">
        <v>19</v>
      </c>
      <c r="F21" s="4">
        <v>8</v>
      </c>
      <c r="G21" s="3">
        <v>440770</v>
      </c>
      <c r="H21" s="1"/>
    </row>
    <row r="22" spans="1:8" x14ac:dyDescent="0.45">
      <c r="A22" t="s">
        <v>45</v>
      </c>
      <c r="B22" s="1">
        <v>46294</v>
      </c>
      <c r="C22" t="s">
        <v>572</v>
      </c>
      <c r="D22" t="s">
        <v>576</v>
      </c>
      <c r="E22" t="s">
        <v>49</v>
      </c>
      <c r="F22" s="4">
        <v>4</v>
      </c>
      <c r="G22" s="3">
        <v>186881</v>
      </c>
      <c r="H22" s="1"/>
    </row>
    <row r="23" spans="1:8" x14ac:dyDescent="0.45">
      <c r="A23" t="s">
        <v>46</v>
      </c>
      <c r="B23" s="1">
        <v>46273</v>
      </c>
      <c r="C23" t="s">
        <v>572</v>
      </c>
      <c r="D23" t="s">
        <v>577</v>
      </c>
      <c r="E23" t="s">
        <v>569</v>
      </c>
      <c r="F23" s="4">
        <v>10</v>
      </c>
      <c r="G23" s="3">
        <v>43913</v>
      </c>
      <c r="H23" s="1"/>
    </row>
    <row r="24" spans="1:8" x14ac:dyDescent="0.45">
      <c r="A24" t="s">
        <v>47</v>
      </c>
      <c r="B24" s="1">
        <v>46292</v>
      </c>
      <c r="C24" t="s">
        <v>574</v>
      </c>
      <c r="D24" t="s">
        <v>33</v>
      </c>
      <c r="E24" t="s">
        <v>22</v>
      </c>
      <c r="F24" s="4">
        <v>2</v>
      </c>
      <c r="G24" s="3">
        <v>311486</v>
      </c>
      <c r="H24" s="1"/>
    </row>
    <row r="25" spans="1:8" x14ac:dyDescent="0.45">
      <c r="A25" t="s">
        <v>48</v>
      </c>
      <c r="B25" s="1">
        <v>46283</v>
      </c>
      <c r="C25" t="s">
        <v>571</v>
      </c>
      <c r="D25" t="s">
        <v>576</v>
      </c>
      <c r="E25" t="s">
        <v>22</v>
      </c>
      <c r="F25" s="4">
        <v>10</v>
      </c>
      <c r="G25" s="3">
        <v>175808</v>
      </c>
      <c r="H25" s="1"/>
    </row>
    <row r="26" spans="1:8" x14ac:dyDescent="0.45">
      <c r="A26" t="s">
        <v>50</v>
      </c>
      <c r="B26" s="1">
        <v>46289</v>
      </c>
      <c r="C26" t="s">
        <v>570</v>
      </c>
      <c r="D26" t="s">
        <v>10</v>
      </c>
      <c r="E26" t="s">
        <v>31</v>
      </c>
      <c r="F26" s="4">
        <v>7</v>
      </c>
      <c r="G26" s="3">
        <v>470234</v>
      </c>
      <c r="H26" s="1"/>
    </row>
    <row r="27" spans="1:8" x14ac:dyDescent="0.45">
      <c r="A27" t="s">
        <v>51</v>
      </c>
      <c r="B27" s="1">
        <v>46294</v>
      </c>
      <c r="C27" t="s">
        <v>571</v>
      </c>
      <c r="D27" t="s">
        <v>577</v>
      </c>
      <c r="E27" t="s">
        <v>38</v>
      </c>
      <c r="F27" s="4" t="s">
        <v>101</v>
      </c>
      <c r="G27" s="3">
        <v>221766</v>
      </c>
      <c r="H27" s="1"/>
    </row>
    <row r="28" spans="1:8" x14ac:dyDescent="0.45">
      <c r="A28" t="s">
        <v>52</v>
      </c>
      <c r="B28" s="1">
        <v>46294</v>
      </c>
      <c r="C28" t="s">
        <v>571</v>
      </c>
      <c r="D28" t="s">
        <v>577</v>
      </c>
      <c r="E28" t="s">
        <v>569</v>
      </c>
      <c r="F28" s="4">
        <v>3</v>
      </c>
      <c r="G28" s="3">
        <v>335724</v>
      </c>
      <c r="H28" s="1"/>
    </row>
    <row r="29" spans="1:8" x14ac:dyDescent="0.45">
      <c r="A29" t="s">
        <v>53</v>
      </c>
      <c r="B29" s="1">
        <v>46273</v>
      </c>
      <c r="C29" t="s">
        <v>571</v>
      </c>
      <c r="D29" t="s">
        <v>10</v>
      </c>
      <c r="E29" t="s">
        <v>569</v>
      </c>
      <c r="F29" s="4">
        <v>10</v>
      </c>
      <c r="G29" s="3">
        <v>83832</v>
      </c>
      <c r="H29" s="1"/>
    </row>
    <row r="30" spans="1:8" x14ac:dyDescent="0.45">
      <c r="A30" t="s">
        <v>54</v>
      </c>
      <c r="B30" s="1">
        <v>46270</v>
      </c>
      <c r="C30" t="s">
        <v>574</v>
      </c>
      <c r="D30" t="s">
        <v>33</v>
      </c>
      <c r="E30" t="s">
        <v>38</v>
      </c>
      <c r="F30" s="4">
        <v>6</v>
      </c>
      <c r="G30" s="3">
        <v>488559</v>
      </c>
      <c r="H30" s="1"/>
    </row>
    <row r="31" spans="1:8" x14ac:dyDescent="0.45">
      <c r="A31" t="s">
        <v>55</v>
      </c>
      <c r="B31" s="1">
        <v>46290</v>
      </c>
      <c r="C31" t="s">
        <v>573</v>
      </c>
      <c r="D31" t="s">
        <v>11</v>
      </c>
      <c r="E31" t="s">
        <v>38</v>
      </c>
      <c r="F31" s="4">
        <v>2</v>
      </c>
      <c r="G31" s="3">
        <v>17925</v>
      </c>
      <c r="H31" s="1"/>
    </row>
    <row r="32" spans="1:8" x14ac:dyDescent="0.45">
      <c r="A32" t="s">
        <v>56</v>
      </c>
      <c r="B32" s="1">
        <v>46267</v>
      </c>
      <c r="C32" t="s">
        <v>568</v>
      </c>
      <c r="D32" t="s">
        <v>33</v>
      </c>
      <c r="E32" t="s">
        <v>19</v>
      </c>
      <c r="F32" s="4">
        <v>10</v>
      </c>
      <c r="G32" s="3">
        <v>388951</v>
      </c>
      <c r="H32" s="1"/>
    </row>
    <row r="33" spans="1:8" x14ac:dyDescent="0.45">
      <c r="A33" t="s">
        <v>57</v>
      </c>
      <c r="B33" s="1">
        <v>46284</v>
      </c>
      <c r="C33" t="s">
        <v>567</v>
      </c>
      <c r="D33" t="s">
        <v>10</v>
      </c>
      <c r="E33" t="s">
        <v>22</v>
      </c>
      <c r="F33" s="4">
        <v>1</v>
      </c>
      <c r="G33" s="3">
        <v>80066</v>
      </c>
      <c r="H33" s="1"/>
    </row>
    <row r="34" spans="1:8" x14ac:dyDescent="0.45">
      <c r="A34" t="s">
        <v>58</v>
      </c>
      <c r="B34" s="1">
        <v>46284</v>
      </c>
      <c r="C34" t="s">
        <v>572</v>
      </c>
      <c r="D34" t="s">
        <v>10</v>
      </c>
      <c r="E34" t="s">
        <v>19</v>
      </c>
      <c r="F34" s="4" t="s">
        <v>255</v>
      </c>
      <c r="G34" s="3">
        <v>28160</v>
      </c>
      <c r="H34" s="1"/>
    </row>
    <row r="35" spans="1:8" x14ac:dyDescent="0.45">
      <c r="A35" t="s">
        <v>59</v>
      </c>
      <c r="B35" s="1">
        <v>46295</v>
      </c>
      <c r="C35" t="s">
        <v>567</v>
      </c>
      <c r="D35" t="s">
        <v>576</v>
      </c>
      <c r="E35" t="s">
        <v>19</v>
      </c>
      <c r="F35" s="4">
        <v>2</v>
      </c>
      <c r="G35" s="3">
        <v>482861</v>
      </c>
      <c r="H35" s="1"/>
    </row>
    <row r="36" spans="1:8" x14ac:dyDescent="0.45">
      <c r="A36" t="s">
        <v>60</v>
      </c>
      <c r="B36" s="1">
        <v>46277</v>
      </c>
      <c r="C36" t="s">
        <v>572</v>
      </c>
      <c r="D36" t="s">
        <v>10</v>
      </c>
      <c r="E36" t="s">
        <v>22</v>
      </c>
      <c r="F36" s="4">
        <v>1</v>
      </c>
      <c r="G36" s="3">
        <v>47699</v>
      </c>
      <c r="H36" s="1"/>
    </row>
    <row r="37" spans="1:8" x14ac:dyDescent="0.45">
      <c r="A37" t="s">
        <v>61</v>
      </c>
      <c r="B37" s="1">
        <v>46286</v>
      </c>
      <c r="C37" t="s">
        <v>570</v>
      </c>
      <c r="D37" t="s">
        <v>33</v>
      </c>
      <c r="E37" t="s">
        <v>24</v>
      </c>
      <c r="F37" s="4">
        <v>2</v>
      </c>
      <c r="G37" s="3">
        <v>277547</v>
      </c>
      <c r="H37" s="1"/>
    </row>
    <row r="38" spans="1:8" x14ac:dyDescent="0.45">
      <c r="A38" t="s">
        <v>62</v>
      </c>
      <c r="B38" s="1">
        <v>46292</v>
      </c>
      <c r="C38" t="s">
        <v>571</v>
      </c>
      <c r="D38" t="s">
        <v>10</v>
      </c>
      <c r="E38" t="s">
        <v>569</v>
      </c>
      <c r="F38" s="4">
        <v>3</v>
      </c>
      <c r="G38" s="3">
        <v>432394</v>
      </c>
      <c r="H38" s="1"/>
    </row>
    <row r="39" spans="1:8" x14ac:dyDescent="0.45">
      <c r="A39" t="s">
        <v>63</v>
      </c>
      <c r="B39" s="1">
        <v>46287</v>
      </c>
      <c r="C39" t="s">
        <v>571</v>
      </c>
      <c r="D39" t="s">
        <v>10</v>
      </c>
      <c r="E39" t="s">
        <v>22</v>
      </c>
      <c r="F39" s="4">
        <v>10</v>
      </c>
      <c r="G39" s="3">
        <v>419812</v>
      </c>
      <c r="H39" s="1"/>
    </row>
    <row r="40" spans="1:8" x14ac:dyDescent="0.45">
      <c r="A40" t="s">
        <v>64</v>
      </c>
      <c r="B40" s="1">
        <v>46279</v>
      </c>
      <c r="C40" t="s">
        <v>570</v>
      </c>
      <c r="D40" t="s">
        <v>576</v>
      </c>
      <c r="E40" t="s">
        <v>24</v>
      </c>
      <c r="F40" s="4">
        <v>2</v>
      </c>
      <c r="G40" s="3">
        <v>182347</v>
      </c>
      <c r="H40" s="1"/>
    </row>
    <row r="41" spans="1:8" x14ac:dyDescent="0.45">
      <c r="A41" t="s">
        <v>65</v>
      </c>
      <c r="B41" s="1">
        <v>46292</v>
      </c>
      <c r="C41" t="s">
        <v>568</v>
      </c>
      <c r="D41" t="s">
        <v>10</v>
      </c>
      <c r="E41" t="s">
        <v>569</v>
      </c>
      <c r="F41" s="4">
        <v>6</v>
      </c>
      <c r="G41" s="3">
        <v>342205</v>
      </c>
      <c r="H41" s="1"/>
    </row>
    <row r="42" spans="1:8" x14ac:dyDescent="0.45">
      <c r="A42" t="s">
        <v>66</v>
      </c>
      <c r="B42" s="1">
        <v>46280</v>
      </c>
      <c r="C42" t="s">
        <v>574</v>
      </c>
      <c r="D42" t="s">
        <v>577</v>
      </c>
      <c r="E42" t="s">
        <v>22</v>
      </c>
      <c r="F42" s="4">
        <v>2</v>
      </c>
      <c r="G42" s="3">
        <v>326375</v>
      </c>
      <c r="H42" s="1"/>
    </row>
    <row r="43" spans="1:8" x14ac:dyDescent="0.45">
      <c r="A43" t="s">
        <v>67</v>
      </c>
      <c r="B43" s="1">
        <v>46266</v>
      </c>
      <c r="C43" t="s">
        <v>572</v>
      </c>
      <c r="D43" t="s">
        <v>10</v>
      </c>
      <c r="E43" t="s">
        <v>49</v>
      </c>
      <c r="F43" s="4">
        <v>3</v>
      </c>
      <c r="G43" s="3">
        <v>424607</v>
      </c>
      <c r="H43" s="1"/>
    </row>
    <row r="44" spans="1:8" x14ac:dyDescent="0.45">
      <c r="A44" t="s">
        <v>68</v>
      </c>
      <c r="B44" s="1">
        <v>46281</v>
      </c>
      <c r="C44" t="s">
        <v>568</v>
      </c>
      <c r="D44" t="s">
        <v>10</v>
      </c>
      <c r="E44" t="s">
        <v>19</v>
      </c>
      <c r="F44" s="4">
        <v>2</v>
      </c>
      <c r="G44" s="3">
        <v>185037</v>
      </c>
      <c r="H44" s="1"/>
    </row>
    <row r="45" spans="1:8" x14ac:dyDescent="0.45">
      <c r="A45" t="s">
        <v>69</v>
      </c>
      <c r="B45" s="1">
        <v>46272</v>
      </c>
      <c r="C45" t="s">
        <v>573</v>
      </c>
      <c r="D45" t="s">
        <v>576</v>
      </c>
      <c r="E45" t="s">
        <v>24</v>
      </c>
      <c r="F45" s="4">
        <v>6</v>
      </c>
      <c r="G45" s="3">
        <v>404644</v>
      </c>
      <c r="H45" s="1"/>
    </row>
    <row r="46" spans="1:8" x14ac:dyDescent="0.45">
      <c r="A46" t="s">
        <v>70</v>
      </c>
      <c r="B46" s="1">
        <v>46292</v>
      </c>
      <c r="C46" t="s">
        <v>570</v>
      </c>
      <c r="D46" t="s">
        <v>33</v>
      </c>
      <c r="E46" t="s">
        <v>22</v>
      </c>
      <c r="F46" s="4">
        <v>7</v>
      </c>
      <c r="G46" s="3">
        <v>106176</v>
      </c>
      <c r="H46" s="1"/>
    </row>
    <row r="47" spans="1:8" x14ac:dyDescent="0.45">
      <c r="A47" t="s">
        <v>71</v>
      </c>
      <c r="B47" s="1">
        <v>46292</v>
      </c>
      <c r="C47" t="s">
        <v>568</v>
      </c>
      <c r="D47" t="s">
        <v>10</v>
      </c>
      <c r="E47" t="s">
        <v>31</v>
      </c>
      <c r="F47" s="4">
        <v>7</v>
      </c>
      <c r="G47" s="3">
        <v>438671</v>
      </c>
      <c r="H47" s="1"/>
    </row>
    <row r="48" spans="1:8" x14ac:dyDescent="0.45">
      <c r="A48" t="s">
        <v>72</v>
      </c>
      <c r="B48" s="1">
        <v>46276</v>
      </c>
      <c r="C48" t="s">
        <v>568</v>
      </c>
      <c r="D48" t="s">
        <v>10</v>
      </c>
      <c r="E48" t="s">
        <v>31</v>
      </c>
      <c r="F48" s="4" t="s">
        <v>239</v>
      </c>
      <c r="G48" s="3">
        <v>498714</v>
      </c>
      <c r="H48" s="1"/>
    </row>
    <row r="49" spans="1:8" x14ac:dyDescent="0.45">
      <c r="A49" t="s">
        <v>73</v>
      </c>
      <c r="B49" s="1">
        <v>46267</v>
      </c>
      <c r="C49" t="s">
        <v>570</v>
      </c>
      <c r="D49" t="s">
        <v>10</v>
      </c>
      <c r="E49" t="s">
        <v>38</v>
      </c>
      <c r="F49" s="4">
        <v>1</v>
      </c>
      <c r="G49" s="3">
        <v>461214</v>
      </c>
      <c r="H49" s="1"/>
    </row>
    <row r="50" spans="1:8" x14ac:dyDescent="0.45">
      <c r="A50" t="s">
        <v>74</v>
      </c>
      <c r="B50" s="1">
        <v>46276</v>
      </c>
      <c r="C50" t="s">
        <v>574</v>
      </c>
      <c r="D50" t="s">
        <v>33</v>
      </c>
      <c r="E50" t="s">
        <v>24</v>
      </c>
      <c r="F50" s="4">
        <v>4</v>
      </c>
      <c r="G50" s="3">
        <v>113535</v>
      </c>
      <c r="H50" s="1"/>
    </row>
    <row r="51" spans="1:8" x14ac:dyDescent="0.45">
      <c r="A51" t="s">
        <v>75</v>
      </c>
      <c r="B51" s="1">
        <v>46294</v>
      </c>
      <c r="C51" t="s">
        <v>574</v>
      </c>
      <c r="D51" t="s">
        <v>33</v>
      </c>
      <c r="E51" t="s">
        <v>38</v>
      </c>
      <c r="F51" s="4">
        <v>8</v>
      </c>
      <c r="G51" s="3">
        <v>81411</v>
      </c>
      <c r="H51" s="1"/>
    </row>
    <row r="52" spans="1:8" x14ac:dyDescent="0.45">
      <c r="A52" t="s">
        <v>76</v>
      </c>
      <c r="B52" s="1">
        <v>46266</v>
      </c>
      <c r="C52" t="s">
        <v>573</v>
      </c>
      <c r="D52" t="s">
        <v>10</v>
      </c>
      <c r="E52" t="s">
        <v>19</v>
      </c>
      <c r="F52" s="4">
        <v>9</v>
      </c>
      <c r="G52" s="3">
        <v>448826</v>
      </c>
      <c r="H52" s="1"/>
    </row>
    <row r="53" spans="1:8" x14ac:dyDescent="0.45">
      <c r="A53" t="s">
        <v>77</v>
      </c>
      <c r="B53" s="1">
        <v>46291</v>
      </c>
      <c r="C53" t="s">
        <v>567</v>
      </c>
      <c r="D53" t="s">
        <v>10</v>
      </c>
      <c r="E53" t="s">
        <v>38</v>
      </c>
      <c r="F53" s="4">
        <v>7</v>
      </c>
      <c r="G53" s="3">
        <v>293940</v>
      </c>
      <c r="H53" s="1"/>
    </row>
    <row r="54" spans="1:8" x14ac:dyDescent="0.45">
      <c r="A54" t="s">
        <v>78</v>
      </c>
      <c r="B54" s="1">
        <v>46286</v>
      </c>
      <c r="C54" t="s">
        <v>570</v>
      </c>
      <c r="D54" t="s">
        <v>10</v>
      </c>
      <c r="E54" t="s">
        <v>26</v>
      </c>
      <c r="F54" s="4">
        <v>6</v>
      </c>
      <c r="G54" s="3">
        <v>363032</v>
      </c>
      <c r="H54" s="1"/>
    </row>
    <row r="55" spans="1:8" x14ac:dyDescent="0.45">
      <c r="A55" t="s">
        <v>79</v>
      </c>
      <c r="B55" s="1">
        <v>46274</v>
      </c>
      <c r="C55" t="s">
        <v>571</v>
      </c>
      <c r="D55" t="s">
        <v>10</v>
      </c>
      <c r="E55" t="s">
        <v>31</v>
      </c>
      <c r="F55" s="4" t="s">
        <v>29</v>
      </c>
      <c r="G55" s="3">
        <v>26728</v>
      </c>
      <c r="H55" s="1"/>
    </row>
    <row r="56" spans="1:8" x14ac:dyDescent="0.45">
      <c r="A56" t="s">
        <v>80</v>
      </c>
      <c r="B56" s="1">
        <v>46292</v>
      </c>
      <c r="C56" t="s">
        <v>573</v>
      </c>
      <c r="D56" t="s">
        <v>33</v>
      </c>
      <c r="E56" t="s">
        <v>19</v>
      </c>
      <c r="F56" s="4" t="s">
        <v>164</v>
      </c>
      <c r="G56" s="3">
        <v>49784</v>
      </c>
      <c r="H56" s="1"/>
    </row>
    <row r="57" spans="1:8" x14ac:dyDescent="0.45">
      <c r="A57" t="s">
        <v>81</v>
      </c>
      <c r="B57" s="1">
        <v>46277</v>
      </c>
      <c r="C57" t="s">
        <v>568</v>
      </c>
      <c r="D57" t="s">
        <v>10</v>
      </c>
      <c r="E57" t="s">
        <v>38</v>
      </c>
      <c r="F57" s="4" t="s">
        <v>101</v>
      </c>
      <c r="G57" s="3">
        <v>394410</v>
      </c>
      <c r="H57" s="1"/>
    </row>
    <row r="58" spans="1:8" x14ac:dyDescent="0.45">
      <c r="A58" t="s">
        <v>82</v>
      </c>
      <c r="B58" s="1">
        <v>46275</v>
      </c>
      <c r="C58" t="s">
        <v>575</v>
      </c>
      <c r="D58" t="s">
        <v>576</v>
      </c>
      <c r="E58" t="s">
        <v>24</v>
      </c>
      <c r="F58" s="4">
        <v>7</v>
      </c>
      <c r="G58" s="3">
        <v>355934</v>
      </c>
      <c r="H58" s="1"/>
    </row>
    <row r="59" spans="1:8" x14ac:dyDescent="0.45">
      <c r="A59" t="s">
        <v>83</v>
      </c>
      <c r="B59" s="1">
        <v>46288</v>
      </c>
      <c r="C59" t="s">
        <v>571</v>
      </c>
      <c r="D59" t="s">
        <v>10</v>
      </c>
      <c r="E59" t="s">
        <v>49</v>
      </c>
      <c r="F59" s="4">
        <v>3</v>
      </c>
      <c r="G59" s="3">
        <v>47950</v>
      </c>
      <c r="H59" s="1"/>
    </row>
    <row r="60" spans="1:8" x14ac:dyDescent="0.45">
      <c r="A60" t="s">
        <v>84</v>
      </c>
      <c r="B60" s="1">
        <v>46290</v>
      </c>
      <c r="C60" t="s">
        <v>567</v>
      </c>
      <c r="D60" t="s">
        <v>10</v>
      </c>
      <c r="E60" t="s">
        <v>31</v>
      </c>
      <c r="F60" s="4">
        <v>6</v>
      </c>
      <c r="G60" s="3">
        <v>80646</v>
      </c>
      <c r="H60" s="1"/>
    </row>
    <row r="61" spans="1:8" x14ac:dyDescent="0.45">
      <c r="A61" t="s">
        <v>86</v>
      </c>
      <c r="B61" s="1">
        <v>46281</v>
      </c>
      <c r="C61" t="s">
        <v>574</v>
      </c>
      <c r="D61" t="s">
        <v>10</v>
      </c>
      <c r="E61" t="s">
        <v>38</v>
      </c>
      <c r="F61" s="4">
        <v>2</v>
      </c>
      <c r="G61" s="3">
        <v>317406</v>
      </c>
      <c r="H61" s="1"/>
    </row>
    <row r="62" spans="1:8" x14ac:dyDescent="0.45">
      <c r="A62" t="s">
        <v>87</v>
      </c>
      <c r="B62" s="1">
        <v>46284</v>
      </c>
      <c r="C62" t="s">
        <v>567</v>
      </c>
      <c r="D62" t="s">
        <v>10</v>
      </c>
      <c r="E62" t="s">
        <v>31</v>
      </c>
      <c r="F62" s="4">
        <v>6</v>
      </c>
      <c r="G62" s="3">
        <v>499767</v>
      </c>
      <c r="H62" s="1"/>
    </row>
    <row r="63" spans="1:8" x14ac:dyDescent="0.45">
      <c r="A63" t="s">
        <v>88</v>
      </c>
      <c r="B63" s="1">
        <v>46285</v>
      </c>
      <c r="C63" t="s">
        <v>572</v>
      </c>
      <c r="D63" t="s">
        <v>10</v>
      </c>
      <c r="E63" t="s">
        <v>19</v>
      </c>
      <c r="F63" s="4">
        <v>3</v>
      </c>
      <c r="G63" s="3">
        <v>86657</v>
      </c>
      <c r="H63" s="1"/>
    </row>
    <row r="64" spans="1:8" x14ac:dyDescent="0.45">
      <c r="A64" t="s">
        <v>89</v>
      </c>
      <c r="B64" s="1">
        <v>46292</v>
      </c>
      <c r="C64" t="s">
        <v>573</v>
      </c>
      <c r="D64" t="s">
        <v>577</v>
      </c>
      <c r="E64" t="s">
        <v>38</v>
      </c>
      <c r="F64" s="4">
        <v>10</v>
      </c>
      <c r="G64" s="3">
        <v>253537</v>
      </c>
      <c r="H64" s="1"/>
    </row>
    <row r="65" spans="1:8" x14ac:dyDescent="0.45">
      <c r="A65" t="s">
        <v>90</v>
      </c>
      <c r="B65" s="1">
        <v>46283</v>
      </c>
      <c r="C65" t="s">
        <v>570</v>
      </c>
      <c r="D65" t="s">
        <v>10</v>
      </c>
      <c r="E65" t="s">
        <v>24</v>
      </c>
      <c r="F65" s="4">
        <v>7</v>
      </c>
      <c r="G65" s="3">
        <v>296210</v>
      </c>
      <c r="H65" s="1"/>
    </row>
    <row r="66" spans="1:8" x14ac:dyDescent="0.45">
      <c r="A66" t="s">
        <v>91</v>
      </c>
      <c r="B66" s="1">
        <v>46266</v>
      </c>
      <c r="C66" t="s">
        <v>567</v>
      </c>
      <c r="D66" t="s">
        <v>577</v>
      </c>
      <c r="E66" t="s">
        <v>19</v>
      </c>
      <c r="F66" s="4">
        <v>1</v>
      </c>
      <c r="G66" s="3">
        <v>26126</v>
      </c>
      <c r="H66" s="1"/>
    </row>
    <row r="67" spans="1:8" x14ac:dyDescent="0.45">
      <c r="A67" t="s">
        <v>92</v>
      </c>
      <c r="B67" s="1">
        <v>46282</v>
      </c>
      <c r="C67" t="s">
        <v>572</v>
      </c>
      <c r="D67" t="s">
        <v>10</v>
      </c>
      <c r="E67" t="s">
        <v>22</v>
      </c>
      <c r="F67" s="4">
        <v>5</v>
      </c>
      <c r="G67" s="3">
        <v>487704</v>
      </c>
      <c r="H67" s="1"/>
    </row>
    <row r="68" spans="1:8" x14ac:dyDescent="0.45">
      <c r="A68" t="s">
        <v>93</v>
      </c>
      <c r="B68" s="1">
        <v>46271</v>
      </c>
      <c r="C68" t="s">
        <v>574</v>
      </c>
      <c r="D68" t="s">
        <v>11</v>
      </c>
      <c r="E68" t="s">
        <v>569</v>
      </c>
      <c r="F68" s="4">
        <v>9</v>
      </c>
      <c r="G68" s="3">
        <v>411939</v>
      </c>
      <c r="H68" s="1"/>
    </row>
    <row r="69" spans="1:8" x14ac:dyDescent="0.45">
      <c r="A69" t="s">
        <v>94</v>
      </c>
      <c r="B69" s="1">
        <v>46286</v>
      </c>
      <c r="C69" t="s">
        <v>573</v>
      </c>
      <c r="D69" t="s">
        <v>576</v>
      </c>
      <c r="E69" t="s">
        <v>22</v>
      </c>
      <c r="F69" s="4">
        <v>7</v>
      </c>
      <c r="G69" s="3">
        <v>305688</v>
      </c>
      <c r="H69" s="1"/>
    </row>
    <row r="70" spans="1:8" x14ac:dyDescent="0.45">
      <c r="A70" t="s">
        <v>95</v>
      </c>
      <c r="B70" s="1">
        <v>46272</v>
      </c>
      <c r="C70" t="s">
        <v>573</v>
      </c>
      <c r="D70" t="s">
        <v>11</v>
      </c>
      <c r="E70" t="s">
        <v>22</v>
      </c>
      <c r="F70" s="4">
        <v>9</v>
      </c>
      <c r="G70" s="3">
        <v>351946</v>
      </c>
      <c r="H70" s="1"/>
    </row>
    <row r="71" spans="1:8" x14ac:dyDescent="0.45">
      <c r="A71" t="s">
        <v>96</v>
      </c>
      <c r="B71" s="1">
        <v>46267</v>
      </c>
      <c r="C71" t="s">
        <v>567</v>
      </c>
      <c r="D71" t="s">
        <v>576</v>
      </c>
      <c r="E71" t="s">
        <v>569</v>
      </c>
      <c r="F71" s="4" t="s">
        <v>29</v>
      </c>
      <c r="G71" s="3">
        <v>77124</v>
      </c>
      <c r="H71" s="1"/>
    </row>
    <row r="72" spans="1:8" x14ac:dyDescent="0.45">
      <c r="A72" t="s">
        <v>97</v>
      </c>
      <c r="B72" s="1">
        <v>46294</v>
      </c>
      <c r="C72" t="s">
        <v>575</v>
      </c>
      <c r="D72" t="s">
        <v>10</v>
      </c>
      <c r="E72" t="s">
        <v>569</v>
      </c>
      <c r="F72" s="4">
        <v>1</v>
      </c>
      <c r="G72" s="3">
        <v>417082</v>
      </c>
      <c r="H72" s="1"/>
    </row>
    <row r="73" spans="1:8" x14ac:dyDescent="0.45">
      <c r="A73" t="s">
        <v>98</v>
      </c>
      <c r="B73" s="1">
        <v>46284</v>
      </c>
      <c r="C73" t="s">
        <v>573</v>
      </c>
      <c r="D73" t="s">
        <v>10</v>
      </c>
      <c r="E73" t="s">
        <v>38</v>
      </c>
      <c r="F73" s="4">
        <v>1</v>
      </c>
      <c r="G73" s="3">
        <v>431802</v>
      </c>
      <c r="H73" s="1"/>
    </row>
    <row r="74" spans="1:8" x14ac:dyDescent="0.45">
      <c r="A74" t="s">
        <v>99</v>
      </c>
      <c r="B74" s="1">
        <v>46294</v>
      </c>
      <c r="C74" t="s">
        <v>572</v>
      </c>
      <c r="D74" t="s">
        <v>10</v>
      </c>
      <c r="E74" t="s">
        <v>19</v>
      </c>
      <c r="F74" s="4">
        <v>10</v>
      </c>
      <c r="G74" s="3">
        <v>28316</v>
      </c>
      <c r="H74" s="1"/>
    </row>
    <row r="75" spans="1:8" x14ac:dyDescent="0.45">
      <c r="A75" t="s">
        <v>100</v>
      </c>
      <c r="B75" s="1">
        <v>46278</v>
      </c>
      <c r="C75" t="s">
        <v>571</v>
      </c>
      <c r="D75" t="s">
        <v>10</v>
      </c>
      <c r="E75" t="s">
        <v>31</v>
      </c>
      <c r="F75" s="4">
        <v>5</v>
      </c>
      <c r="G75" s="3">
        <v>206820</v>
      </c>
      <c r="H75" s="1"/>
    </row>
    <row r="76" spans="1:8" x14ac:dyDescent="0.45">
      <c r="A76" t="s">
        <v>102</v>
      </c>
      <c r="B76" s="1">
        <v>46274</v>
      </c>
      <c r="D76" t="s">
        <v>10</v>
      </c>
      <c r="E76" t="s">
        <v>26</v>
      </c>
      <c r="F76" s="4">
        <v>5</v>
      </c>
      <c r="G76" s="3">
        <v>241037</v>
      </c>
      <c r="H76" s="1"/>
    </row>
    <row r="77" spans="1:8" x14ac:dyDescent="0.45">
      <c r="A77" t="s">
        <v>103</v>
      </c>
      <c r="B77" s="1">
        <v>46275</v>
      </c>
      <c r="C77" t="s">
        <v>573</v>
      </c>
      <c r="D77" t="s">
        <v>33</v>
      </c>
      <c r="E77" t="s">
        <v>24</v>
      </c>
      <c r="F77" s="4">
        <v>8</v>
      </c>
      <c r="G77" s="3">
        <v>315652</v>
      </c>
      <c r="H77" s="1"/>
    </row>
    <row r="78" spans="1:8" x14ac:dyDescent="0.45">
      <c r="A78" t="s">
        <v>104</v>
      </c>
      <c r="B78" s="1">
        <v>46284</v>
      </c>
      <c r="C78" t="s">
        <v>570</v>
      </c>
      <c r="D78" t="s">
        <v>576</v>
      </c>
      <c r="E78" t="s">
        <v>31</v>
      </c>
      <c r="F78" s="4">
        <v>3</v>
      </c>
      <c r="G78" s="3">
        <v>102867</v>
      </c>
      <c r="H78" s="1"/>
    </row>
    <row r="79" spans="1:8" x14ac:dyDescent="0.45">
      <c r="A79" t="s">
        <v>105</v>
      </c>
      <c r="B79" s="1">
        <v>46283</v>
      </c>
      <c r="C79" t="s">
        <v>570</v>
      </c>
      <c r="D79" t="s">
        <v>10</v>
      </c>
      <c r="E79" t="s">
        <v>22</v>
      </c>
      <c r="F79" s="4">
        <v>5</v>
      </c>
      <c r="G79" s="3">
        <v>405296</v>
      </c>
      <c r="H79" s="1"/>
    </row>
    <row r="80" spans="1:8" x14ac:dyDescent="0.45">
      <c r="A80" t="s">
        <v>106</v>
      </c>
      <c r="B80" s="1">
        <v>46277</v>
      </c>
      <c r="C80" t="s">
        <v>574</v>
      </c>
      <c r="D80" t="s">
        <v>10</v>
      </c>
      <c r="E80" t="s">
        <v>31</v>
      </c>
      <c r="F80" s="4">
        <v>1</v>
      </c>
      <c r="G80" s="3">
        <v>159111</v>
      </c>
      <c r="H80" s="1"/>
    </row>
    <row r="81" spans="1:8" x14ac:dyDescent="0.45">
      <c r="A81" t="s">
        <v>107</v>
      </c>
      <c r="B81" s="1">
        <v>46276</v>
      </c>
      <c r="C81" t="s">
        <v>575</v>
      </c>
      <c r="D81" t="s">
        <v>577</v>
      </c>
      <c r="E81" t="s">
        <v>19</v>
      </c>
      <c r="F81" s="4">
        <v>4</v>
      </c>
      <c r="G81" s="3">
        <v>198183</v>
      </c>
      <c r="H81" s="1"/>
    </row>
    <row r="82" spans="1:8" x14ac:dyDescent="0.45">
      <c r="A82" t="s">
        <v>108</v>
      </c>
      <c r="B82" s="1">
        <v>46273</v>
      </c>
      <c r="C82" t="s">
        <v>575</v>
      </c>
      <c r="D82" t="s">
        <v>576</v>
      </c>
      <c r="E82" t="s">
        <v>19</v>
      </c>
      <c r="F82" s="4">
        <v>7</v>
      </c>
      <c r="G82" s="3">
        <v>52975</v>
      </c>
      <c r="H82" s="1"/>
    </row>
    <row r="83" spans="1:8" x14ac:dyDescent="0.45">
      <c r="A83" t="s">
        <v>109</v>
      </c>
      <c r="B83" s="1">
        <v>46285</v>
      </c>
      <c r="C83" t="s">
        <v>568</v>
      </c>
      <c r="D83" t="s">
        <v>10</v>
      </c>
      <c r="E83" t="s">
        <v>569</v>
      </c>
      <c r="F83" s="4">
        <v>6</v>
      </c>
      <c r="G83" s="3">
        <v>69437</v>
      </c>
      <c r="H83" s="1"/>
    </row>
    <row r="84" spans="1:8" x14ac:dyDescent="0.45">
      <c r="A84" t="s">
        <v>110</v>
      </c>
      <c r="B84" s="1">
        <v>46276</v>
      </c>
      <c r="C84" t="s">
        <v>574</v>
      </c>
      <c r="D84" t="s">
        <v>577</v>
      </c>
      <c r="E84" t="s">
        <v>19</v>
      </c>
      <c r="F84" s="4">
        <v>4</v>
      </c>
      <c r="G84" s="3">
        <v>449152</v>
      </c>
      <c r="H84" s="1"/>
    </row>
    <row r="85" spans="1:8" x14ac:dyDescent="0.45">
      <c r="A85" t="s">
        <v>111</v>
      </c>
      <c r="B85" s="1">
        <v>46272</v>
      </c>
      <c r="C85" t="s">
        <v>575</v>
      </c>
      <c r="D85" t="s">
        <v>10</v>
      </c>
      <c r="E85" t="s">
        <v>26</v>
      </c>
      <c r="F85" s="4">
        <v>2</v>
      </c>
      <c r="G85" s="3">
        <v>48527</v>
      </c>
      <c r="H85" s="1"/>
    </row>
    <row r="86" spans="1:8" x14ac:dyDescent="0.45">
      <c r="A86" t="s">
        <v>112</v>
      </c>
      <c r="B86" s="1">
        <v>46276</v>
      </c>
      <c r="C86" t="s">
        <v>573</v>
      </c>
      <c r="D86" t="s">
        <v>10</v>
      </c>
      <c r="E86" t="s">
        <v>31</v>
      </c>
      <c r="F86" s="4">
        <v>1</v>
      </c>
      <c r="G86" s="3">
        <v>212338</v>
      </c>
      <c r="H86" s="1"/>
    </row>
    <row r="87" spans="1:8" x14ac:dyDescent="0.45">
      <c r="A87" t="s">
        <v>113</v>
      </c>
      <c r="B87" s="1">
        <v>46270</v>
      </c>
      <c r="C87" t="s">
        <v>568</v>
      </c>
      <c r="D87" t="s">
        <v>11</v>
      </c>
      <c r="E87" t="s">
        <v>19</v>
      </c>
      <c r="F87" s="4">
        <v>5</v>
      </c>
      <c r="G87" s="3">
        <v>301380</v>
      </c>
      <c r="H87" s="1"/>
    </row>
    <row r="88" spans="1:8" x14ac:dyDescent="0.45">
      <c r="A88" t="s">
        <v>114</v>
      </c>
      <c r="B88" s="1">
        <v>46285</v>
      </c>
      <c r="C88" t="s">
        <v>574</v>
      </c>
      <c r="D88" t="s">
        <v>10</v>
      </c>
      <c r="E88" t="s">
        <v>19</v>
      </c>
      <c r="F88" s="4">
        <v>5</v>
      </c>
      <c r="G88" s="3">
        <v>278858</v>
      </c>
      <c r="H88" s="1"/>
    </row>
    <row r="89" spans="1:8" x14ac:dyDescent="0.45">
      <c r="A89" t="s">
        <v>115</v>
      </c>
      <c r="B89" s="1">
        <v>46285</v>
      </c>
      <c r="C89" t="s">
        <v>572</v>
      </c>
      <c r="D89" t="s">
        <v>10</v>
      </c>
      <c r="E89" t="s">
        <v>31</v>
      </c>
      <c r="F89" s="4">
        <v>9</v>
      </c>
      <c r="G89" s="3">
        <v>137859</v>
      </c>
      <c r="H89" s="1"/>
    </row>
    <row r="90" spans="1:8" x14ac:dyDescent="0.45">
      <c r="A90" t="s">
        <v>116</v>
      </c>
      <c r="B90" s="1">
        <v>46280</v>
      </c>
      <c r="C90" t="s">
        <v>571</v>
      </c>
      <c r="D90" t="s">
        <v>10</v>
      </c>
      <c r="E90" t="s">
        <v>22</v>
      </c>
      <c r="F90" s="4">
        <v>4</v>
      </c>
      <c r="G90" s="3">
        <v>382021</v>
      </c>
      <c r="H90" s="1"/>
    </row>
    <row r="91" spans="1:8" x14ac:dyDescent="0.45">
      <c r="A91" t="s">
        <v>117</v>
      </c>
      <c r="B91" s="1">
        <v>46295</v>
      </c>
      <c r="C91" t="s">
        <v>568</v>
      </c>
      <c r="D91" t="s">
        <v>10</v>
      </c>
      <c r="E91" t="s">
        <v>49</v>
      </c>
      <c r="F91" s="4">
        <v>8</v>
      </c>
      <c r="G91" s="3">
        <v>479579</v>
      </c>
      <c r="H91" s="1"/>
    </row>
    <row r="92" spans="1:8" x14ac:dyDescent="0.45">
      <c r="A92" t="s">
        <v>118</v>
      </c>
      <c r="B92" s="1">
        <v>46275</v>
      </c>
      <c r="C92" t="s">
        <v>572</v>
      </c>
      <c r="D92" t="s">
        <v>33</v>
      </c>
      <c r="E92" t="s">
        <v>49</v>
      </c>
      <c r="F92" s="4">
        <v>1</v>
      </c>
      <c r="G92" s="3">
        <v>114525</v>
      </c>
      <c r="H92" s="1"/>
    </row>
    <row r="93" spans="1:8" x14ac:dyDescent="0.45">
      <c r="A93" t="s">
        <v>119</v>
      </c>
      <c r="B93" s="1">
        <v>46279</v>
      </c>
      <c r="C93" t="s">
        <v>570</v>
      </c>
      <c r="D93" t="s">
        <v>10</v>
      </c>
      <c r="E93" t="s">
        <v>31</v>
      </c>
      <c r="F93" s="4" t="s">
        <v>101</v>
      </c>
      <c r="G93" s="3">
        <v>40431</v>
      </c>
      <c r="H93" s="1"/>
    </row>
    <row r="94" spans="1:8" x14ac:dyDescent="0.45">
      <c r="A94" t="s">
        <v>120</v>
      </c>
      <c r="B94" s="1">
        <v>46270</v>
      </c>
      <c r="C94" t="s">
        <v>574</v>
      </c>
      <c r="D94" t="s">
        <v>10</v>
      </c>
      <c r="E94" t="s">
        <v>49</v>
      </c>
      <c r="F94" s="4">
        <v>9</v>
      </c>
      <c r="G94" s="3">
        <v>373758</v>
      </c>
      <c r="H94" s="1"/>
    </row>
    <row r="95" spans="1:8" x14ac:dyDescent="0.45">
      <c r="A95" t="s">
        <v>122</v>
      </c>
      <c r="B95" s="1">
        <v>46292</v>
      </c>
      <c r="C95" t="s">
        <v>574</v>
      </c>
      <c r="D95" t="s">
        <v>11</v>
      </c>
      <c r="E95" t="s">
        <v>31</v>
      </c>
      <c r="F95" s="4">
        <v>2</v>
      </c>
      <c r="G95" s="3">
        <v>203536</v>
      </c>
      <c r="H95" s="1"/>
    </row>
    <row r="96" spans="1:8" x14ac:dyDescent="0.45">
      <c r="A96" t="s">
        <v>123</v>
      </c>
      <c r="B96" s="1">
        <v>46284</v>
      </c>
      <c r="C96" t="s">
        <v>567</v>
      </c>
      <c r="D96" t="s">
        <v>577</v>
      </c>
      <c r="E96" t="s">
        <v>26</v>
      </c>
      <c r="F96" s="4">
        <v>3</v>
      </c>
      <c r="G96" s="3">
        <v>117381</v>
      </c>
      <c r="H96" s="1"/>
    </row>
    <row r="97" spans="1:8" x14ac:dyDescent="0.45">
      <c r="A97" t="s">
        <v>124</v>
      </c>
      <c r="B97" s="1">
        <v>46283</v>
      </c>
      <c r="C97" t="s">
        <v>575</v>
      </c>
      <c r="D97" t="s">
        <v>11</v>
      </c>
      <c r="E97" t="s">
        <v>31</v>
      </c>
      <c r="F97" s="4">
        <v>2</v>
      </c>
      <c r="G97" s="3">
        <v>100113</v>
      </c>
      <c r="H97" s="1"/>
    </row>
    <row r="98" spans="1:8" x14ac:dyDescent="0.45">
      <c r="A98" t="s">
        <v>125</v>
      </c>
      <c r="B98" s="1">
        <v>46266</v>
      </c>
      <c r="C98" t="s">
        <v>571</v>
      </c>
      <c r="D98" t="s">
        <v>577</v>
      </c>
      <c r="E98" t="s">
        <v>19</v>
      </c>
      <c r="F98" s="4">
        <v>3</v>
      </c>
      <c r="G98" s="3">
        <v>226811</v>
      </c>
      <c r="H98" s="1"/>
    </row>
    <row r="99" spans="1:8" x14ac:dyDescent="0.45">
      <c r="A99" t="s">
        <v>126</v>
      </c>
      <c r="B99" s="1">
        <v>46268</v>
      </c>
      <c r="C99" t="s">
        <v>570</v>
      </c>
      <c r="D99" t="s">
        <v>576</v>
      </c>
      <c r="E99" t="s">
        <v>19</v>
      </c>
      <c r="F99" s="4">
        <v>9</v>
      </c>
      <c r="G99" s="3">
        <v>142506</v>
      </c>
      <c r="H99" s="1"/>
    </row>
    <row r="100" spans="1:8" x14ac:dyDescent="0.45">
      <c r="A100" t="s">
        <v>127</v>
      </c>
      <c r="B100" s="1">
        <v>46279</v>
      </c>
      <c r="C100" t="s">
        <v>568</v>
      </c>
      <c r="D100" t="s">
        <v>33</v>
      </c>
      <c r="E100" t="s">
        <v>49</v>
      </c>
      <c r="F100" s="4">
        <v>1</v>
      </c>
      <c r="G100" s="3">
        <v>174500</v>
      </c>
      <c r="H100" s="1"/>
    </row>
    <row r="101" spans="1:8" x14ac:dyDescent="0.45">
      <c r="A101" t="s">
        <v>128</v>
      </c>
      <c r="B101" s="1">
        <v>46278</v>
      </c>
      <c r="C101" t="s">
        <v>572</v>
      </c>
      <c r="D101" t="s">
        <v>10</v>
      </c>
      <c r="E101" t="s">
        <v>49</v>
      </c>
      <c r="F101" s="4">
        <v>10</v>
      </c>
      <c r="G101" s="3">
        <v>461295</v>
      </c>
      <c r="H101" s="1"/>
    </row>
    <row r="102" spans="1:8" x14ac:dyDescent="0.45">
      <c r="A102" t="s">
        <v>129</v>
      </c>
      <c r="B102" s="1">
        <v>46284</v>
      </c>
      <c r="C102" t="s">
        <v>567</v>
      </c>
      <c r="D102" t="s">
        <v>577</v>
      </c>
      <c r="E102" t="s">
        <v>38</v>
      </c>
      <c r="F102" s="4">
        <v>4</v>
      </c>
      <c r="G102" s="3">
        <v>404331</v>
      </c>
      <c r="H102" s="1"/>
    </row>
    <row r="103" spans="1:8" x14ac:dyDescent="0.45">
      <c r="A103" t="s">
        <v>130</v>
      </c>
      <c r="B103" s="1">
        <v>46274</v>
      </c>
      <c r="C103" t="s">
        <v>573</v>
      </c>
      <c r="D103" t="s">
        <v>10</v>
      </c>
      <c r="E103" t="s">
        <v>569</v>
      </c>
      <c r="F103" s="4">
        <v>5</v>
      </c>
      <c r="G103" s="3">
        <v>229202</v>
      </c>
      <c r="H103" s="1"/>
    </row>
    <row r="104" spans="1:8" x14ac:dyDescent="0.45">
      <c r="A104" t="s">
        <v>131</v>
      </c>
      <c r="B104" s="1">
        <v>46281</v>
      </c>
      <c r="C104" t="s">
        <v>574</v>
      </c>
      <c r="D104" t="s">
        <v>577</v>
      </c>
      <c r="E104" t="s">
        <v>26</v>
      </c>
      <c r="F104" s="4">
        <v>7</v>
      </c>
      <c r="G104" s="3">
        <v>393158</v>
      </c>
      <c r="H104" s="1"/>
    </row>
    <row r="105" spans="1:8" x14ac:dyDescent="0.45">
      <c r="A105" t="s">
        <v>132</v>
      </c>
      <c r="B105" s="1">
        <v>46286</v>
      </c>
      <c r="C105" t="s">
        <v>574</v>
      </c>
      <c r="D105" t="s">
        <v>10</v>
      </c>
      <c r="E105" t="s">
        <v>19</v>
      </c>
      <c r="F105" s="4">
        <v>6</v>
      </c>
      <c r="G105" s="3">
        <v>85147</v>
      </c>
      <c r="H105" s="1"/>
    </row>
    <row r="106" spans="1:8" x14ac:dyDescent="0.45">
      <c r="A106" t="s">
        <v>133</v>
      </c>
      <c r="B106" s="1">
        <v>46280</v>
      </c>
      <c r="C106" t="s">
        <v>573</v>
      </c>
      <c r="D106" t="s">
        <v>10</v>
      </c>
      <c r="E106" t="s">
        <v>19</v>
      </c>
      <c r="F106" s="4">
        <v>5</v>
      </c>
      <c r="G106" s="3">
        <v>82421</v>
      </c>
      <c r="H106" s="1"/>
    </row>
    <row r="107" spans="1:8" x14ac:dyDescent="0.45">
      <c r="A107" t="s">
        <v>134</v>
      </c>
      <c r="B107" s="1">
        <v>46287</v>
      </c>
      <c r="C107" t="s">
        <v>574</v>
      </c>
      <c r="D107" t="s">
        <v>10</v>
      </c>
      <c r="E107" t="s">
        <v>49</v>
      </c>
      <c r="F107" s="4">
        <v>3</v>
      </c>
      <c r="G107" s="3">
        <v>208790</v>
      </c>
      <c r="H107" s="1"/>
    </row>
    <row r="108" spans="1:8" x14ac:dyDescent="0.45">
      <c r="A108" t="s">
        <v>135</v>
      </c>
      <c r="B108" s="1">
        <v>46277</v>
      </c>
      <c r="C108" t="s">
        <v>570</v>
      </c>
      <c r="D108" t="s">
        <v>576</v>
      </c>
      <c r="E108" t="s">
        <v>49</v>
      </c>
      <c r="F108" s="4">
        <v>8</v>
      </c>
      <c r="G108" s="3">
        <v>465506</v>
      </c>
      <c r="H108" s="1"/>
    </row>
    <row r="109" spans="1:8" x14ac:dyDescent="0.45">
      <c r="A109" t="s">
        <v>136</v>
      </c>
      <c r="B109" s="1">
        <v>46295</v>
      </c>
      <c r="C109" t="s">
        <v>567</v>
      </c>
      <c r="D109" t="s">
        <v>576</v>
      </c>
      <c r="E109" t="s">
        <v>38</v>
      </c>
      <c r="F109" s="4">
        <v>9</v>
      </c>
      <c r="G109" s="3">
        <v>244948</v>
      </c>
      <c r="H109" s="1"/>
    </row>
    <row r="110" spans="1:8" x14ac:dyDescent="0.45">
      <c r="A110" t="s">
        <v>137</v>
      </c>
      <c r="B110" s="1">
        <v>46284</v>
      </c>
      <c r="C110" t="s">
        <v>573</v>
      </c>
      <c r="D110" t="s">
        <v>10</v>
      </c>
      <c r="E110" t="s">
        <v>49</v>
      </c>
      <c r="F110" s="4" t="s">
        <v>101</v>
      </c>
      <c r="G110" s="3">
        <v>83814</v>
      </c>
      <c r="H110" s="1"/>
    </row>
    <row r="111" spans="1:8" x14ac:dyDescent="0.45">
      <c r="A111" t="s">
        <v>138</v>
      </c>
      <c r="B111" s="1">
        <v>46280</v>
      </c>
      <c r="C111" t="s">
        <v>572</v>
      </c>
      <c r="D111" t="s">
        <v>11</v>
      </c>
      <c r="E111" t="s">
        <v>26</v>
      </c>
      <c r="F111" s="4" t="s">
        <v>255</v>
      </c>
      <c r="G111" s="3">
        <v>94929</v>
      </c>
      <c r="H111" s="1"/>
    </row>
    <row r="112" spans="1:8" x14ac:dyDescent="0.45">
      <c r="A112" t="s">
        <v>139</v>
      </c>
      <c r="B112" s="1">
        <v>46285</v>
      </c>
      <c r="C112" t="s">
        <v>570</v>
      </c>
      <c r="D112" t="s">
        <v>576</v>
      </c>
      <c r="E112" t="s">
        <v>49</v>
      </c>
      <c r="F112" s="4" t="s">
        <v>140</v>
      </c>
      <c r="G112" s="3">
        <v>331631</v>
      </c>
      <c r="H112" s="1"/>
    </row>
    <row r="113" spans="1:8" x14ac:dyDescent="0.45">
      <c r="A113" t="s">
        <v>141</v>
      </c>
      <c r="B113" s="1">
        <v>46290</v>
      </c>
      <c r="C113" t="s">
        <v>567</v>
      </c>
      <c r="D113" t="s">
        <v>10</v>
      </c>
      <c r="E113" t="s">
        <v>569</v>
      </c>
      <c r="F113" s="4">
        <v>6</v>
      </c>
      <c r="G113" s="3">
        <v>238208</v>
      </c>
      <c r="H113" s="1"/>
    </row>
    <row r="114" spans="1:8" x14ac:dyDescent="0.45">
      <c r="A114" t="s">
        <v>142</v>
      </c>
      <c r="B114" s="1">
        <v>46289</v>
      </c>
      <c r="C114" t="s">
        <v>574</v>
      </c>
      <c r="D114" t="s">
        <v>576</v>
      </c>
      <c r="E114" t="s">
        <v>49</v>
      </c>
      <c r="F114" s="4">
        <v>1</v>
      </c>
      <c r="G114" s="3">
        <v>140106</v>
      </c>
      <c r="H114" s="1"/>
    </row>
    <row r="115" spans="1:8" x14ac:dyDescent="0.45">
      <c r="A115" t="s">
        <v>143</v>
      </c>
      <c r="B115" s="1">
        <v>46288</v>
      </c>
      <c r="C115" t="s">
        <v>571</v>
      </c>
      <c r="D115" t="s">
        <v>33</v>
      </c>
      <c r="E115" t="s">
        <v>569</v>
      </c>
      <c r="F115" s="4" t="s">
        <v>121</v>
      </c>
      <c r="G115" s="3">
        <v>384792</v>
      </c>
      <c r="H115" s="1"/>
    </row>
    <row r="116" spans="1:8" x14ac:dyDescent="0.45">
      <c r="A116" t="s">
        <v>144</v>
      </c>
      <c r="B116" s="1">
        <v>46294</v>
      </c>
      <c r="C116" t="s">
        <v>568</v>
      </c>
      <c r="D116" t="s">
        <v>33</v>
      </c>
      <c r="E116" t="s">
        <v>38</v>
      </c>
      <c r="F116" s="4">
        <v>7</v>
      </c>
      <c r="G116" s="3">
        <v>20312</v>
      </c>
      <c r="H116" s="1"/>
    </row>
    <row r="117" spans="1:8" x14ac:dyDescent="0.45">
      <c r="A117" t="s">
        <v>145</v>
      </c>
      <c r="B117" s="1">
        <v>46269</v>
      </c>
      <c r="C117" t="s">
        <v>570</v>
      </c>
      <c r="D117" t="s">
        <v>33</v>
      </c>
      <c r="E117" t="s">
        <v>22</v>
      </c>
      <c r="F117" s="4" t="s">
        <v>29</v>
      </c>
      <c r="G117" s="3">
        <v>356506</v>
      </c>
      <c r="H117" s="1"/>
    </row>
    <row r="118" spans="1:8" x14ac:dyDescent="0.45">
      <c r="A118" t="s">
        <v>146</v>
      </c>
      <c r="B118" s="1">
        <v>46287</v>
      </c>
      <c r="C118" t="s">
        <v>567</v>
      </c>
      <c r="D118" t="s">
        <v>576</v>
      </c>
      <c r="E118" t="s">
        <v>38</v>
      </c>
      <c r="F118" s="4">
        <v>10</v>
      </c>
      <c r="G118" s="3">
        <v>153367</v>
      </c>
      <c r="H118" s="1"/>
    </row>
    <row r="119" spans="1:8" x14ac:dyDescent="0.45">
      <c r="A119" t="s">
        <v>147</v>
      </c>
      <c r="B119" s="1">
        <v>46279</v>
      </c>
      <c r="C119" t="s">
        <v>575</v>
      </c>
      <c r="D119" t="s">
        <v>10</v>
      </c>
      <c r="E119" t="s">
        <v>49</v>
      </c>
      <c r="F119" s="4">
        <v>9</v>
      </c>
      <c r="G119" s="3">
        <v>114061</v>
      </c>
      <c r="H119" s="1"/>
    </row>
    <row r="120" spans="1:8" x14ac:dyDescent="0.45">
      <c r="A120" t="s">
        <v>148</v>
      </c>
      <c r="B120" s="1">
        <v>46293</v>
      </c>
      <c r="C120" t="s">
        <v>568</v>
      </c>
      <c r="D120" t="s">
        <v>10</v>
      </c>
      <c r="E120" t="s">
        <v>38</v>
      </c>
      <c r="F120" s="4">
        <v>4</v>
      </c>
      <c r="G120" s="3">
        <v>22166</v>
      </c>
      <c r="H120" s="1"/>
    </row>
    <row r="121" spans="1:8" x14ac:dyDescent="0.45">
      <c r="A121" t="s">
        <v>149</v>
      </c>
      <c r="B121" s="1">
        <v>46294</v>
      </c>
      <c r="C121" t="s">
        <v>572</v>
      </c>
      <c r="D121" t="s">
        <v>577</v>
      </c>
      <c r="E121" t="s">
        <v>26</v>
      </c>
      <c r="F121" s="4">
        <v>7</v>
      </c>
      <c r="G121" s="3">
        <v>254017</v>
      </c>
      <c r="H121" s="1"/>
    </row>
    <row r="122" spans="1:8" x14ac:dyDescent="0.45">
      <c r="A122" t="s">
        <v>150</v>
      </c>
      <c r="B122" s="1">
        <v>46269</v>
      </c>
      <c r="C122" t="s">
        <v>573</v>
      </c>
      <c r="D122" t="s">
        <v>576</v>
      </c>
      <c r="E122" t="s">
        <v>24</v>
      </c>
      <c r="F122" s="4">
        <v>8</v>
      </c>
      <c r="G122" s="3">
        <v>224224</v>
      </c>
      <c r="H122" s="1"/>
    </row>
    <row r="123" spans="1:8" x14ac:dyDescent="0.45">
      <c r="A123" t="s">
        <v>151</v>
      </c>
      <c r="B123" s="1">
        <v>46294</v>
      </c>
      <c r="C123" t="s">
        <v>575</v>
      </c>
      <c r="D123" t="s">
        <v>10</v>
      </c>
      <c r="E123" t="s">
        <v>19</v>
      </c>
      <c r="F123" s="4">
        <v>7</v>
      </c>
      <c r="G123" s="3">
        <v>146365</v>
      </c>
      <c r="H123" s="1"/>
    </row>
    <row r="124" spans="1:8" x14ac:dyDescent="0.45">
      <c r="A124" t="s">
        <v>152</v>
      </c>
      <c r="B124" s="1">
        <v>46275</v>
      </c>
      <c r="C124" t="s">
        <v>572</v>
      </c>
      <c r="D124" t="s">
        <v>576</v>
      </c>
      <c r="E124" t="s">
        <v>22</v>
      </c>
      <c r="F124" s="4">
        <v>9</v>
      </c>
      <c r="G124" s="3">
        <v>339919</v>
      </c>
      <c r="H124" s="1"/>
    </row>
    <row r="125" spans="1:8" x14ac:dyDescent="0.45">
      <c r="A125" t="s">
        <v>153</v>
      </c>
      <c r="B125" s="1">
        <v>46288</v>
      </c>
      <c r="C125" t="s">
        <v>570</v>
      </c>
      <c r="D125" t="s">
        <v>33</v>
      </c>
      <c r="E125" t="s">
        <v>22</v>
      </c>
      <c r="F125" s="4">
        <v>1</v>
      </c>
      <c r="G125" s="3">
        <v>122220</v>
      </c>
      <c r="H125" s="1"/>
    </row>
    <row r="126" spans="1:8" x14ac:dyDescent="0.45">
      <c r="A126" t="s">
        <v>154</v>
      </c>
      <c r="B126" s="1">
        <v>46277</v>
      </c>
      <c r="C126" t="s">
        <v>568</v>
      </c>
      <c r="D126" t="s">
        <v>10</v>
      </c>
      <c r="E126" t="s">
        <v>38</v>
      </c>
      <c r="F126" s="4">
        <v>6</v>
      </c>
      <c r="G126" s="3">
        <v>370541</v>
      </c>
      <c r="H126" s="1"/>
    </row>
    <row r="127" spans="1:8" x14ac:dyDescent="0.45">
      <c r="A127" t="s">
        <v>155</v>
      </c>
      <c r="B127" s="1">
        <v>46295</v>
      </c>
      <c r="C127" t="s">
        <v>572</v>
      </c>
      <c r="D127" t="s">
        <v>10</v>
      </c>
      <c r="E127" t="s">
        <v>31</v>
      </c>
      <c r="F127" s="4">
        <v>5</v>
      </c>
      <c r="G127" s="3">
        <v>430659</v>
      </c>
      <c r="H127" s="1"/>
    </row>
    <row r="128" spans="1:8" x14ac:dyDescent="0.45">
      <c r="A128" t="s">
        <v>156</v>
      </c>
      <c r="B128" s="1">
        <v>46281</v>
      </c>
      <c r="C128" t="s">
        <v>567</v>
      </c>
      <c r="D128" t="s">
        <v>11</v>
      </c>
      <c r="E128" t="s">
        <v>19</v>
      </c>
      <c r="F128" s="4">
        <v>1</v>
      </c>
      <c r="G128" s="3">
        <v>196653</v>
      </c>
      <c r="H128" s="1"/>
    </row>
    <row r="129" spans="1:8" x14ac:dyDescent="0.45">
      <c r="A129" t="s">
        <v>157</v>
      </c>
      <c r="B129" s="1">
        <v>46280</v>
      </c>
      <c r="C129" t="s">
        <v>573</v>
      </c>
      <c r="D129" t="s">
        <v>10</v>
      </c>
      <c r="E129" t="s">
        <v>31</v>
      </c>
      <c r="F129" s="4" t="s">
        <v>29</v>
      </c>
      <c r="G129" s="3">
        <v>475957</v>
      </c>
      <c r="H129" s="1"/>
    </row>
    <row r="130" spans="1:8" x14ac:dyDescent="0.45">
      <c r="A130" t="s">
        <v>158</v>
      </c>
      <c r="B130" s="1">
        <v>46290</v>
      </c>
      <c r="C130" t="s">
        <v>571</v>
      </c>
      <c r="D130" t="s">
        <v>10</v>
      </c>
      <c r="E130" t="s">
        <v>31</v>
      </c>
      <c r="F130" s="4">
        <v>10</v>
      </c>
      <c r="G130" s="3">
        <v>229960</v>
      </c>
      <c r="H130" s="1"/>
    </row>
    <row r="131" spans="1:8" x14ac:dyDescent="0.45">
      <c r="A131" t="s">
        <v>159</v>
      </c>
      <c r="B131" s="1">
        <v>46295</v>
      </c>
      <c r="C131" t="s">
        <v>570</v>
      </c>
      <c r="D131" t="s">
        <v>10</v>
      </c>
      <c r="E131" t="s">
        <v>26</v>
      </c>
      <c r="F131" s="4">
        <v>5</v>
      </c>
      <c r="G131" s="3">
        <v>298642</v>
      </c>
      <c r="H131" s="1"/>
    </row>
    <row r="132" spans="1:8" x14ac:dyDescent="0.45">
      <c r="A132" t="s">
        <v>160</v>
      </c>
      <c r="B132" s="1">
        <v>46283</v>
      </c>
      <c r="C132" t="s">
        <v>568</v>
      </c>
      <c r="D132" t="s">
        <v>10</v>
      </c>
      <c r="E132" t="s">
        <v>569</v>
      </c>
      <c r="F132" s="4">
        <v>7</v>
      </c>
      <c r="G132" s="3">
        <v>89196</v>
      </c>
      <c r="H132" s="1"/>
    </row>
    <row r="133" spans="1:8" x14ac:dyDescent="0.45">
      <c r="A133" t="s">
        <v>161</v>
      </c>
      <c r="B133" s="1">
        <v>46273</v>
      </c>
      <c r="C133" t="s">
        <v>571</v>
      </c>
      <c r="D133" t="s">
        <v>11</v>
      </c>
      <c r="E133" t="s">
        <v>49</v>
      </c>
      <c r="F133" s="4">
        <v>10</v>
      </c>
      <c r="G133" s="3">
        <v>251289</v>
      </c>
      <c r="H133" s="1"/>
    </row>
    <row r="134" spans="1:8" x14ac:dyDescent="0.45">
      <c r="A134" t="s">
        <v>162</v>
      </c>
      <c r="B134" s="1">
        <v>46285</v>
      </c>
      <c r="C134" t="s">
        <v>570</v>
      </c>
      <c r="D134" t="s">
        <v>577</v>
      </c>
      <c r="E134" t="s">
        <v>38</v>
      </c>
      <c r="F134" s="4">
        <v>5</v>
      </c>
      <c r="G134" s="3">
        <v>406477</v>
      </c>
      <c r="H134" s="1"/>
    </row>
    <row r="135" spans="1:8" x14ac:dyDescent="0.45">
      <c r="A135" t="s">
        <v>163</v>
      </c>
      <c r="B135" s="1">
        <v>46273</v>
      </c>
      <c r="C135" t="s">
        <v>572</v>
      </c>
      <c r="D135" t="s">
        <v>33</v>
      </c>
      <c r="E135" t="s">
        <v>22</v>
      </c>
      <c r="F135" s="4">
        <v>2</v>
      </c>
      <c r="G135" s="3">
        <v>289686</v>
      </c>
      <c r="H135" s="1"/>
    </row>
    <row r="136" spans="1:8" x14ac:dyDescent="0.45">
      <c r="A136" t="s">
        <v>165</v>
      </c>
      <c r="B136" s="1">
        <v>46266</v>
      </c>
      <c r="C136" t="s">
        <v>573</v>
      </c>
      <c r="D136" t="s">
        <v>10</v>
      </c>
      <c r="E136" t="s">
        <v>24</v>
      </c>
      <c r="F136" s="4">
        <v>4</v>
      </c>
      <c r="G136" s="3">
        <v>395771</v>
      </c>
      <c r="H136" s="1"/>
    </row>
    <row r="137" spans="1:8" x14ac:dyDescent="0.45">
      <c r="A137" t="s">
        <v>166</v>
      </c>
      <c r="B137" s="1">
        <v>46283</v>
      </c>
      <c r="C137" t="s">
        <v>572</v>
      </c>
      <c r="D137" t="s">
        <v>11</v>
      </c>
      <c r="E137" t="s">
        <v>22</v>
      </c>
      <c r="F137" s="4">
        <v>5</v>
      </c>
      <c r="G137" s="3">
        <v>376586</v>
      </c>
      <c r="H137" s="1"/>
    </row>
    <row r="138" spans="1:8" x14ac:dyDescent="0.45">
      <c r="A138" t="s">
        <v>167</v>
      </c>
      <c r="B138" s="1">
        <v>46275</v>
      </c>
      <c r="C138" t="s">
        <v>571</v>
      </c>
      <c r="D138" t="s">
        <v>10</v>
      </c>
      <c r="E138" t="s">
        <v>49</v>
      </c>
      <c r="F138" s="4" t="s">
        <v>85</v>
      </c>
      <c r="G138" s="3">
        <v>290306</v>
      </c>
      <c r="H138" s="1"/>
    </row>
    <row r="139" spans="1:8" x14ac:dyDescent="0.45">
      <c r="A139" t="s">
        <v>168</v>
      </c>
      <c r="B139" s="1">
        <v>46273</v>
      </c>
      <c r="C139" t="s">
        <v>568</v>
      </c>
      <c r="D139" t="s">
        <v>33</v>
      </c>
      <c r="E139" t="s">
        <v>22</v>
      </c>
      <c r="F139" s="4">
        <v>3</v>
      </c>
      <c r="G139" s="3">
        <v>390055</v>
      </c>
      <c r="H139" s="1"/>
    </row>
    <row r="140" spans="1:8" x14ac:dyDescent="0.45">
      <c r="A140" t="s">
        <v>169</v>
      </c>
      <c r="B140" s="1">
        <v>46276</v>
      </c>
      <c r="C140" t="s">
        <v>570</v>
      </c>
      <c r="D140" t="s">
        <v>10</v>
      </c>
      <c r="E140" t="s">
        <v>38</v>
      </c>
      <c r="F140" s="4">
        <v>4</v>
      </c>
      <c r="G140" s="3">
        <v>335242</v>
      </c>
      <c r="H140" s="1"/>
    </row>
    <row r="141" spans="1:8" x14ac:dyDescent="0.45">
      <c r="A141" t="s">
        <v>170</v>
      </c>
      <c r="B141" s="1">
        <v>46270</v>
      </c>
      <c r="C141" t="s">
        <v>573</v>
      </c>
      <c r="D141" t="s">
        <v>10</v>
      </c>
      <c r="E141" t="s">
        <v>22</v>
      </c>
      <c r="F141" s="4">
        <v>1</v>
      </c>
      <c r="G141" s="3">
        <v>285973</v>
      </c>
      <c r="H141" s="1"/>
    </row>
    <row r="142" spans="1:8" x14ac:dyDescent="0.45">
      <c r="A142" t="s">
        <v>171</v>
      </c>
      <c r="B142" s="1">
        <v>46280</v>
      </c>
      <c r="C142" t="s">
        <v>575</v>
      </c>
      <c r="D142" t="s">
        <v>10</v>
      </c>
      <c r="E142" t="s">
        <v>569</v>
      </c>
      <c r="F142" s="4" t="s">
        <v>298</v>
      </c>
      <c r="G142" s="3">
        <v>11850</v>
      </c>
      <c r="H142" s="1"/>
    </row>
    <row r="143" spans="1:8" x14ac:dyDescent="0.45">
      <c r="A143" t="s">
        <v>172</v>
      </c>
      <c r="B143" s="1">
        <v>46269</v>
      </c>
      <c r="C143" t="s">
        <v>570</v>
      </c>
      <c r="D143" t="s">
        <v>11</v>
      </c>
      <c r="E143" t="s">
        <v>19</v>
      </c>
      <c r="F143" s="4">
        <v>2</v>
      </c>
      <c r="G143" s="3">
        <v>177005</v>
      </c>
      <c r="H143" s="1"/>
    </row>
    <row r="144" spans="1:8" x14ac:dyDescent="0.45">
      <c r="A144" t="s">
        <v>173</v>
      </c>
      <c r="B144" s="1">
        <v>46295</v>
      </c>
      <c r="C144" t="s">
        <v>568</v>
      </c>
      <c r="D144" t="s">
        <v>10</v>
      </c>
      <c r="E144" t="s">
        <v>49</v>
      </c>
      <c r="F144" s="4">
        <v>7</v>
      </c>
      <c r="G144" s="3">
        <v>152234</v>
      </c>
      <c r="H144" s="1"/>
    </row>
    <row r="145" spans="1:8" x14ac:dyDescent="0.45">
      <c r="A145" t="s">
        <v>174</v>
      </c>
      <c r="B145" s="1">
        <v>46294</v>
      </c>
      <c r="C145" t="s">
        <v>575</v>
      </c>
      <c r="D145" t="s">
        <v>11</v>
      </c>
      <c r="E145" t="s">
        <v>31</v>
      </c>
      <c r="F145" s="4">
        <v>6</v>
      </c>
      <c r="G145" s="3">
        <v>115460</v>
      </c>
      <c r="H145" s="1"/>
    </row>
    <row r="146" spans="1:8" x14ac:dyDescent="0.45">
      <c r="A146" t="s">
        <v>175</v>
      </c>
      <c r="B146" s="1">
        <v>46278</v>
      </c>
      <c r="C146" t="s">
        <v>572</v>
      </c>
      <c r="D146" t="s">
        <v>10</v>
      </c>
      <c r="E146" t="s">
        <v>26</v>
      </c>
      <c r="F146" s="4" t="s">
        <v>29</v>
      </c>
      <c r="G146" s="3">
        <v>373803</v>
      </c>
      <c r="H146" s="1"/>
    </row>
    <row r="147" spans="1:8" x14ac:dyDescent="0.45">
      <c r="A147" t="s">
        <v>176</v>
      </c>
      <c r="B147" s="1">
        <v>46267</v>
      </c>
      <c r="C147" t="s">
        <v>573</v>
      </c>
      <c r="D147" t="s">
        <v>33</v>
      </c>
      <c r="E147" t="s">
        <v>22</v>
      </c>
      <c r="F147" s="4">
        <v>3</v>
      </c>
      <c r="G147" s="3">
        <v>316519</v>
      </c>
      <c r="H147" s="1"/>
    </row>
    <row r="148" spans="1:8" x14ac:dyDescent="0.45">
      <c r="A148" t="s">
        <v>177</v>
      </c>
      <c r="B148" s="1">
        <v>46275</v>
      </c>
      <c r="C148" t="s">
        <v>570</v>
      </c>
      <c r="D148" t="s">
        <v>10</v>
      </c>
      <c r="E148" t="s">
        <v>38</v>
      </c>
      <c r="F148" s="4">
        <v>3</v>
      </c>
      <c r="G148" s="3">
        <v>36937</v>
      </c>
      <c r="H148" s="1"/>
    </row>
    <row r="149" spans="1:8" x14ac:dyDescent="0.45">
      <c r="A149" t="s">
        <v>178</v>
      </c>
      <c r="B149" s="1">
        <v>46275</v>
      </c>
      <c r="C149" t="s">
        <v>571</v>
      </c>
      <c r="D149" t="s">
        <v>576</v>
      </c>
      <c r="E149" t="s">
        <v>22</v>
      </c>
      <c r="F149" s="4">
        <v>7</v>
      </c>
      <c r="G149" s="3">
        <v>108777</v>
      </c>
      <c r="H149" s="1"/>
    </row>
    <row r="150" spans="1:8" x14ac:dyDescent="0.45">
      <c r="A150" t="s">
        <v>179</v>
      </c>
      <c r="B150" s="1">
        <v>46281</v>
      </c>
      <c r="C150" t="s">
        <v>573</v>
      </c>
      <c r="D150" t="s">
        <v>10</v>
      </c>
      <c r="E150" t="s">
        <v>24</v>
      </c>
      <c r="F150" s="4">
        <v>9</v>
      </c>
      <c r="G150" s="3">
        <v>109744</v>
      </c>
      <c r="H150" s="1"/>
    </row>
    <row r="151" spans="1:8" x14ac:dyDescent="0.45">
      <c r="A151" t="s">
        <v>180</v>
      </c>
      <c r="B151" s="1">
        <v>46287</v>
      </c>
      <c r="C151" t="s">
        <v>573</v>
      </c>
      <c r="D151" t="s">
        <v>33</v>
      </c>
      <c r="E151" t="s">
        <v>19</v>
      </c>
      <c r="F151" s="4">
        <v>4</v>
      </c>
      <c r="G151" s="3">
        <v>327159</v>
      </c>
      <c r="H151" s="1"/>
    </row>
    <row r="152" spans="1:8" x14ac:dyDescent="0.45">
      <c r="A152" t="s">
        <v>181</v>
      </c>
      <c r="B152" s="1">
        <v>46275</v>
      </c>
      <c r="C152" t="s">
        <v>567</v>
      </c>
      <c r="D152" t="s">
        <v>10</v>
      </c>
      <c r="E152" t="s">
        <v>38</v>
      </c>
      <c r="F152" s="4">
        <v>9</v>
      </c>
      <c r="G152" s="3">
        <v>399669</v>
      </c>
      <c r="H152" s="1"/>
    </row>
    <row r="153" spans="1:8" x14ac:dyDescent="0.45">
      <c r="A153" t="s">
        <v>182</v>
      </c>
      <c r="B153" s="1">
        <v>46278</v>
      </c>
      <c r="C153" t="s">
        <v>571</v>
      </c>
      <c r="D153" t="s">
        <v>11</v>
      </c>
      <c r="E153" t="s">
        <v>24</v>
      </c>
      <c r="F153" s="4">
        <v>7</v>
      </c>
      <c r="G153" s="3">
        <v>126548</v>
      </c>
      <c r="H153" s="1"/>
    </row>
    <row r="154" spans="1:8" x14ac:dyDescent="0.45">
      <c r="A154" t="s">
        <v>183</v>
      </c>
      <c r="B154" s="1">
        <v>46268</v>
      </c>
      <c r="C154" t="s">
        <v>573</v>
      </c>
      <c r="D154" t="s">
        <v>10</v>
      </c>
      <c r="E154" t="s">
        <v>31</v>
      </c>
      <c r="F154" s="4">
        <v>3</v>
      </c>
      <c r="G154" s="3">
        <v>373225</v>
      </c>
      <c r="H154" s="1"/>
    </row>
    <row r="155" spans="1:8" x14ac:dyDescent="0.45">
      <c r="A155" t="s">
        <v>184</v>
      </c>
      <c r="B155" s="1">
        <v>46278</v>
      </c>
      <c r="C155" t="s">
        <v>568</v>
      </c>
      <c r="D155" t="s">
        <v>577</v>
      </c>
      <c r="E155" t="s">
        <v>38</v>
      </c>
      <c r="F155" s="4">
        <v>8</v>
      </c>
      <c r="G155" s="3">
        <v>383315</v>
      </c>
      <c r="H155" s="1"/>
    </row>
    <row r="156" spans="1:8" x14ac:dyDescent="0.45">
      <c r="A156" t="s">
        <v>185</v>
      </c>
      <c r="B156" s="1">
        <v>46273</v>
      </c>
      <c r="C156" t="s">
        <v>574</v>
      </c>
      <c r="D156" t="s">
        <v>10</v>
      </c>
      <c r="E156" t="s">
        <v>26</v>
      </c>
      <c r="F156" s="4">
        <v>2</v>
      </c>
      <c r="G156" s="3">
        <v>28911</v>
      </c>
      <c r="H156" s="1"/>
    </row>
    <row r="157" spans="1:8" x14ac:dyDescent="0.45">
      <c r="A157" t="s">
        <v>186</v>
      </c>
      <c r="B157" s="1">
        <v>46275</v>
      </c>
      <c r="C157" t="s">
        <v>573</v>
      </c>
      <c r="D157" t="s">
        <v>10</v>
      </c>
      <c r="E157" t="s">
        <v>31</v>
      </c>
      <c r="F157" s="4">
        <v>1</v>
      </c>
      <c r="G157" s="3">
        <v>190423</v>
      </c>
      <c r="H157" s="1"/>
    </row>
    <row r="158" spans="1:8" x14ac:dyDescent="0.45">
      <c r="A158" t="s">
        <v>187</v>
      </c>
      <c r="B158" s="1">
        <v>46269</v>
      </c>
      <c r="C158" t="s">
        <v>572</v>
      </c>
      <c r="D158" t="s">
        <v>577</v>
      </c>
      <c r="E158" t="s">
        <v>569</v>
      </c>
      <c r="F158" s="4" t="s">
        <v>121</v>
      </c>
      <c r="G158" s="3">
        <v>239298</v>
      </c>
      <c r="H158" s="1"/>
    </row>
    <row r="159" spans="1:8" x14ac:dyDescent="0.45">
      <c r="A159" t="s">
        <v>188</v>
      </c>
      <c r="B159" s="1">
        <v>46292</v>
      </c>
      <c r="C159" t="s">
        <v>573</v>
      </c>
      <c r="D159" t="s">
        <v>10</v>
      </c>
      <c r="E159" t="s">
        <v>24</v>
      </c>
      <c r="F159" s="4">
        <v>7</v>
      </c>
      <c r="G159" s="3">
        <v>258998</v>
      </c>
      <c r="H159" s="1"/>
    </row>
    <row r="160" spans="1:8" x14ac:dyDescent="0.45">
      <c r="A160" t="s">
        <v>189</v>
      </c>
      <c r="B160" s="1">
        <v>46278</v>
      </c>
      <c r="C160" t="s">
        <v>567</v>
      </c>
      <c r="D160" t="s">
        <v>10</v>
      </c>
      <c r="E160" t="s">
        <v>31</v>
      </c>
      <c r="F160" s="4">
        <v>8</v>
      </c>
      <c r="G160" s="3">
        <v>158331</v>
      </c>
      <c r="H160" s="1"/>
    </row>
    <row r="161" spans="1:8" x14ac:dyDescent="0.45">
      <c r="A161" t="s">
        <v>190</v>
      </c>
      <c r="B161" s="1">
        <v>46280</v>
      </c>
      <c r="C161" t="s">
        <v>573</v>
      </c>
      <c r="D161" t="s">
        <v>10</v>
      </c>
      <c r="E161" t="s">
        <v>19</v>
      </c>
      <c r="F161" s="4">
        <v>3</v>
      </c>
      <c r="G161" s="3">
        <v>40217</v>
      </c>
      <c r="H161" s="1"/>
    </row>
    <row r="162" spans="1:8" x14ac:dyDescent="0.45">
      <c r="A162" t="s">
        <v>191</v>
      </c>
      <c r="B162" s="1">
        <v>46290</v>
      </c>
      <c r="C162" t="s">
        <v>575</v>
      </c>
      <c r="D162" t="s">
        <v>576</v>
      </c>
      <c r="E162" t="s">
        <v>24</v>
      </c>
      <c r="F162" s="4">
        <v>6</v>
      </c>
      <c r="G162" s="3">
        <v>35575</v>
      </c>
      <c r="H162" s="1"/>
    </row>
    <row r="163" spans="1:8" x14ac:dyDescent="0.45">
      <c r="A163" t="s">
        <v>192</v>
      </c>
      <c r="B163" s="1">
        <v>46268</v>
      </c>
      <c r="C163" t="s">
        <v>571</v>
      </c>
      <c r="D163" t="s">
        <v>10</v>
      </c>
      <c r="E163" t="s">
        <v>49</v>
      </c>
      <c r="F163" s="4">
        <v>10</v>
      </c>
      <c r="G163" s="3">
        <v>204170</v>
      </c>
      <c r="H163" s="1"/>
    </row>
    <row r="164" spans="1:8" x14ac:dyDescent="0.45">
      <c r="A164" t="s">
        <v>193</v>
      </c>
      <c r="B164" s="1">
        <v>46275</v>
      </c>
      <c r="C164" t="s">
        <v>574</v>
      </c>
      <c r="D164" t="s">
        <v>33</v>
      </c>
      <c r="E164" t="s">
        <v>19</v>
      </c>
      <c r="F164" s="4">
        <v>6</v>
      </c>
      <c r="G164" s="3">
        <v>414896</v>
      </c>
      <c r="H164" s="1"/>
    </row>
    <row r="165" spans="1:8" x14ac:dyDescent="0.45">
      <c r="A165" t="s">
        <v>194</v>
      </c>
      <c r="B165" s="1">
        <v>46269</v>
      </c>
      <c r="C165" t="s">
        <v>574</v>
      </c>
      <c r="D165" t="s">
        <v>10</v>
      </c>
      <c r="E165" t="s">
        <v>569</v>
      </c>
      <c r="F165" s="4">
        <v>9</v>
      </c>
      <c r="G165" s="3">
        <v>410277</v>
      </c>
      <c r="H165" s="1"/>
    </row>
    <row r="166" spans="1:8" x14ac:dyDescent="0.45">
      <c r="A166" t="s">
        <v>195</v>
      </c>
      <c r="B166" s="1">
        <v>46279</v>
      </c>
      <c r="C166" t="s">
        <v>571</v>
      </c>
      <c r="D166" t="s">
        <v>576</v>
      </c>
      <c r="E166" t="s">
        <v>22</v>
      </c>
      <c r="F166" s="4">
        <v>9</v>
      </c>
      <c r="G166" s="3">
        <v>87058</v>
      </c>
      <c r="H166" s="1"/>
    </row>
    <row r="167" spans="1:8" x14ac:dyDescent="0.45">
      <c r="A167" t="s">
        <v>196</v>
      </c>
      <c r="B167" s="1">
        <v>46287</v>
      </c>
      <c r="C167" t="s">
        <v>571</v>
      </c>
      <c r="D167" t="s">
        <v>33</v>
      </c>
      <c r="E167" t="s">
        <v>22</v>
      </c>
      <c r="F167" s="4">
        <v>4</v>
      </c>
      <c r="G167" s="3">
        <v>327904</v>
      </c>
      <c r="H167" s="1"/>
    </row>
    <row r="168" spans="1:8" x14ac:dyDescent="0.45">
      <c r="A168" t="s">
        <v>197</v>
      </c>
      <c r="B168" s="1">
        <v>46294</v>
      </c>
      <c r="C168" t="s">
        <v>567</v>
      </c>
      <c r="D168" t="s">
        <v>577</v>
      </c>
      <c r="E168" t="s">
        <v>22</v>
      </c>
      <c r="F168" s="4">
        <v>2</v>
      </c>
      <c r="G168" s="3">
        <v>239154</v>
      </c>
      <c r="H168" s="1"/>
    </row>
    <row r="169" spans="1:8" x14ac:dyDescent="0.45">
      <c r="A169" t="s">
        <v>198</v>
      </c>
      <c r="B169" s="1">
        <v>46284</v>
      </c>
      <c r="C169" t="s">
        <v>573</v>
      </c>
      <c r="D169" t="s">
        <v>576</v>
      </c>
      <c r="E169" t="s">
        <v>38</v>
      </c>
      <c r="F169" s="4">
        <v>4</v>
      </c>
      <c r="G169" s="3">
        <v>447269</v>
      </c>
      <c r="H169" s="1"/>
    </row>
    <row r="170" spans="1:8" x14ac:dyDescent="0.45">
      <c r="A170" t="s">
        <v>199</v>
      </c>
      <c r="B170" s="1">
        <v>46295</v>
      </c>
      <c r="C170" t="s">
        <v>567</v>
      </c>
      <c r="D170" t="s">
        <v>10</v>
      </c>
      <c r="E170" t="s">
        <v>569</v>
      </c>
      <c r="F170" s="4">
        <v>7</v>
      </c>
      <c r="G170" s="3">
        <v>64410</v>
      </c>
      <c r="H170" s="1"/>
    </row>
    <row r="171" spans="1:8" x14ac:dyDescent="0.45">
      <c r="A171" t="s">
        <v>200</v>
      </c>
      <c r="B171" s="1">
        <v>46270</v>
      </c>
      <c r="C171" t="s">
        <v>568</v>
      </c>
      <c r="D171" t="s">
        <v>10</v>
      </c>
      <c r="E171" t="s">
        <v>22</v>
      </c>
      <c r="F171" s="4">
        <v>10</v>
      </c>
      <c r="G171" s="3">
        <v>237789</v>
      </c>
      <c r="H171" s="1"/>
    </row>
    <row r="172" spans="1:8" x14ac:dyDescent="0.45">
      <c r="A172" t="s">
        <v>201</v>
      </c>
      <c r="B172" s="1">
        <v>46281</v>
      </c>
      <c r="C172" t="s">
        <v>570</v>
      </c>
      <c r="D172" t="s">
        <v>576</v>
      </c>
      <c r="E172" t="s">
        <v>569</v>
      </c>
      <c r="F172" s="4" t="s">
        <v>85</v>
      </c>
      <c r="G172" s="3">
        <v>411133</v>
      </c>
      <c r="H172" s="1"/>
    </row>
    <row r="173" spans="1:8" x14ac:dyDescent="0.45">
      <c r="A173" t="s">
        <v>202</v>
      </c>
      <c r="B173" s="1">
        <v>46289</v>
      </c>
      <c r="C173" t="s">
        <v>570</v>
      </c>
      <c r="D173" t="s">
        <v>10</v>
      </c>
      <c r="E173" t="s">
        <v>24</v>
      </c>
      <c r="F173" s="4">
        <v>7</v>
      </c>
      <c r="G173" s="3">
        <v>113038</v>
      </c>
      <c r="H173" s="1"/>
    </row>
    <row r="174" spans="1:8" x14ac:dyDescent="0.45">
      <c r="A174" t="s">
        <v>203</v>
      </c>
      <c r="B174" s="1">
        <v>46289</v>
      </c>
      <c r="C174" t="s">
        <v>571</v>
      </c>
      <c r="D174" t="s">
        <v>11</v>
      </c>
      <c r="E174" t="s">
        <v>38</v>
      </c>
      <c r="F174" s="4">
        <v>8</v>
      </c>
      <c r="G174" s="3">
        <v>309054</v>
      </c>
      <c r="H174" s="1"/>
    </row>
    <row r="175" spans="1:8" x14ac:dyDescent="0.45">
      <c r="A175" t="s">
        <v>204</v>
      </c>
      <c r="B175" s="1">
        <v>46290</v>
      </c>
      <c r="C175" t="s">
        <v>570</v>
      </c>
      <c r="D175" t="s">
        <v>10</v>
      </c>
      <c r="E175" t="s">
        <v>569</v>
      </c>
      <c r="F175" s="4">
        <v>9</v>
      </c>
      <c r="G175" s="3">
        <v>424756</v>
      </c>
      <c r="H175" s="1"/>
    </row>
    <row r="176" spans="1:8" x14ac:dyDescent="0.45">
      <c r="A176" t="s">
        <v>205</v>
      </c>
      <c r="B176" s="1">
        <v>46274</v>
      </c>
      <c r="C176" t="s">
        <v>571</v>
      </c>
      <c r="D176" t="s">
        <v>10</v>
      </c>
      <c r="E176" t="s">
        <v>26</v>
      </c>
      <c r="F176" s="4" t="s">
        <v>298</v>
      </c>
      <c r="G176" s="3">
        <v>466138</v>
      </c>
      <c r="H176" s="1"/>
    </row>
    <row r="177" spans="1:8" x14ac:dyDescent="0.45">
      <c r="A177" t="s">
        <v>206</v>
      </c>
      <c r="B177" s="1">
        <v>46285</v>
      </c>
      <c r="C177" t="s">
        <v>568</v>
      </c>
      <c r="D177" t="s">
        <v>10</v>
      </c>
      <c r="E177" t="s">
        <v>49</v>
      </c>
      <c r="F177" s="4">
        <v>9</v>
      </c>
      <c r="G177" s="3">
        <v>432138</v>
      </c>
      <c r="H177" s="1"/>
    </row>
    <row r="178" spans="1:8" x14ac:dyDescent="0.45">
      <c r="A178" t="s">
        <v>207</v>
      </c>
      <c r="B178" s="1">
        <v>46287</v>
      </c>
      <c r="C178" t="s">
        <v>570</v>
      </c>
      <c r="D178" t="s">
        <v>576</v>
      </c>
      <c r="E178" t="s">
        <v>24</v>
      </c>
      <c r="F178" s="4">
        <v>7</v>
      </c>
      <c r="G178" s="3">
        <v>107129</v>
      </c>
      <c r="H178" s="1"/>
    </row>
    <row r="179" spans="1:8" x14ac:dyDescent="0.45">
      <c r="A179" t="s">
        <v>208</v>
      </c>
      <c r="B179" s="1">
        <v>46294</v>
      </c>
      <c r="C179" t="s">
        <v>568</v>
      </c>
      <c r="D179" t="s">
        <v>10</v>
      </c>
      <c r="E179" t="s">
        <v>31</v>
      </c>
      <c r="F179" s="4" t="s">
        <v>140</v>
      </c>
      <c r="G179" s="3">
        <v>125873</v>
      </c>
      <c r="H179" s="1"/>
    </row>
    <row r="180" spans="1:8" x14ac:dyDescent="0.45">
      <c r="A180" t="s">
        <v>209</v>
      </c>
      <c r="B180" s="1">
        <v>46272</v>
      </c>
      <c r="C180" t="s">
        <v>568</v>
      </c>
      <c r="D180" t="s">
        <v>10</v>
      </c>
      <c r="E180" t="s">
        <v>49</v>
      </c>
      <c r="F180" s="4">
        <v>8</v>
      </c>
      <c r="G180" s="3">
        <v>68897</v>
      </c>
      <c r="H180" s="1"/>
    </row>
    <row r="181" spans="1:8" x14ac:dyDescent="0.45">
      <c r="A181" t="s">
        <v>210</v>
      </c>
      <c r="B181" s="1">
        <v>46270</v>
      </c>
      <c r="C181" t="s">
        <v>572</v>
      </c>
      <c r="D181" t="s">
        <v>10</v>
      </c>
      <c r="E181" t="s">
        <v>24</v>
      </c>
      <c r="F181" s="4" t="s">
        <v>239</v>
      </c>
      <c r="G181" s="3">
        <v>297903</v>
      </c>
      <c r="H181" s="1"/>
    </row>
    <row r="182" spans="1:8" x14ac:dyDescent="0.45">
      <c r="A182" t="s">
        <v>211</v>
      </c>
      <c r="B182" s="1">
        <v>46286</v>
      </c>
      <c r="C182" t="s">
        <v>575</v>
      </c>
      <c r="D182" t="s">
        <v>33</v>
      </c>
      <c r="E182" t="s">
        <v>38</v>
      </c>
      <c r="F182" s="4">
        <v>7</v>
      </c>
      <c r="G182" s="3">
        <v>149254</v>
      </c>
      <c r="H182" s="1"/>
    </row>
    <row r="183" spans="1:8" x14ac:dyDescent="0.45">
      <c r="A183" t="s">
        <v>212</v>
      </c>
      <c r="B183" s="1">
        <v>46280</v>
      </c>
      <c r="C183" t="s">
        <v>567</v>
      </c>
      <c r="D183" t="s">
        <v>10</v>
      </c>
      <c r="E183" t="s">
        <v>26</v>
      </c>
      <c r="F183" s="4">
        <v>8</v>
      </c>
      <c r="G183" s="3">
        <v>326529</v>
      </c>
      <c r="H183" s="1"/>
    </row>
    <row r="184" spans="1:8" x14ac:dyDescent="0.45">
      <c r="A184" t="s">
        <v>213</v>
      </c>
      <c r="B184" s="1">
        <v>46271</v>
      </c>
      <c r="C184" t="s">
        <v>573</v>
      </c>
      <c r="D184" t="s">
        <v>10</v>
      </c>
      <c r="E184" t="s">
        <v>49</v>
      </c>
      <c r="F184" s="4">
        <v>7</v>
      </c>
      <c r="G184" s="3">
        <v>141453</v>
      </c>
      <c r="H184" s="1"/>
    </row>
    <row r="185" spans="1:8" x14ac:dyDescent="0.45">
      <c r="A185" t="s">
        <v>214</v>
      </c>
      <c r="B185" s="1">
        <v>46272</v>
      </c>
      <c r="C185" t="s">
        <v>574</v>
      </c>
      <c r="D185" t="s">
        <v>10</v>
      </c>
      <c r="E185" t="s">
        <v>31</v>
      </c>
      <c r="F185" s="4">
        <v>4</v>
      </c>
      <c r="G185" s="3">
        <v>205421</v>
      </c>
      <c r="H185" s="1"/>
    </row>
    <row r="186" spans="1:8" x14ac:dyDescent="0.45">
      <c r="A186" t="s">
        <v>215</v>
      </c>
      <c r="B186" s="1">
        <v>46283</v>
      </c>
      <c r="C186" t="s">
        <v>575</v>
      </c>
      <c r="D186" t="s">
        <v>577</v>
      </c>
      <c r="E186" t="s">
        <v>24</v>
      </c>
      <c r="F186" s="4">
        <v>9</v>
      </c>
      <c r="G186" s="3">
        <v>472122</v>
      </c>
      <c r="H186" s="1"/>
    </row>
    <row r="187" spans="1:8" x14ac:dyDescent="0.45">
      <c r="A187" t="s">
        <v>216</v>
      </c>
      <c r="B187" s="1">
        <v>46294</v>
      </c>
      <c r="C187" t="s">
        <v>573</v>
      </c>
      <c r="D187" t="s">
        <v>10</v>
      </c>
      <c r="E187" t="s">
        <v>31</v>
      </c>
      <c r="F187" s="4">
        <v>6</v>
      </c>
      <c r="G187" s="3">
        <v>264261</v>
      </c>
      <c r="H187" s="1"/>
    </row>
    <row r="188" spans="1:8" x14ac:dyDescent="0.45">
      <c r="A188" t="s">
        <v>217</v>
      </c>
      <c r="B188" s="1">
        <v>46295</v>
      </c>
      <c r="C188" t="s">
        <v>571</v>
      </c>
      <c r="D188" t="s">
        <v>10</v>
      </c>
      <c r="E188" t="s">
        <v>24</v>
      </c>
      <c r="F188" s="4">
        <v>3</v>
      </c>
      <c r="G188" s="3">
        <v>418584</v>
      </c>
      <c r="H188" s="1"/>
    </row>
    <row r="189" spans="1:8" x14ac:dyDescent="0.45">
      <c r="A189" t="s">
        <v>218</v>
      </c>
      <c r="B189" s="1">
        <v>46276</v>
      </c>
      <c r="C189" t="s">
        <v>571</v>
      </c>
      <c r="D189" t="s">
        <v>576</v>
      </c>
      <c r="E189" t="s">
        <v>31</v>
      </c>
      <c r="F189" s="4">
        <v>2</v>
      </c>
      <c r="G189" s="3">
        <v>117934</v>
      </c>
      <c r="H189" s="1"/>
    </row>
    <row r="190" spans="1:8" x14ac:dyDescent="0.45">
      <c r="A190" t="s">
        <v>219</v>
      </c>
      <c r="B190" s="1">
        <v>46273</v>
      </c>
      <c r="C190" t="s">
        <v>574</v>
      </c>
      <c r="D190" t="s">
        <v>11</v>
      </c>
      <c r="E190" t="s">
        <v>49</v>
      </c>
      <c r="F190" s="4">
        <v>7</v>
      </c>
      <c r="G190" s="3">
        <v>182861</v>
      </c>
      <c r="H190" s="1"/>
    </row>
    <row r="191" spans="1:8" x14ac:dyDescent="0.45">
      <c r="A191" t="s">
        <v>220</v>
      </c>
      <c r="B191" s="1">
        <v>46294</v>
      </c>
      <c r="C191" t="s">
        <v>575</v>
      </c>
      <c r="D191" t="s">
        <v>11</v>
      </c>
      <c r="E191" t="s">
        <v>31</v>
      </c>
      <c r="F191" s="4">
        <v>5</v>
      </c>
      <c r="G191" s="3">
        <v>485578</v>
      </c>
      <c r="H191" s="1"/>
    </row>
    <row r="192" spans="1:8" x14ac:dyDescent="0.45">
      <c r="A192" t="s">
        <v>221</v>
      </c>
      <c r="B192" s="1">
        <v>46275</v>
      </c>
      <c r="C192" t="s">
        <v>574</v>
      </c>
      <c r="D192" t="s">
        <v>10</v>
      </c>
      <c r="E192" t="s">
        <v>26</v>
      </c>
      <c r="F192" s="4">
        <v>5</v>
      </c>
      <c r="G192" s="3">
        <v>25170</v>
      </c>
      <c r="H192" s="1"/>
    </row>
    <row r="193" spans="1:8" x14ac:dyDescent="0.45">
      <c r="A193" t="s">
        <v>222</v>
      </c>
      <c r="B193" s="1">
        <v>46273</v>
      </c>
      <c r="C193" t="s">
        <v>575</v>
      </c>
      <c r="D193" t="s">
        <v>10</v>
      </c>
      <c r="E193" t="s">
        <v>49</v>
      </c>
      <c r="F193" s="4">
        <v>6</v>
      </c>
      <c r="G193" s="3">
        <v>205552</v>
      </c>
      <c r="H193" s="1"/>
    </row>
    <row r="194" spans="1:8" x14ac:dyDescent="0.45">
      <c r="A194" t="s">
        <v>223</v>
      </c>
      <c r="B194" s="1">
        <v>46284</v>
      </c>
      <c r="C194" t="s">
        <v>571</v>
      </c>
      <c r="D194" t="s">
        <v>10</v>
      </c>
      <c r="E194" t="s">
        <v>569</v>
      </c>
      <c r="F194" s="4">
        <v>10</v>
      </c>
      <c r="G194" s="3">
        <v>481331</v>
      </c>
      <c r="H194" s="1"/>
    </row>
    <row r="195" spans="1:8" x14ac:dyDescent="0.45">
      <c r="A195" t="s">
        <v>224</v>
      </c>
      <c r="B195" s="1">
        <v>46287</v>
      </c>
      <c r="C195" t="s">
        <v>568</v>
      </c>
      <c r="D195" t="s">
        <v>10</v>
      </c>
      <c r="E195" t="s">
        <v>31</v>
      </c>
      <c r="F195" s="4">
        <v>10</v>
      </c>
      <c r="G195" s="3">
        <v>401177</v>
      </c>
      <c r="H195" s="1"/>
    </row>
    <row r="196" spans="1:8" x14ac:dyDescent="0.45">
      <c r="A196" t="s">
        <v>225</v>
      </c>
      <c r="B196" s="1">
        <v>46288</v>
      </c>
      <c r="C196" t="s">
        <v>574</v>
      </c>
      <c r="D196" t="s">
        <v>10</v>
      </c>
      <c r="E196" t="s">
        <v>31</v>
      </c>
      <c r="F196" s="4">
        <v>9</v>
      </c>
      <c r="G196" s="3">
        <v>176549</v>
      </c>
      <c r="H196" s="1"/>
    </row>
    <row r="197" spans="1:8" x14ac:dyDescent="0.45">
      <c r="A197" t="s">
        <v>226</v>
      </c>
      <c r="B197" s="1">
        <v>46272</v>
      </c>
      <c r="C197" t="s">
        <v>574</v>
      </c>
      <c r="D197" t="s">
        <v>577</v>
      </c>
      <c r="E197" t="s">
        <v>22</v>
      </c>
      <c r="F197" s="4">
        <v>8</v>
      </c>
      <c r="G197" s="3">
        <v>499232</v>
      </c>
      <c r="H197" s="1"/>
    </row>
    <row r="198" spans="1:8" x14ac:dyDescent="0.45">
      <c r="A198" t="s">
        <v>227</v>
      </c>
      <c r="B198" s="1">
        <v>46283</v>
      </c>
      <c r="C198" t="s">
        <v>572</v>
      </c>
      <c r="D198" t="s">
        <v>10</v>
      </c>
      <c r="E198" t="s">
        <v>22</v>
      </c>
      <c r="F198" s="4">
        <v>7</v>
      </c>
      <c r="G198" s="3">
        <v>220315</v>
      </c>
      <c r="H198" s="1"/>
    </row>
    <row r="199" spans="1:8" x14ac:dyDescent="0.45">
      <c r="A199" t="s">
        <v>228</v>
      </c>
      <c r="B199" s="1">
        <v>46282</v>
      </c>
      <c r="C199" t="s">
        <v>574</v>
      </c>
      <c r="D199" t="s">
        <v>576</v>
      </c>
      <c r="E199" t="s">
        <v>569</v>
      </c>
      <c r="F199" s="4">
        <v>1</v>
      </c>
      <c r="G199" s="3">
        <v>17662</v>
      </c>
      <c r="H199" s="1"/>
    </row>
    <row r="200" spans="1:8" x14ac:dyDescent="0.45">
      <c r="A200" t="s">
        <v>229</v>
      </c>
      <c r="B200" s="1">
        <v>46292</v>
      </c>
      <c r="C200" t="s">
        <v>568</v>
      </c>
      <c r="D200" t="s">
        <v>10</v>
      </c>
      <c r="E200" t="s">
        <v>19</v>
      </c>
      <c r="F200" s="4">
        <v>4</v>
      </c>
      <c r="G200" s="3">
        <v>454192</v>
      </c>
      <c r="H200" s="1"/>
    </row>
    <row r="201" spans="1:8" x14ac:dyDescent="0.45">
      <c r="A201" t="s">
        <v>230</v>
      </c>
      <c r="B201" s="1">
        <v>46278</v>
      </c>
      <c r="C201" t="s">
        <v>571</v>
      </c>
      <c r="D201" t="s">
        <v>10</v>
      </c>
      <c r="E201" t="s">
        <v>49</v>
      </c>
      <c r="F201" s="4">
        <v>7</v>
      </c>
      <c r="G201" s="3">
        <v>102818</v>
      </c>
      <c r="H201" s="1"/>
    </row>
    <row r="202" spans="1:8" x14ac:dyDescent="0.45">
      <c r="A202" t="s">
        <v>231</v>
      </c>
      <c r="B202" s="1">
        <v>46279</v>
      </c>
      <c r="C202" t="s">
        <v>568</v>
      </c>
      <c r="D202" t="s">
        <v>10</v>
      </c>
      <c r="E202" t="s">
        <v>49</v>
      </c>
      <c r="F202" s="4">
        <v>1</v>
      </c>
      <c r="G202" s="3">
        <v>22551</v>
      </c>
      <c r="H202" s="1"/>
    </row>
    <row r="203" spans="1:8" x14ac:dyDescent="0.45">
      <c r="A203" t="s">
        <v>232</v>
      </c>
      <c r="B203" s="1">
        <v>46279</v>
      </c>
      <c r="C203" t="s">
        <v>573</v>
      </c>
      <c r="D203" t="s">
        <v>10</v>
      </c>
      <c r="E203" t="s">
        <v>49</v>
      </c>
      <c r="F203" s="4">
        <v>8</v>
      </c>
      <c r="G203" s="3">
        <v>496533</v>
      </c>
      <c r="H203" s="1"/>
    </row>
    <row r="204" spans="1:8" x14ac:dyDescent="0.45">
      <c r="A204" t="s">
        <v>233</v>
      </c>
      <c r="B204" s="1">
        <v>46278</v>
      </c>
      <c r="C204" t="s">
        <v>573</v>
      </c>
      <c r="D204" t="s">
        <v>10</v>
      </c>
      <c r="E204" t="s">
        <v>22</v>
      </c>
      <c r="F204" s="4">
        <v>4</v>
      </c>
      <c r="G204" s="3">
        <v>177953</v>
      </c>
      <c r="H204" s="1"/>
    </row>
    <row r="205" spans="1:8" x14ac:dyDescent="0.45">
      <c r="A205" t="s">
        <v>234</v>
      </c>
      <c r="B205" s="1">
        <v>46295</v>
      </c>
      <c r="C205" t="s">
        <v>575</v>
      </c>
      <c r="D205" t="s">
        <v>10</v>
      </c>
      <c r="E205" t="s">
        <v>26</v>
      </c>
      <c r="F205" s="4">
        <v>10</v>
      </c>
      <c r="G205" s="3">
        <v>199652</v>
      </c>
      <c r="H205" s="1"/>
    </row>
    <row r="206" spans="1:8" x14ac:dyDescent="0.45">
      <c r="A206" t="s">
        <v>235</v>
      </c>
      <c r="B206" s="1">
        <v>46294</v>
      </c>
      <c r="C206" t="s">
        <v>573</v>
      </c>
      <c r="D206" t="s">
        <v>11</v>
      </c>
      <c r="E206" t="s">
        <v>26</v>
      </c>
      <c r="F206" s="4">
        <v>5</v>
      </c>
      <c r="G206" s="3">
        <v>440590</v>
      </c>
      <c r="H206" s="1"/>
    </row>
    <row r="207" spans="1:8" x14ac:dyDescent="0.45">
      <c r="A207" t="s">
        <v>236</v>
      </c>
      <c r="B207" s="1">
        <v>46290</v>
      </c>
      <c r="C207" t="s">
        <v>567</v>
      </c>
      <c r="D207" t="s">
        <v>10</v>
      </c>
      <c r="E207" t="s">
        <v>569</v>
      </c>
      <c r="F207" s="4">
        <v>6</v>
      </c>
      <c r="G207" s="3">
        <v>453532</v>
      </c>
      <c r="H207" s="1"/>
    </row>
    <row r="208" spans="1:8" x14ac:dyDescent="0.45">
      <c r="A208" t="s">
        <v>237</v>
      </c>
      <c r="B208" s="1">
        <v>46276</v>
      </c>
      <c r="C208" t="s">
        <v>570</v>
      </c>
      <c r="D208" t="s">
        <v>576</v>
      </c>
      <c r="E208" t="s">
        <v>22</v>
      </c>
      <c r="F208" s="4">
        <v>2</v>
      </c>
      <c r="G208" s="3">
        <v>242674</v>
      </c>
      <c r="H208" s="1"/>
    </row>
    <row r="209" spans="1:8" x14ac:dyDescent="0.45">
      <c r="A209" t="s">
        <v>238</v>
      </c>
      <c r="B209" s="1">
        <v>46267</v>
      </c>
      <c r="C209" t="s">
        <v>574</v>
      </c>
      <c r="D209" t="s">
        <v>576</v>
      </c>
      <c r="E209" t="s">
        <v>38</v>
      </c>
      <c r="F209" s="4">
        <v>10</v>
      </c>
      <c r="G209" s="3">
        <v>436055</v>
      </c>
      <c r="H209" s="1"/>
    </row>
    <row r="210" spans="1:8" x14ac:dyDescent="0.45">
      <c r="A210" t="s">
        <v>240</v>
      </c>
      <c r="B210" s="1">
        <v>46276</v>
      </c>
      <c r="C210" t="s">
        <v>575</v>
      </c>
      <c r="D210" t="s">
        <v>576</v>
      </c>
      <c r="E210" t="s">
        <v>31</v>
      </c>
      <c r="F210" s="4">
        <v>9</v>
      </c>
      <c r="G210" s="3">
        <v>146971</v>
      </c>
      <c r="H210" s="1"/>
    </row>
    <row r="211" spans="1:8" x14ac:dyDescent="0.45">
      <c r="A211" t="s">
        <v>241</v>
      </c>
      <c r="B211" s="1">
        <v>46275</v>
      </c>
      <c r="C211" t="s">
        <v>568</v>
      </c>
      <c r="D211" t="s">
        <v>577</v>
      </c>
      <c r="E211" t="s">
        <v>569</v>
      </c>
      <c r="F211" s="4">
        <v>6</v>
      </c>
      <c r="G211" s="3">
        <v>192256</v>
      </c>
      <c r="H211" s="1"/>
    </row>
    <row r="212" spans="1:8" x14ac:dyDescent="0.45">
      <c r="A212" t="s">
        <v>242</v>
      </c>
      <c r="B212" s="1">
        <v>46266</v>
      </c>
      <c r="C212" t="s">
        <v>575</v>
      </c>
      <c r="D212" t="s">
        <v>10</v>
      </c>
      <c r="E212" t="s">
        <v>49</v>
      </c>
      <c r="F212" s="4">
        <v>8</v>
      </c>
      <c r="G212" s="3">
        <v>292629</v>
      </c>
      <c r="H212" s="1"/>
    </row>
    <row r="213" spans="1:8" x14ac:dyDescent="0.45">
      <c r="A213" t="s">
        <v>243</v>
      </c>
      <c r="B213" s="1">
        <v>46293</v>
      </c>
      <c r="C213" t="s">
        <v>574</v>
      </c>
      <c r="D213" t="s">
        <v>576</v>
      </c>
      <c r="E213" t="s">
        <v>19</v>
      </c>
      <c r="F213" s="4">
        <v>1</v>
      </c>
      <c r="G213" s="3">
        <v>201918</v>
      </c>
      <c r="H213" s="1"/>
    </row>
    <row r="214" spans="1:8" x14ac:dyDescent="0.45">
      <c r="A214" t="s">
        <v>244</v>
      </c>
      <c r="B214" s="1">
        <v>46285</v>
      </c>
      <c r="C214" t="s">
        <v>570</v>
      </c>
      <c r="D214" t="s">
        <v>33</v>
      </c>
      <c r="E214" t="s">
        <v>49</v>
      </c>
      <c r="F214" s="4">
        <v>4</v>
      </c>
      <c r="G214" s="3">
        <v>100039</v>
      </c>
      <c r="H214" s="1"/>
    </row>
    <row r="215" spans="1:8" x14ac:dyDescent="0.45">
      <c r="A215" t="s">
        <v>245</v>
      </c>
      <c r="B215" s="1">
        <v>46278</v>
      </c>
      <c r="C215" t="s">
        <v>568</v>
      </c>
      <c r="D215" t="s">
        <v>11</v>
      </c>
      <c r="E215" t="s">
        <v>19</v>
      </c>
      <c r="F215" s="4">
        <v>6</v>
      </c>
      <c r="G215" s="3">
        <v>323692</v>
      </c>
      <c r="H215" s="1"/>
    </row>
    <row r="216" spans="1:8" x14ac:dyDescent="0.45">
      <c r="A216" t="s">
        <v>246</v>
      </c>
      <c r="B216" s="1">
        <v>46266</v>
      </c>
      <c r="C216" t="s">
        <v>572</v>
      </c>
      <c r="D216" t="s">
        <v>10</v>
      </c>
      <c r="E216" t="s">
        <v>569</v>
      </c>
      <c r="F216" s="4">
        <v>7</v>
      </c>
      <c r="G216" s="3">
        <v>31894</v>
      </c>
      <c r="H216" s="1"/>
    </row>
    <row r="217" spans="1:8" x14ac:dyDescent="0.45">
      <c r="A217" t="s">
        <v>247</v>
      </c>
      <c r="B217" s="1">
        <v>46277</v>
      </c>
      <c r="C217" t="s">
        <v>567</v>
      </c>
      <c r="D217" t="s">
        <v>10</v>
      </c>
      <c r="E217" t="s">
        <v>19</v>
      </c>
      <c r="F217" s="4" t="s">
        <v>121</v>
      </c>
      <c r="G217" s="3">
        <v>203226</v>
      </c>
      <c r="H217" s="1"/>
    </row>
    <row r="218" spans="1:8" x14ac:dyDescent="0.45">
      <c r="A218" t="s">
        <v>248</v>
      </c>
      <c r="B218" s="1">
        <v>46271</v>
      </c>
      <c r="C218" t="s">
        <v>567</v>
      </c>
      <c r="D218" t="s">
        <v>577</v>
      </c>
      <c r="E218" t="s">
        <v>26</v>
      </c>
      <c r="F218" s="4">
        <v>9</v>
      </c>
      <c r="G218" s="3">
        <v>125841</v>
      </c>
      <c r="H218" s="1"/>
    </row>
    <row r="219" spans="1:8" x14ac:dyDescent="0.45">
      <c r="A219" t="s">
        <v>249</v>
      </c>
      <c r="B219" s="1">
        <v>46278</v>
      </c>
      <c r="C219" t="s">
        <v>575</v>
      </c>
      <c r="D219" t="s">
        <v>11</v>
      </c>
      <c r="E219" t="s">
        <v>569</v>
      </c>
      <c r="F219" s="4">
        <v>7</v>
      </c>
      <c r="G219" s="3">
        <v>472643</v>
      </c>
      <c r="H219" s="1"/>
    </row>
    <row r="220" spans="1:8" x14ac:dyDescent="0.45">
      <c r="A220" t="s">
        <v>250</v>
      </c>
      <c r="B220" s="1">
        <v>46267</v>
      </c>
      <c r="C220" t="s">
        <v>573</v>
      </c>
      <c r="D220" t="s">
        <v>11</v>
      </c>
      <c r="E220" t="s">
        <v>38</v>
      </c>
      <c r="F220" s="4">
        <v>10</v>
      </c>
      <c r="G220" s="3">
        <v>97909</v>
      </c>
      <c r="H220" s="1"/>
    </row>
    <row r="221" spans="1:8" x14ac:dyDescent="0.45">
      <c r="A221" t="s">
        <v>251</v>
      </c>
      <c r="B221" s="1">
        <v>46266</v>
      </c>
      <c r="C221" t="s">
        <v>570</v>
      </c>
      <c r="D221" t="s">
        <v>10</v>
      </c>
      <c r="E221" t="s">
        <v>22</v>
      </c>
      <c r="F221" s="4">
        <v>7</v>
      </c>
      <c r="G221" s="3">
        <v>133557</v>
      </c>
      <c r="H221" s="1"/>
    </row>
    <row r="222" spans="1:8" x14ac:dyDescent="0.45">
      <c r="A222" t="s">
        <v>252</v>
      </c>
      <c r="B222" s="1">
        <v>46295</v>
      </c>
      <c r="C222" t="s">
        <v>570</v>
      </c>
      <c r="D222" t="s">
        <v>10</v>
      </c>
      <c r="E222" t="s">
        <v>569</v>
      </c>
      <c r="F222" s="4">
        <v>2</v>
      </c>
      <c r="G222" s="3">
        <v>341924</v>
      </c>
      <c r="H222" s="1"/>
    </row>
    <row r="223" spans="1:8" x14ac:dyDescent="0.45">
      <c r="A223" t="s">
        <v>254</v>
      </c>
      <c r="B223" s="1">
        <v>46276</v>
      </c>
      <c r="C223" t="s">
        <v>571</v>
      </c>
      <c r="D223" t="s">
        <v>33</v>
      </c>
      <c r="E223" t="s">
        <v>31</v>
      </c>
      <c r="F223" s="4">
        <v>4</v>
      </c>
      <c r="G223" s="3">
        <v>209513</v>
      </c>
      <c r="H223" s="1"/>
    </row>
    <row r="224" spans="1:8" x14ac:dyDescent="0.45">
      <c r="A224" t="s">
        <v>256</v>
      </c>
      <c r="B224" s="1">
        <v>46267</v>
      </c>
      <c r="C224" t="s">
        <v>567</v>
      </c>
      <c r="D224" t="s">
        <v>33</v>
      </c>
      <c r="E224" t="s">
        <v>22</v>
      </c>
      <c r="F224" s="4">
        <v>6</v>
      </c>
      <c r="G224" s="3">
        <v>417220</v>
      </c>
      <c r="H224" s="1"/>
    </row>
    <row r="225" spans="1:8" x14ac:dyDescent="0.45">
      <c r="A225" t="s">
        <v>257</v>
      </c>
      <c r="B225" s="1">
        <v>46278</v>
      </c>
      <c r="C225" t="s">
        <v>574</v>
      </c>
      <c r="D225" t="s">
        <v>10</v>
      </c>
      <c r="E225" t="s">
        <v>49</v>
      </c>
      <c r="F225" s="4">
        <v>1</v>
      </c>
      <c r="G225" s="3">
        <v>333432</v>
      </c>
      <c r="H225" s="1"/>
    </row>
    <row r="226" spans="1:8" x14ac:dyDescent="0.45">
      <c r="A226" t="s">
        <v>258</v>
      </c>
      <c r="B226" s="1">
        <v>46270</v>
      </c>
      <c r="C226" t="s">
        <v>572</v>
      </c>
      <c r="D226" t="s">
        <v>10</v>
      </c>
      <c r="E226" t="s">
        <v>26</v>
      </c>
      <c r="F226" s="4">
        <v>7</v>
      </c>
      <c r="G226" s="3">
        <v>25949</v>
      </c>
      <c r="H226" s="1"/>
    </row>
    <row r="227" spans="1:8" x14ac:dyDescent="0.45">
      <c r="A227" t="s">
        <v>259</v>
      </c>
      <c r="B227" s="1">
        <v>46289</v>
      </c>
      <c r="C227" t="s">
        <v>574</v>
      </c>
      <c r="D227" t="s">
        <v>576</v>
      </c>
      <c r="E227" t="s">
        <v>22</v>
      </c>
      <c r="F227" s="4" t="s">
        <v>140</v>
      </c>
      <c r="G227" s="3">
        <v>13415</v>
      </c>
      <c r="H227" s="1"/>
    </row>
    <row r="228" spans="1:8" x14ac:dyDescent="0.45">
      <c r="A228" t="s">
        <v>260</v>
      </c>
      <c r="B228" s="1">
        <v>46292</v>
      </c>
      <c r="C228" t="s">
        <v>570</v>
      </c>
      <c r="D228" t="s">
        <v>10</v>
      </c>
      <c r="E228" t="s">
        <v>26</v>
      </c>
      <c r="F228" s="4">
        <v>6</v>
      </c>
      <c r="G228" s="3">
        <v>211901</v>
      </c>
      <c r="H228" s="1"/>
    </row>
    <row r="229" spans="1:8" x14ac:dyDescent="0.45">
      <c r="A229" t="s">
        <v>261</v>
      </c>
      <c r="B229" s="1">
        <v>46294</v>
      </c>
      <c r="C229" t="s">
        <v>571</v>
      </c>
      <c r="D229" t="s">
        <v>10</v>
      </c>
      <c r="E229" t="s">
        <v>19</v>
      </c>
      <c r="F229" s="4">
        <v>4</v>
      </c>
      <c r="G229" s="3">
        <v>42947</v>
      </c>
      <c r="H229" s="1"/>
    </row>
    <row r="230" spans="1:8" x14ac:dyDescent="0.45">
      <c r="A230" t="s">
        <v>262</v>
      </c>
      <c r="B230" s="1">
        <v>46291</v>
      </c>
      <c r="C230" t="s">
        <v>570</v>
      </c>
      <c r="D230" t="s">
        <v>10</v>
      </c>
      <c r="E230" t="s">
        <v>19</v>
      </c>
      <c r="F230" s="4">
        <v>6</v>
      </c>
      <c r="G230" s="3">
        <v>150285</v>
      </c>
      <c r="H230" s="1"/>
    </row>
    <row r="231" spans="1:8" x14ac:dyDescent="0.45">
      <c r="A231" t="s">
        <v>263</v>
      </c>
      <c r="B231" s="1">
        <v>46267</v>
      </c>
      <c r="C231" t="s">
        <v>571</v>
      </c>
      <c r="D231" t="s">
        <v>576</v>
      </c>
      <c r="E231" t="s">
        <v>31</v>
      </c>
      <c r="F231" s="4">
        <v>5</v>
      </c>
      <c r="G231" s="3">
        <v>465419</v>
      </c>
      <c r="H231" s="1"/>
    </row>
    <row r="232" spans="1:8" x14ac:dyDescent="0.45">
      <c r="A232" t="s">
        <v>264</v>
      </c>
      <c r="B232" s="1">
        <v>46288</v>
      </c>
      <c r="C232" t="s">
        <v>573</v>
      </c>
      <c r="D232" t="s">
        <v>10</v>
      </c>
      <c r="F232" s="4">
        <v>6</v>
      </c>
      <c r="G232" s="3">
        <v>160829</v>
      </c>
      <c r="H232" s="1"/>
    </row>
    <row r="233" spans="1:8" x14ac:dyDescent="0.45">
      <c r="A233" t="s">
        <v>265</v>
      </c>
      <c r="B233" s="1">
        <v>46266</v>
      </c>
      <c r="C233" t="s">
        <v>567</v>
      </c>
      <c r="D233" t="s">
        <v>10</v>
      </c>
      <c r="E233" t="s">
        <v>24</v>
      </c>
      <c r="F233" s="4">
        <v>6</v>
      </c>
      <c r="G233" s="3">
        <v>16559</v>
      </c>
      <c r="H233" s="1"/>
    </row>
    <row r="234" spans="1:8" x14ac:dyDescent="0.45">
      <c r="A234" t="s">
        <v>266</v>
      </c>
      <c r="B234" s="1">
        <v>46289</v>
      </c>
      <c r="C234" t="s">
        <v>571</v>
      </c>
      <c r="D234" t="s">
        <v>576</v>
      </c>
      <c r="E234" t="s">
        <v>38</v>
      </c>
      <c r="F234" s="4">
        <v>6</v>
      </c>
      <c r="G234" s="3">
        <v>243070</v>
      </c>
      <c r="H234" s="1"/>
    </row>
    <row r="235" spans="1:8" x14ac:dyDescent="0.45">
      <c r="A235" t="s">
        <v>267</v>
      </c>
      <c r="B235" s="1">
        <v>46285</v>
      </c>
      <c r="C235" t="s">
        <v>567</v>
      </c>
      <c r="D235" t="s">
        <v>11</v>
      </c>
      <c r="E235" t="s">
        <v>26</v>
      </c>
      <c r="F235" s="4">
        <v>8</v>
      </c>
      <c r="G235" s="3">
        <v>426768</v>
      </c>
      <c r="H235" s="1"/>
    </row>
    <row r="236" spans="1:8" x14ac:dyDescent="0.45">
      <c r="A236" t="s">
        <v>268</v>
      </c>
      <c r="B236" s="1">
        <v>46293</v>
      </c>
      <c r="C236" t="s">
        <v>568</v>
      </c>
      <c r="D236" t="s">
        <v>33</v>
      </c>
      <c r="E236" t="s">
        <v>26</v>
      </c>
      <c r="F236" s="4">
        <v>4</v>
      </c>
      <c r="G236" s="3">
        <v>396559</v>
      </c>
      <c r="H236" s="1"/>
    </row>
    <row r="237" spans="1:8" x14ac:dyDescent="0.45">
      <c r="A237" t="s">
        <v>269</v>
      </c>
      <c r="B237" s="1">
        <v>46293</v>
      </c>
      <c r="C237" t="s">
        <v>572</v>
      </c>
      <c r="D237" t="s">
        <v>577</v>
      </c>
      <c r="E237" t="s">
        <v>569</v>
      </c>
      <c r="F237" s="4">
        <v>5</v>
      </c>
      <c r="G237" s="3">
        <v>480206</v>
      </c>
      <c r="H237" s="1"/>
    </row>
    <row r="238" spans="1:8" x14ac:dyDescent="0.45">
      <c r="A238" t="s">
        <v>270</v>
      </c>
      <c r="B238" s="1">
        <v>46274</v>
      </c>
      <c r="C238" t="s">
        <v>568</v>
      </c>
      <c r="D238" t="s">
        <v>10</v>
      </c>
      <c r="E238" t="s">
        <v>49</v>
      </c>
      <c r="F238" s="4">
        <v>9</v>
      </c>
      <c r="G238" s="3">
        <v>120992</v>
      </c>
      <c r="H238" s="1"/>
    </row>
    <row r="239" spans="1:8" x14ac:dyDescent="0.45">
      <c r="A239" t="s">
        <v>271</v>
      </c>
      <c r="B239" s="1">
        <v>46288</v>
      </c>
      <c r="C239" t="s">
        <v>572</v>
      </c>
      <c r="D239" t="s">
        <v>11</v>
      </c>
      <c r="E239" t="s">
        <v>31</v>
      </c>
      <c r="F239" s="4">
        <v>8</v>
      </c>
      <c r="G239" s="3">
        <v>129738</v>
      </c>
      <c r="H239" s="1"/>
    </row>
    <row r="240" spans="1:8" x14ac:dyDescent="0.45">
      <c r="A240" t="s">
        <v>272</v>
      </c>
      <c r="B240" s="1">
        <v>46278</v>
      </c>
      <c r="C240" t="s">
        <v>567</v>
      </c>
      <c r="D240" t="s">
        <v>10</v>
      </c>
      <c r="E240" t="s">
        <v>26</v>
      </c>
      <c r="F240" s="4" t="s">
        <v>85</v>
      </c>
      <c r="G240" s="3">
        <v>92939</v>
      </c>
      <c r="H240" s="1"/>
    </row>
    <row r="241" spans="1:8" x14ac:dyDescent="0.45">
      <c r="A241" t="s">
        <v>273</v>
      </c>
      <c r="B241" s="1">
        <v>46293</v>
      </c>
      <c r="C241" t="s">
        <v>575</v>
      </c>
      <c r="D241" t="s">
        <v>10</v>
      </c>
      <c r="E241" t="s">
        <v>24</v>
      </c>
      <c r="F241" s="4" t="s">
        <v>255</v>
      </c>
      <c r="G241" s="3">
        <v>150382</v>
      </c>
      <c r="H241" s="1"/>
    </row>
    <row r="242" spans="1:8" x14ac:dyDescent="0.45">
      <c r="A242" t="s">
        <v>274</v>
      </c>
      <c r="B242" s="1">
        <v>46267</v>
      </c>
      <c r="C242" t="s">
        <v>574</v>
      </c>
      <c r="D242" t="s">
        <v>10</v>
      </c>
      <c r="E242" t="s">
        <v>24</v>
      </c>
      <c r="F242" s="4">
        <v>9</v>
      </c>
      <c r="G242" s="3">
        <v>128846</v>
      </c>
      <c r="H242" s="1"/>
    </row>
    <row r="243" spans="1:8" x14ac:dyDescent="0.45">
      <c r="A243" t="s">
        <v>275</v>
      </c>
      <c r="B243" s="1">
        <v>46278</v>
      </c>
      <c r="C243" t="s">
        <v>575</v>
      </c>
      <c r="D243" t="s">
        <v>10</v>
      </c>
      <c r="E243" t="s">
        <v>569</v>
      </c>
      <c r="F243" s="4">
        <v>8</v>
      </c>
      <c r="G243" s="3">
        <v>455292</v>
      </c>
      <c r="H243" s="1"/>
    </row>
    <row r="244" spans="1:8" x14ac:dyDescent="0.45">
      <c r="A244" t="s">
        <v>276</v>
      </c>
      <c r="B244" s="1">
        <v>46266</v>
      </c>
      <c r="D244" t="s">
        <v>577</v>
      </c>
      <c r="E244" t="s">
        <v>24</v>
      </c>
      <c r="F244" s="4">
        <v>3</v>
      </c>
      <c r="G244" s="3">
        <v>372812</v>
      </c>
      <c r="H244" s="1"/>
    </row>
    <row r="245" spans="1:8" x14ac:dyDescent="0.45">
      <c r="A245" t="s">
        <v>277</v>
      </c>
      <c r="B245" s="1">
        <v>46279</v>
      </c>
      <c r="C245" t="s">
        <v>572</v>
      </c>
      <c r="D245" t="s">
        <v>11</v>
      </c>
      <c r="E245" t="s">
        <v>22</v>
      </c>
      <c r="F245" s="4">
        <v>9</v>
      </c>
      <c r="G245" s="3">
        <v>76365</v>
      </c>
      <c r="H245" s="1"/>
    </row>
    <row r="246" spans="1:8" x14ac:dyDescent="0.45">
      <c r="A246" t="s">
        <v>278</v>
      </c>
      <c r="B246" s="1">
        <v>46272</v>
      </c>
      <c r="C246" t="s">
        <v>573</v>
      </c>
      <c r="D246" t="s">
        <v>576</v>
      </c>
      <c r="E246" t="s">
        <v>49</v>
      </c>
      <c r="F246" s="4">
        <v>6</v>
      </c>
      <c r="G246" s="3">
        <v>232056</v>
      </c>
      <c r="H246" s="1"/>
    </row>
    <row r="247" spans="1:8" x14ac:dyDescent="0.45">
      <c r="A247" t="s">
        <v>279</v>
      </c>
      <c r="B247" s="1">
        <v>46291</v>
      </c>
      <c r="C247" t="s">
        <v>573</v>
      </c>
      <c r="D247" t="s">
        <v>11</v>
      </c>
      <c r="E247" t="s">
        <v>31</v>
      </c>
      <c r="F247" s="4">
        <v>6</v>
      </c>
      <c r="G247" s="3">
        <v>284827</v>
      </c>
      <c r="H247" s="1"/>
    </row>
    <row r="248" spans="1:8" x14ac:dyDescent="0.45">
      <c r="A248" t="s">
        <v>280</v>
      </c>
      <c r="B248" s="1">
        <v>46291</v>
      </c>
      <c r="C248" t="s">
        <v>573</v>
      </c>
      <c r="D248" t="s">
        <v>10</v>
      </c>
      <c r="E248" t="s">
        <v>38</v>
      </c>
      <c r="F248" s="4">
        <v>4</v>
      </c>
      <c r="G248" s="3">
        <v>415857</v>
      </c>
      <c r="H248" s="1"/>
    </row>
    <row r="249" spans="1:8" x14ac:dyDescent="0.45">
      <c r="A249" t="s">
        <v>281</v>
      </c>
      <c r="B249" s="1">
        <v>46292</v>
      </c>
      <c r="C249" t="s">
        <v>570</v>
      </c>
      <c r="D249" t="s">
        <v>10</v>
      </c>
      <c r="E249" t="s">
        <v>31</v>
      </c>
      <c r="F249" s="4">
        <v>3</v>
      </c>
      <c r="G249" s="3">
        <v>160870</v>
      </c>
      <c r="H249" s="1"/>
    </row>
    <row r="250" spans="1:8" x14ac:dyDescent="0.45">
      <c r="A250" t="s">
        <v>282</v>
      </c>
      <c r="B250" s="1">
        <v>46294</v>
      </c>
      <c r="C250" t="s">
        <v>571</v>
      </c>
      <c r="D250" t="s">
        <v>10</v>
      </c>
      <c r="E250" t="s">
        <v>26</v>
      </c>
      <c r="F250" s="4">
        <v>3</v>
      </c>
      <c r="G250" s="3">
        <v>368757</v>
      </c>
      <c r="H250" s="1"/>
    </row>
    <row r="251" spans="1:8" x14ac:dyDescent="0.45">
      <c r="A251" t="s">
        <v>283</v>
      </c>
      <c r="B251" s="1">
        <v>46273</v>
      </c>
      <c r="C251" t="s">
        <v>572</v>
      </c>
      <c r="D251" t="s">
        <v>10</v>
      </c>
      <c r="E251" t="s">
        <v>22</v>
      </c>
      <c r="F251" s="4">
        <v>4</v>
      </c>
      <c r="G251" s="3">
        <v>326763</v>
      </c>
      <c r="H251" s="1"/>
    </row>
    <row r="252" spans="1:8" x14ac:dyDescent="0.45">
      <c r="A252" t="s">
        <v>284</v>
      </c>
      <c r="B252" s="1">
        <v>46295</v>
      </c>
      <c r="C252" t="s">
        <v>567</v>
      </c>
      <c r="D252" t="s">
        <v>10</v>
      </c>
      <c r="E252" t="s">
        <v>19</v>
      </c>
      <c r="F252" s="4">
        <v>6</v>
      </c>
      <c r="G252" s="3">
        <v>85214</v>
      </c>
      <c r="H252" s="1"/>
    </row>
    <row r="253" spans="1:8" x14ac:dyDescent="0.45">
      <c r="A253" t="s">
        <v>285</v>
      </c>
      <c r="B253" s="1">
        <v>46290</v>
      </c>
      <c r="C253" t="s">
        <v>573</v>
      </c>
      <c r="D253" t="s">
        <v>10</v>
      </c>
      <c r="E253" t="s">
        <v>49</v>
      </c>
      <c r="F253" s="4">
        <v>6</v>
      </c>
      <c r="G253" s="3">
        <v>405496</v>
      </c>
      <c r="H253" s="1"/>
    </row>
    <row r="254" spans="1:8" x14ac:dyDescent="0.45">
      <c r="A254" t="s">
        <v>286</v>
      </c>
      <c r="B254" s="1">
        <v>46282</v>
      </c>
      <c r="C254" t="s">
        <v>570</v>
      </c>
      <c r="D254" t="s">
        <v>33</v>
      </c>
      <c r="E254" t="s">
        <v>31</v>
      </c>
      <c r="F254" s="4">
        <v>4</v>
      </c>
      <c r="G254" s="3">
        <v>156598</v>
      </c>
      <c r="H254" s="1"/>
    </row>
    <row r="255" spans="1:8" x14ac:dyDescent="0.45">
      <c r="A255" t="s">
        <v>287</v>
      </c>
      <c r="B255" s="1">
        <v>46287</v>
      </c>
      <c r="C255" t="s">
        <v>568</v>
      </c>
      <c r="D255" t="s">
        <v>576</v>
      </c>
      <c r="E255" t="s">
        <v>26</v>
      </c>
      <c r="F255" s="4">
        <v>10</v>
      </c>
      <c r="G255" s="3">
        <v>24875</v>
      </c>
      <c r="H255" s="1"/>
    </row>
    <row r="256" spans="1:8" x14ac:dyDescent="0.45">
      <c r="A256" t="s">
        <v>288</v>
      </c>
      <c r="B256" s="1">
        <v>46273</v>
      </c>
      <c r="C256" t="s">
        <v>568</v>
      </c>
      <c r="D256" t="s">
        <v>576</v>
      </c>
      <c r="E256" t="s">
        <v>26</v>
      </c>
      <c r="F256" s="4">
        <v>9</v>
      </c>
      <c r="G256" s="3">
        <v>186189</v>
      </c>
      <c r="H256" s="1"/>
    </row>
    <row r="257" spans="1:8" x14ac:dyDescent="0.45">
      <c r="A257" t="s">
        <v>289</v>
      </c>
      <c r="B257" s="1">
        <v>46285</v>
      </c>
      <c r="C257" t="s">
        <v>574</v>
      </c>
      <c r="D257" t="s">
        <v>10</v>
      </c>
      <c r="E257" t="s">
        <v>19</v>
      </c>
      <c r="F257" s="4">
        <v>2</v>
      </c>
      <c r="G257" s="3">
        <v>59197</v>
      </c>
      <c r="H257" s="1"/>
    </row>
    <row r="258" spans="1:8" x14ac:dyDescent="0.45">
      <c r="A258" t="s">
        <v>290</v>
      </c>
      <c r="B258" s="1">
        <v>46273</v>
      </c>
      <c r="C258" t="s">
        <v>575</v>
      </c>
      <c r="D258" t="s">
        <v>10</v>
      </c>
      <c r="E258" t="s">
        <v>24</v>
      </c>
      <c r="F258" s="4">
        <v>4</v>
      </c>
      <c r="G258" s="3">
        <v>494088</v>
      </c>
      <c r="H258" s="1"/>
    </row>
    <row r="259" spans="1:8" x14ac:dyDescent="0.45">
      <c r="A259" t="s">
        <v>291</v>
      </c>
      <c r="B259" s="1">
        <v>46271</v>
      </c>
      <c r="C259" t="s">
        <v>572</v>
      </c>
      <c r="D259" t="s">
        <v>10</v>
      </c>
      <c r="E259" t="s">
        <v>31</v>
      </c>
      <c r="F259" s="4">
        <v>5</v>
      </c>
      <c r="G259" s="3">
        <v>426853</v>
      </c>
      <c r="H259" s="1"/>
    </row>
    <row r="260" spans="1:8" x14ac:dyDescent="0.45">
      <c r="A260" t="s">
        <v>292</v>
      </c>
      <c r="B260" s="1">
        <v>46279</v>
      </c>
      <c r="C260" t="s">
        <v>574</v>
      </c>
      <c r="D260" t="s">
        <v>10</v>
      </c>
      <c r="E260" t="s">
        <v>19</v>
      </c>
      <c r="F260" s="4" t="s">
        <v>29</v>
      </c>
      <c r="G260" s="3">
        <v>413734</v>
      </c>
      <c r="H260" s="1"/>
    </row>
    <row r="261" spans="1:8" x14ac:dyDescent="0.45">
      <c r="A261" t="s">
        <v>293</v>
      </c>
      <c r="B261" s="1">
        <v>46268</v>
      </c>
      <c r="C261" t="s">
        <v>572</v>
      </c>
      <c r="D261" t="s">
        <v>10</v>
      </c>
      <c r="E261" t="s">
        <v>38</v>
      </c>
      <c r="F261" s="4">
        <v>1</v>
      </c>
      <c r="G261" s="3">
        <v>333881</v>
      </c>
      <c r="H261" s="1"/>
    </row>
    <row r="262" spans="1:8" x14ac:dyDescent="0.45">
      <c r="A262" t="s">
        <v>294</v>
      </c>
      <c r="B262" s="1">
        <v>46286</v>
      </c>
      <c r="C262" t="s">
        <v>567</v>
      </c>
      <c r="D262" t="s">
        <v>33</v>
      </c>
      <c r="E262" t="s">
        <v>22</v>
      </c>
      <c r="F262" s="4">
        <v>6</v>
      </c>
      <c r="G262" s="3">
        <v>126170</v>
      </c>
      <c r="H262" s="1"/>
    </row>
    <row r="263" spans="1:8" x14ac:dyDescent="0.45">
      <c r="A263" t="s">
        <v>295</v>
      </c>
      <c r="B263" s="1">
        <v>46283</v>
      </c>
      <c r="C263" t="s">
        <v>572</v>
      </c>
      <c r="D263" t="s">
        <v>10</v>
      </c>
      <c r="E263" t="s">
        <v>24</v>
      </c>
      <c r="F263" s="4">
        <v>10</v>
      </c>
      <c r="G263" s="3">
        <v>366514</v>
      </c>
      <c r="H263" s="1"/>
    </row>
    <row r="264" spans="1:8" x14ac:dyDescent="0.45">
      <c r="A264" t="s">
        <v>296</v>
      </c>
      <c r="B264" s="1">
        <v>46274</v>
      </c>
      <c r="C264" t="s">
        <v>575</v>
      </c>
      <c r="D264" t="s">
        <v>10</v>
      </c>
      <c r="E264" t="s">
        <v>49</v>
      </c>
      <c r="F264" s="4">
        <v>8</v>
      </c>
      <c r="G264" s="3">
        <v>56027</v>
      </c>
      <c r="H264" s="1"/>
    </row>
    <row r="265" spans="1:8" x14ac:dyDescent="0.45">
      <c r="A265" t="s">
        <v>297</v>
      </c>
      <c r="B265" s="1">
        <v>46281</v>
      </c>
      <c r="C265" t="s">
        <v>575</v>
      </c>
      <c r="D265" t="s">
        <v>11</v>
      </c>
      <c r="E265" t="s">
        <v>22</v>
      </c>
      <c r="F265" s="4">
        <v>6</v>
      </c>
      <c r="G265" s="3">
        <v>486281</v>
      </c>
      <c r="H265" s="1"/>
    </row>
    <row r="266" spans="1:8" x14ac:dyDescent="0.45">
      <c r="A266" t="s">
        <v>299</v>
      </c>
      <c r="B266" s="1">
        <v>46277</v>
      </c>
      <c r="C266" t="s">
        <v>571</v>
      </c>
      <c r="D266" t="s">
        <v>11</v>
      </c>
      <c r="E266" t="s">
        <v>26</v>
      </c>
      <c r="F266" s="4">
        <v>6</v>
      </c>
      <c r="G266" s="3">
        <v>408580</v>
      </c>
      <c r="H266" s="1"/>
    </row>
    <row r="267" spans="1:8" x14ac:dyDescent="0.45">
      <c r="A267" t="s">
        <v>300</v>
      </c>
      <c r="B267" s="1">
        <v>46279</v>
      </c>
      <c r="C267" t="s">
        <v>572</v>
      </c>
      <c r="D267" t="s">
        <v>11</v>
      </c>
      <c r="E267" t="s">
        <v>26</v>
      </c>
      <c r="F267" s="4">
        <v>3</v>
      </c>
      <c r="G267" s="3">
        <v>214919</v>
      </c>
      <c r="H267" s="1"/>
    </row>
    <row r="268" spans="1:8" x14ac:dyDescent="0.45">
      <c r="A268" t="s">
        <v>301</v>
      </c>
      <c r="B268" s="1">
        <v>46277</v>
      </c>
      <c r="C268" t="s">
        <v>571</v>
      </c>
      <c r="D268" t="s">
        <v>33</v>
      </c>
      <c r="E268" t="s">
        <v>26</v>
      </c>
      <c r="F268" s="4">
        <v>2</v>
      </c>
      <c r="G268" s="3">
        <v>120826</v>
      </c>
      <c r="H268" s="1"/>
    </row>
    <row r="269" spans="1:8" x14ac:dyDescent="0.45">
      <c r="A269" t="s">
        <v>302</v>
      </c>
      <c r="B269" s="1">
        <v>46290</v>
      </c>
      <c r="C269" t="s">
        <v>575</v>
      </c>
      <c r="D269" t="s">
        <v>576</v>
      </c>
      <c r="E269" t="s">
        <v>31</v>
      </c>
      <c r="F269" s="4">
        <v>3</v>
      </c>
      <c r="G269" s="3">
        <v>217897</v>
      </c>
      <c r="H269" s="1"/>
    </row>
    <row r="270" spans="1:8" x14ac:dyDescent="0.45">
      <c r="A270" t="s">
        <v>303</v>
      </c>
      <c r="B270" s="1">
        <v>46293</v>
      </c>
      <c r="C270" t="s">
        <v>575</v>
      </c>
      <c r="D270" t="s">
        <v>33</v>
      </c>
      <c r="E270" t="s">
        <v>569</v>
      </c>
      <c r="F270" s="4">
        <v>5</v>
      </c>
      <c r="G270" s="3">
        <v>218294</v>
      </c>
      <c r="H270" s="1"/>
    </row>
    <row r="271" spans="1:8" x14ac:dyDescent="0.45">
      <c r="A271" t="s">
        <v>304</v>
      </c>
      <c r="B271" s="1">
        <v>46275</v>
      </c>
      <c r="C271" t="s">
        <v>571</v>
      </c>
      <c r="D271" t="s">
        <v>11</v>
      </c>
      <c r="E271" t="s">
        <v>38</v>
      </c>
      <c r="F271" s="4">
        <v>3</v>
      </c>
      <c r="G271" s="3">
        <v>318583</v>
      </c>
      <c r="H271" s="1"/>
    </row>
    <row r="272" spans="1:8" x14ac:dyDescent="0.45">
      <c r="A272" t="s">
        <v>305</v>
      </c>
      <c r="B272" s="1">
        <v>46286</v>
      </c>
      <c r="C272" t="s">
        <v>572</v>
      </c>
      <c r="D272" t="s">
        <v>10</v>
      </c>
      <c r="E272" t="s">
        <v>22</v>
      </c>
      <c r="F272" s="4">
        <v>2</v>
      </c>
      <c r="G272" s="3">
        <v>400656</v>
      </c>
      <c r="H272" s="1"/>
    </row>
    <row r="273" spans="1:8" x14ac:dyDescent="0.45">
      <c r="A273" t="s">
        <v>306</v>
      </c>
      <c r="B273" s="1">
        <v>46282</v>
      </c>
      <c r="C273" t="s">
        <v>571</v>
      </c>
      <c r="D273" t="s">
        <v>577</v>
      </c>
      <c r="E273" t="s">
        <v>26</v>
      </c>
      <c r="F273" s="4">
        <v>5</v>
      </c>
      <c r="G273" s="3">
        <v>448719</v>
      </c>
      <c r="H273" s="1"/>
    </row>
    <row r="274" spans="1:8" x14ac:dyDescent="0.45">
      <c r="A274" t="s">
        <v>307</v>
      </c>
      <c r="B274" s="1">
        <v>46270</v>
      </c>
      <c r="C274" t="s">
        <v>570</v>
      </c>
      <c r="D274" t="s">
        <v>10</v>
      </c>
      <c r="E274" t="s">
        <v>26</v>
      </c>
      <c r="F274" s="4">
        <v>8</v>
      </c>
      <c r="G274" s="3">
        <v>461915</v>
      </c>
      <c r="H274" s="1"/>
    </row>
    <row r="275" spans="1:8" x14ac:dyDescent="0.45">
      <c r="A275" t="s">
        <v>308</v>
      </c>
      <c r="B275" s="1">
        <v>46293</v>
      </c>
      <c r="C275" t="s">
        <v>567</v>
      </c>
      <c r="D275" t="s">
        <v>11</v>
      </c>
      <c r="E275" t="s">
        <v>569</v>
      </c>
      <c r="F275" s="4">
        <v>9</v>
      </c>
      <c r="G275" s="3">
        <v>143241</v>
      </c>
      <c r="H275" s="1"/>
    </row>
    <row r="276" spans="1:8" x14ac:dyDescent="0.45">
      <c r="A276" t="s">
        <v>309</v>
      </c>
      <c r="B276" s="1">
        <v>46276</v>
      </c>
      <c r="C276" t="s">
        <v>568</v>
      </c>
      <c r="D276" t="s">
        <v>10</v>
      </c>
      <c r="E276" t="s">
        <v>26</v>
      </c>
      <c r="F276" s="4">
        <v>7</v>
      </c>
      <c r="G276" s="3">
        <v>26923</v>
      </c>
      <c r="H276" s="1"/>
    </row>
    <row r="277" spans="1:8" x14ac:dyDescent="0.45">
      <c r="A277" t="s">
        <v>310</v>
      </c>
      <c r="B277" s="1">
        <v>46280</v>
      </c>
      <c r="C277" t="s">
        <v>567</v>
      </c>
      <c r="D277" t="s">
        <v>10</v>
      </c>
      <c r="E277" t="s">
        <v>26</v>
      </c>
      <c r="F277" s="4" t="s">
        <v>255</v>
      </c>
      <c r="G277" s="3">
        <v>183697</v>
      </c>
      <c r="H277" s="1"/>
    </row>
    <row r="278" spans="1:8" x14ac:dyDescent="0.45">
      <c r="A278" t="s">
        <v>311</v>
      </c>
      <c r="B278" s="1">
        <v>46273</v>
      </c>
      <c r="C278" t="s">
        <v>571</v>
      </c>
      <c r="D278" t="s">
        <v>10</v>
      </c>
      <c r="E278" t="s">
        <v>38</v>
      </c>
      <c r="F278" s="4">
        <v>5</v>
      </c>
      <c r="G278" s="3">
        <v>339471</v>
      </c>
      <c r="H278" s="1"/>
    </row>
    <row r="279" spans="1:8" x14ac:dyDescent="0.45">
      <c r="A279" t="s">
        <v>312</v>
      </c>
      <c r="B279" s="1">
        <v>46287</v>
      </c>
      <c r="C279" t="s">
        <v>573</v>
      </c>
      <c r="D279" t="s">
        <v>577</v>
      </c>
      <c r="E279" t="s">
        <v>26</v>
      </c>
      <c r="F279" s="4">
        <v>3</v>
      </c>
      <c r="G279" s="3">
        <v>403500</v>
      </c>
      <c r="H279" s="1"/>
    </row>
    <row r="280" spans="1:8" x14ac:dyDescent="0.45">
      <c r="A280" t="s">
        <v>313</v>
      </c>
      <c r="B280" s="1">
        <v>46277</v>
      </c>
      <c r="C280" t="s">
        <v>568</v>
      </c>
      <c r="D280" t="s">
        <v>10</v>
      </c>
      <c r="E280" t="s">
        <v>569</v>
      </c>
      <c r="F280" s="4">
        <v>6</v>
      </c>
      <c r="G280" s="3">
        <v>357431</v>
      </c>
      <c r="H280" s="1"/>
    </row>
    <row r="281" spans="1:8" x14ac:dyDescent="0.45">
      <c r="A281" t="s">
        <v>314</v>
      </c>
      <c r="B281" s="1">
        <v>46293</v>
      </c>
      <c r="C281" t="s">
        <v>568</v>
      </c>
      <c r="D281" t="s">
        <v>577</v>
      </c>
      <c r="E281" t="s">
        <v>26</v>
      </c>
      <c r="F281" s="4">
        <v>10</v>
      </c>
      <c r="G281" s="3">
        <v>315375</v>
      </c>
      <c r="H281" s="1"/>
    </row>
    <row r="282" spans="1:8" x14ac:dyDescent="0.45">
      <c r="A282" t="s">
        <v>315</v>
      </c>
      <c r="B282" s="1">
        <v>46295</v>
      </c>
      <c r="C282" t="s">
        <v>573</v>
      </c>
      <c r="D282" t="s">
        <v>10</v>
      </c>
      <c r="E282" t="s">
        <v>49</v>
      </c>
      <c r="F282" s="4">
        <v>10</v>
      </c>
      <c r="G282" s="3">
        <v>386193</v>
      </c>
      <c r="H282" s="1"/>
    </row>
    <row r="283" spans="1:8" x14ac:dyDescent="0.45">
      <c r="A283" t="s">
        <v>316</v>
      </c>
      <c r="B283" s="1">
        <v>46269</v>
      </c>
      <c r="C283" t="s">
        <v>571</v>
      </c>
      <c r="D283" t="s">
        <v>10</v>
      </c>
      <c r="E283" t="s">
        <v>31</v>
      </c>
      <c r="F283" s="4" t="s">
        <v>121</v>
      </c>
      <c r="G283" s="3">
        <v>460767</v>
      </c>
      <c r="H283" s="1"/>
    </row>
    <row r="284" spans="1:8" x14ac:dyDescent="0.45">
      <c r="A284" t="s">
        <v>317</v>
      </c>
      <c r="B284" s="1">
        <v>46281</v>
      </c>
      <c r="C284" t="s">
        <v>567</v>
      </c>
      <c r="D284" t="s">
        <v>10</v>
      </c>
      <c r="E284" t="s">
        <v>24</v>
      </c>
      <c r="F284" s="4">
        <v>4</v>
      </c>
      <c r="G284" s="3">
        <v>470269</v>
      </c>
      <c r="H284" s="1"/>
    </row>
    <row r="285" spans="1:8" x14ac:dyDescent="0.45">
      <c r="A285" t="s">
        <v>318</v>
      </c>
      <c r="B285" s="1">
        <v>46276</v>
      </c>
      <c r="C285" t="s">
        <v>570</v>
      </c>
      <c r="D285" t="s">
        <v>11</v>
      </c>
      <c r="E285" t="s">
        <v>22</v>
      </c>
      <c r="F285" s="4">
        <v>4</v>
      </c>
      <c r="G285" s="3">
        <v>232889</v>
      </c>
      <c r="H285" s="1"/>
    </row>
    <row r="286" spans="1:8" x14ac:dyDescent="0.45">
      <c r="A286" t="s">
        <v>319</v>
      </c>
      <c r="B286" s="1">
        <v>46268</v>
      </c>
      <c r="C286" t="s">
        <v>571</v>
      </c>
      <c r="D286" t="s">
        <v>33</v>
      </c>
      <c r="E286" t="s">
        <v>24</v>
      </c>
      <c r="F286" s="4">
        <v>5</v>
      </c>
      <c r="G286" s="3">
        <v>283052</v>
      </c>
      <c r="H286" s="1"/>
    </row>
    <row r="287" spans="1:8" x14ac:dyDescent="0.45">
      <c r="A287" t="s">
        <v>320</v>
      </c>
      <c r="B287" s="1">
        <v>46292</v>
      </c>
      <c r="C287" t="s">
        <v>567</v>
      </c>
      <c r="D287" t="s">
        <v>10</v>
      </c>
      <c r="E287" t="s">
        <v>19</v>
      </c>
      <c r="F287" s="4" t="s">
        <v>85</v>
      </c>
      <c r="G287" s="3">
        <v>108209</v>
      </c>
      <c r="H287" s="1"/>
    </row>
    <row r="288" spans="1:8" x14ac:dyDescent="0.45">
      <c r="A288" t="s">
        <v>321</v>
      </c>
      <c r="B288" s="1">
        <v>46295</v>
      </c>
      <c r="C288" t="s">
        <v>575</v>
      </c>
      <c r="D288" t="s">
        <v>10</v>
      </c>
      <c r="E288" t="s">
        <v>49</v>
      </c>
      <c r="F288" s="4">
        <v>6</v>
      </c>
      <c r="G288" s="3">
        <v>341959</v>
      </c>
      <c r="H288" s="1"/>
    </row>
    <row r="289" spans="1:8" x14ac:dyDescent="0.45">
      <c r="A289" t="s">
        <v>322</v>
      </c>
      <c r="B289" s="1">
        <v>46272</v>
      </c>
      <c r="C289" t="s">
        <v>568</v>
      </c>
      <c r="D289" t="s">
        <v>11</v>
      </c>
      <c r="E289" t="s">
        <v>24</v>
      </c>
      <c r="F289" s="4">
        <v>7</v>
      </c>
      <c r="G289" s="3">
        <v>431440</v>
      </c>
      <c r="H289" s="1"/>
    </row>
    <row r="290" spans="1:8" x14ac:dyDescent="0.45">
      <c r="A290" t="s">
        <v>323</v>
      </c>
      <c r="B290" s="1">
        <v>46269</v>
      </c>
      <c r="C290" t="s">
        <v>571</v>
      </c>
      <c r="D290" t="s">
        <v>10</v>
      </c>
      <c r="E290" t="s">
        <v>19</v>
      </c>
      <c r="F290" s="4" t="s">
        <v>85</v>
      </c>
      <c r="G290" s="3">
        <v>15196</v>
      </c>
      <c r="H290" s="1"/>
    </row>
    <row r="291" spans="1:8" x14ac:dyDescent="0.45">
      <c r="A291" t="s">
        <v>324</v>
      </c>
      <c r="B291" s="1">
        <v>46276</v>
      </c>
      <c r="C291" t="s">
        <v>568</v>
      </c>
      <c r="D291" t="s">
        <v>33</v>
      </c>
      <c r="E291" t="s">
        <v>19</v>
      </c>
      <c r="F291" s="4" t="s">
        <v>298</v>
      </c>
      <c r="G291" s="3">
        <v>37605</v>
      </c>
      <c r="H291" s="1"/>
    </row>
    <row r="292" spans="1:8" x14ac:dyDescent="0.45">
      <c r="A292" t="s">
        <v>325</v>
      </c>
      <c r="B292" s="1">
        <v>46293</v>
      </c>
      <c r="C292" t="s">
        <v>572</v>
      </c>
      <c r="D292" t="s">
        <v>10</v>
      </c>
      <c r="E292" t="s">
        <v>31</v>
      </c>
      <c r="F292" s="4">
        <v>7</v>
      </c>
      <c r="G292" s="3">
        <v>57016</v>
      </c>
      <c r="H292" s="1"/>
    </row>
    <row r="293" spans="1:8" x14ac:dyDescent="0.45">
      <c r="A293" t="s">
        <v>326</v>
      </c>
      <c r="B293" s="1">
        <v>46281</v>
      </c>
      <c r="C293" t="s">
        <v>570</v>
      </c>
      <c r="D293" t="s">
        <v>11</v>
      </c>
      <c r="E293" t="s">
        <v>22</v>
      </c>
      <c r="F293" s="4">
        <v>4</v>
      </c>
      <c r="G293" s="3">
        <v>413186</v>
      </c>
      <c r="H293" s="1"/>
    </row>
    <row r="294" spans="1:8" x14ac:dyDescent="0.45">
      <c r="A294" t="s">
        <v>327</v>
      </c>
      <c r="B294" s="1">
        <v>46272</v>
      </c>
      <c r="C294" t="s">
        <v>568</v>
      </c>
      <c r="D294" t="s">
        <v>10</v>
      </c>
      <c r="E294" t="s">
        <v>31</v>
      </c>
      <c r="F294" s="4">
        <v>10</v>
      </c>
      <c r="G294" s="3">
        <v>226161</v>
      </c>
      <c r="H294" s="1"/>
    </row>
    <row r="295" spans="1:8" x14ac:dyDescent="0.45">
      <c r="A295" t="s">
        <v>328</v>
      </c>
      <c r="B295" s="1">
        <v>46269</v>
      </c>
      <c r="C295" t="s">
        <v>570</v>
      </c>
      <c r="D295" t="s">
        <v>10</v>
      </c>
      <c r="E295" t="s">
        <v>19</v>
      </c>
      <c r="F295" s="4">
        <v>6</v>
      </c>
      <c r="G295" s="3">
        <v>435901</v>
      </c>
      <c r="H295" s="1"/>
    </row>
    <row r="296" spans="1:8" x14ac:dyDescent="0.45">
      <c r="A296" t="s">
        <v>329</v>
      </c>
      <c r="B296" s="1">
        <v>46282</v>
      </c>
      <c r="C296" t="s">
        <v>574</v>
      </c>
      <c r="D296" t="s">
        <v>33</v>
      </c>
      <c r="E296" t="s">
        <v>569</v>
      </c>
      <c r="F296" s="4">
        <v>4</v>
      </c>
      <c r="G296" s="3">
        <v>73388</v>
      </c>
      <c r="H296" s="1"/>
    </row>
    <row r="297" spans="1:8" x14ac:dyDescent="0.45">
      <c r="A297" t="s">
        <v>330</v>
      </c>
      <c r="B297" s="1">
        <v>46283</v>
      </c>
      <c r="C297" t="s">
        <v>568</v>
      </c>
      <c r="D297" t="s">
        <v>577</v>
      </c>
      <c r="E297" t="s">
        <v>49</v>
      </c>
      <c r="F297" s="4">
        <v>4</v>
      </c>
      <c r="G297" s="3">
        <v>468918</v>
      </c>
      <c r="H297" s="1"/>
    </row>
    <row r="298" spans="1:8" x14ac:dyDescent="0.45">
      <c r="A298" t="s">
        <v>331</v>
      </c>
      <c r="B298" s="1">
        <v>46271</v>
      </c>
      <c r="C298" t="s">
        <v>574</v>
      </c>
      <c r="D298" t="s">
        <v>10</v>
      </c>
      <c r="E298" t="s">
        <v>19</v>
      </c>
      <c r="F298" s="4">
        <v>3</v>
      </c>
      <c r="G298" s="3">
        <v>191305</v>
      </c>
      <c r="H298" s="1"/>
    </row>
    <row r="299" spans="1:8" x14ac:dyDescent="0.45">
      <c r="A299" t="s">
        <v>332</v>
      </c>
      <c r="B299" s="1">
        <v>46273</v>
      </c>
      <c r="C299" t="s">
        <v>570</v>
      </c>
      <c r="D299" t="s">
        <v>10</v>
      </c>
      <c r="E299" t="s">
        <v>569</v>
      </c>
      <c r="F299" s="4">
        <v>3</v>
      </c>
      <c r="G299" s="3">
        <v>78262</v>
      </c>
      <c r="H299" s="1"/>
    </row>
    <row r="300" spans="1:8" x14ac:dyDescent="0.45">
      <c r="A300" t="s">
        <v>333</v>
      </c>
      <c r="B300" s="1">
        <v>46279</v>
      </c>
      <c r="C300" t="s">
        <v>571</v>
      </c>
      <c r="D300" t="s">
        <v>11</v>
      </c>
      <c r="E300" t="s">
        <v>49</v>
      </c>
      <c r="F300" s="4">
        <v>10</v>
      </c>
      <c r="G300" s="3">
        <v>339872</v>
      </c>
      <c r="H300" s="1"/>
    </row>
    <row r="301" spans="1:8" x14ac:dyDescent="0.45">
      <c r="A301" t="s">
        <v>334</v>
      </c>
      <c r="B301" s="1">
        <v>46284</v>
      </c>
      <c r="C301" t="s">
        <v>570</v>
      </c>
      <c r="D301" t="s">
        <v>11</v>
      </c>
      <c r="E301" t="s">
        <v>24</v>
      </c>
      <c r="F301" s="4">
        <v>6</v>
      </c>
      <c r="G301" s="3">
        <v>116466</v>
      </c>
      <c r="H301" s="1"/>
    </row>
    <row r="302" spans="1:8" x14ac:dyDescent="0.45">
      <c r="A302" t="s">
        <v>335</v>
      </c>
      <c r="B302" s="1">
        <v>46281</v>
      </c>
      <c r="C302" t="s">
        <v>568</v>
      </c>
      <c r="D302" t="s">
        <v>10</v>
      </c>
      <c r="E302" t="s">
        <v>38</v>
      </c>
      <c r="F302" s="4">
        <v>8</v>
      </c>
      <c r="G302" s="3">
        <v>408584</v>
      </c>
      <c r="H302" s="1"/>
    </row>
    <row r="303" spans="1:8" x14ac:dyDescent="0.45">
      <c r="A303" t="s">
        <v>336</v>
      </c>
      <c r="B303" s="1">
        <v>46280</v>
      </c>
      <c r="C303" t="s">
        <v>575</v>
      </c>
      <c r="D303" t="s">
        <v>10</v>
      </c>
      <c r="E303" t="s">
        <v>24</v>
      </c>
      <c r="F303" s="4">
        <v>8</v>
      </c>
      <c r="G303" s="3">
        <v>299380</v>
      </c>
      <c r="H303" s="1"/>
    </row>
    <row r="304" spans="1:8" x14ac:dyDescent="0.45">
      <c r="A304" t="s">
        <v>337</v>
      </c>
      <c r="B304" s="1">
        <v>46276</v>
      </c>
      <c r="C304" t="s">
        <v>574</v>
      </c>
      <c r="D304" t="s">
        <v>10</v>
      </c>
      <c r="E304" t="s">
        <v>24</v>
      </c>
      <c r="F304" s="4">
        <v>5</v>
      </c>
      <c r="G304" s="3">
        <v>258313</v>
      </c>
      <c r="H304" s="1"/>
    </row>
    <row r="305" spans="1:8" x14ac:dyDescent="0.45">
      <c r="A305" t="s">
        <v>338</v>
      </c>
      <c r="B305" s="1">
        <v>46270</v>
      </c>
      <c r="C305" t="s">
        <v>567</v>
      </c>
      <c r="D305" t="s">
        <v>577</v>
      </c>
      <c r="E305" t="s">
        <v>569</v>
      </c>
      <c r="F305" s="4" t="s">
        <v>253</v>
      </c>
      <c r="G305" s="3">
        <v>375998</v>
      </c>
      <c r="H305" s="1"/>
    </row>
    <row r="306" spans="1:8" x14ac:dyDescent="0.45">
      <c r="A306" t="s">
        <v>339</v>
      </c>
      <c r="B306" s="1">
        <v>46282</v>
      </c>
      <c r="C306" t="s">
        <v>570</v>
      </c>
      <c r="D306" t="s">
        <v>10</v>
      </c>
      <c r="E306" t="s">
        <v>22</v>
      </c>
      <c r="F306" s="4">
        <v>8</v>
      </c>
      <c r="G306" s="3">
        <v>401513</v>
      </c>
      <c r="H306" s="1"/>
    </row>
    <row r="307" spans="1:8" x14ac:dyDescent="0.45">
      <c r="A307" t="s">
        <v>340</v>
      </c>
      <c r="B307" s="1">
        <v>46291</v>
      </c>
      <c r="C307" t="s">
        <v>568</v>
      </c>
      <c r="D307" t="s">
        <v>10</v>
      </c>
      <c r="E307" t="s">
        <v>49</v>
      </c>
      <c r="F307" s="4">
        <v>10</v>
      </c>
      <c r="G307" s="3">
        <v>290401</v>
      </c>
      <c r="H307" s="1"/>
    </row>
    <row r="308" spans="1:8" x14ac:dyDescent="0.45">
      <c r="A308" t="s">
        <v>341</v>
      </c>
      <c r="B308" s="1">
        <v>46270</v>
      </c>
      <c r="C308" t="s">
        <v>567</v>
      </c>
      <c r="D308" t="s">
        <v>10</v>
      </c>
      <c r="E308" t="s">
        <v>569</v>
      </c>
      <c r="F308" s="4">
        <v>2</v>
      </c>
      <c r="G308" s="3">
        <v>138414</v>
      </c>
      <c r="H308" s="1"/>
    </row>
    <row r="309" spans="1:8" x14ac:dyDescent="0.45">
      <c r="A309" t="s">
        <v>342</v>
      </c>
      <c r="B309" s="1">
        <v>46277</v>
      </c>
      <c r="C309" t="s">
        <v>575</v>
      </c>
      <c r="D309" t="s">
        <v>10</v>
      </c>
      <c r="E309" t="s">
        <v>31</v>
      </c>
      <c r="F309" s="4">
        <v>3</v>
      </c>
      <c r="G309" s="3">
        <v>444602</v>
      </c>
      <c r="H309" s="1"/>
    </row>
    <row r="310" spans="1:8" x14ac:dyDescent="0.45">
      <c r="A310" t="s">
        <v>343</v>
      </c>
      <c r="B310" s="1">
        <v>46270</v>
      </c>
      <c r="C310" t="s">
        <v>574</v>
      </c>
      <c r="D310" t="s">
        <v>10</v>
      </c>
      <c r="E310" t="s">
        <v>569</v>
      </c>
      <c r="F310" s="4">
        <v>7</v>
      </c>
      <c r="G310" s="3">
        <v>491929</v>
      </c>
      <c r="H310" s="1"/>
    </row>
    <row r="311" spans="1:8" x14ac:dyDescent="0.45">
      <c r="A311" t="s">
        <v>344</v>
      </c>
      <c r="B311" s="1">
        <v>46272</v>
      </c>
      <c r="C311" t="s">
        <v>573</v>
      </c>
      <c r="D311" t="s">
        <v>11</v>
      </c>
      <c r="E311" t="s">
        <v>49</v>
      </c>
      <c r="F311" s="4">
        <v>6</v>
      </c>
      <c r="G311" s="3">
        <v>183361</v>
      </c>
      <c r="H311" s="1"/>
    </row>
    <row r="312" spans="1:8" x14ac:dyDescent="0.45">
      <c r="A312" t="s">
        <v>345</v>
      </c>
      <c r="B312" s="1">
        <v>46293</v>
      </c>
      <c r="C312" t="s">
        <v>574</v>
      </c>
      <c r="D312" t="s">
        <v>10</v>
      </c>
      <c r="E312" t="s">
        <v>49</v>
      </c>
      <c r="F312" s="4">
        <v>8</v>
      </c>
      <c r="G312" s="3">
        <v>204347</v>
      </c>
      <c r="H312" s="1"/>
    </row>
    <row r="313" spans="1:8" x14ac:dyDescent="0.45">
      <c r="A313" t="s">
        <v>346</v>
      </c>
      <c r="B313" s="1">
        <v>46290</v>
      </c>
      <c r="C313" t="s">
        <v>573</v>
      </c>
      <c r="D313" t="s">
        <v>10</v>
      </c>
      <c r="E313" t="s">
        <v>22</v>
      </c>
      <c r="F313" s="4">
        <v>3</v>
      </c>
      <c r="G313" s="3">
        <v>441978</v>
      </c>
      <c r="H313" s="1"/>
    </row>
    <row r="314" spans="1:8" x14ac:dyDescent="0.45">
      <c r="A314" t="s">
        <v>347</v>
      </c>
      <c r="B314" s="1">
        <v>46273</v>
      </c>
      <c r="C314" t="s">
        <v>575</v>
      </c>
      <c r="D314" t="s">
        <v>11</v>
      </c>
      <c r="E314" t="s">
        <v>19</v>
      </c>
      <c r="F314" s="4">
        <v>7</v>
      </c>
      <c r="G314" s="3">
        <v>172222</v>
      </c>
      <c r="H314" s="1"/>
    </row>
    <row r="315" spans="1:8" x14ac:dyDescent="0.45">
      <c r="A315" t="s">
        <v>348</v>
      </c>
      <c r="B315" s="1">
        <v>46275</v>
      </c>
      <c r="C315" t="s">
        <v>568</v>
      </c>
      <c r="D315" t="s">
        <v>10</v>
      </c>
      <c r="E315" t="s">
        <v>49</v>
      </c>
      <c r="F315" s="4">
        <v>10</v>
      </c>
      <c r="G315" s="3">
        <v>267526</v>
      </c>
      <c r="H315" s="1"/>
    </row>
    <row r="316" spans="1:8" x14ac:dyDescent="0.45">
      <c r="A316" t="s">
        <v>349</v>
      </c>
      <c r="B316" s="1">
        <v>46267</v>
      </c>
      <c r="C316" t="s">
        <v>571</v>
      </c>
      <c r="D316" t="s">
        <v>10</v>
      </c>
      <c r="E316" t="s">
        <v>569</v>
      </c>
      <c r="F316" s="4">
        <v>3</v>
      </c>
      <c r="G316" s="3">
        <v>455006</v>
      </c>
      <c r="H316" s="1"/>
    </row>
    <row r="317" spans="1:8" x14ac:dyDescent="0.45">
      <c r="A317" t="s">
        <v>350</v>
      </c>
      <c r="B317" s="1">
        <v>46291</v>
      </c>
      <c r="C317" t="s">
        <v>568</v>
      </c>
      <c r="D317" t="s">
        <v>10</v>
      </c>
      <c r="E317" t="s">
        <v>569</v>
      </c>
      <c r="F317" s="4">
        <v>7</v>
      </c>
      <c r="G317" s="3">
        <v>158655</v>
      </c>
      <c r="H317" s="1"/>
    </row>
    <row r="318" spans="1:8" x14ac:dyDescent="0.45">
      <c r="A318" t="s">
        <v>351</v>
      </c>
      <c r="B318" s="1">
        <v>46280</v>
      </c>
      <c r="C318" t="s">
        <v>573</v>
      </c>
      <c r="D318" t="s">
        <v>10</v>
      </c>
      <c r="E318" t="s">
        <v>38</v>
      </c>
      <c r="F318" s="4">
        <v>2</v>
      </c>
      <c r="G318" s="3">
        <v>80967</v>
      </c>
      <c r="H318" s="1"/>
    </row>
    <row r="319" spans="1:8" x14ac:dyDescent="0.45">
      <c r="A319" t="s">
        <v>352</v>
      </c>
      <c r="B319" s="1">
        <v>46268</v>
      </c>
      <c r="C319" t="s">
        <v>575</v>
      </c>
      <c r="D319" t="s">
        <v>10</v>
      </c>
      <c r="E319" t="s">
        <v>569</v>
      </c>
      <c r="F319" s="4" t="s">
        <v>298</v>
      </c>
      <c r="G319" s="3">
        <v>205164</v>
      </c>
      <c r="H319" s="1"/>
    </row>
    <row r="320" spans="1:8" x14ac:dyDescent="0.45">
      <c r="A320" t="s">
        <v>353</v>
      </c>
      <c r="B320" s="1">
        <v>46287</v>
      </c>
      <c r="C320" t="s">
        <v>570</v>
      </c>
      <c r="D320" t="s">
        <v>10</v>
      </c>
      <c r="E320" t="s">
        <v>19</v>
      </c>
      <c r="F320" s="4" t="s">
        <v>253</v>
      </c>
      <c r="G320" s="3">
        <v>309787</v>
      </c>
      <c r="H320" s="1"/>
    </row>
    <row r="321" spans="1:8" x14ac:dyDescent="0.45">
      <c r="A321" t="s">
        <v>354</v>
      </c>
      <c r="B321" s="1">
        <v>46291</v>
      </c>
      <c r="C321" t="s">
        <v>570</v>
      </c>
      <c r="D321" t="s">
        <v>576</v>
      </c>
      <c r="E321" t="s">
        <v>31</v>
      </c>
      <c r="F321" s="4">
        <v>9</v>
      </c>
      <c r="G321" s="3">
        <v>225353</v>
      </c>
      <c r="H321" s="1"/>
    </row>
    <row r="322" spans="1:8" x14ac:dyDescent="0.45">
      <c r="A322" t="s">
        <v>355</v>
      </c>
      <c r="B322" s="1">
        <v>46294</v>
      </c>
      <c r="C322" t="s">
        <v>573</v>
      </c>
      <c r="D322" t="s">
        <v>10</v>
      </c>
      <c r="E322" t="s">
        <v>31</v>
      </c>
      <c r="F322" s="4">
        <v>10</v>
      </c>
      <c r="G322" s="3">
        <v>194478</v>
      </c>
      <c r="H322" s="1"/>
    </row>
    <row r="323" spans="1:8" x14ac:dyDescent="0.45">
      <c r="A323" t="s">
        <v>356</v>
      </c>
      <c r="B323" s="1">
        <v>46291</v>
      </c>
      <c r="C323" t="s">
        <v>575</v>
      </c>
      <c r="D323" t="s">
        <v>10</v>
      </c>
      <c r="E323" t="s">
        <v>38</v>
      </c>
      <c r="F323" s="4">
        <v>9</v>
      </c>
      <c r="G323" s="3">
        <v>142554</v>
      </c>
      <c r="H323" s="1"/>
    </row>
    <row r="324" spans="1:8" x14ac:dyDescent="0.45">
      <c r="A324" t="s">
        <v>357</v>
      </c>
      <c r="B324" s="1">
        <v>46281</v>
      </c>
      <c r="C324" t="s">
        <v>575</v>
      </c>
      <c r="D324" t="s">
        <v>11</v>
      </c>
      <c r="E324" t="s">
        <v>19</v>
      </c>
      <c r="F324" s="4">
        <v>1</v>
      </c>
      <c r="G324" s="3">
        <v>183516</v>
      </c>
      <c r="H324" s="1"/>
    </row>
    <row r="325" spans="1:8" x14ac:dyDescent="0.45">
      <c r="A325" t="s">
        <v>358</v>
      </c>
      <c r="B325" s="1">
        <v>46283</v>
      </c>
      <c r="C325" t="s">
        <v>573</v>
      </c>
      <c r="D325" t="s">
        <v>10</v>
      </c>
      <c r="E325" t="s">
        <v>22</v>
      </c>
      <c r="F325" s="4">
        <v>8</v>
      </c>
      <c r="G325" s="3">
        <v>201370</v>
      </c>
      <c r="H325" s="1"/>
    </row>
    <row r="326" spans="1:8" x14ac:dyDescent="0.45">
      <c r="A326" t="s">
        <v>359</v>
      </c>
      <c r="B326" s="1">
        <v>46270</v>
      </c>
      <c r="C326" t="s">
        <v>573</v>
      </c>
      <c r="D326" t="s">
        <v>10</v>
      </c>
      <c r="E326" t="s">
        <v>49</v>
      </c>
      <c r="F326" s="4">
        <v>7</v>
      </c>
      <c r="G326" s="3">
        <v>111859</v>
      </c>
      <c r="H326" s="1"/>
    </row>
    <row r="327" spans="1:8" x14ac:dyDescent="0.45">
      <c r="A327" t="s">
        <v>360</v>
      </c>
      <c r="B327" s="1">
        <v>46276</v>
      </c>
      <c r="C327" t="s">
        <v>575</v>
      </c>
      <c r="D327" t="s">
        <v>33</v>
      </c>
      <c r="E327" t="s">
        <v>31</v>
      </c>
      <c r="F327" s="4">
        <v>5</v>
      </c>
      <c r="G327" s="3">
        <v>210376</v>
      </c>
      <c r="H327" s="1"/>
    </row>
    <row r="328" spans="1:8" x14ac:dyDescent="0.45">
      <c r="A328" t="s">
        <v>361</v>
      </c>
      <c r="B328" s="1">
        <v>46269</v>
      </c>
      <c r="C328" t="s">
        <v>575</v>
      </c>
      <c r="D328" t="s">
        <v>10</v>
      </c>
      <c r="E328" t="s">
        <v>31</v>
      </c>
      <c r="F328" s="4">
        <v>9</v>
      </c>
      <c r="G328" s="3">
        <v>68778</v>
      </c>
      <c r="H328" s="1"/>
    </row>
    <row r="329" spans="1:8" x14ac:dyDescent="0.45">
      <c r="A329" t="s">
        <v>362</v>
      </c>
      <c r="B329" s="1">
        <v>46277</v>
      </c>
      <c r="C329" t="s">
        <v>568</v>
      </c>
      <c r="D329" t="s">
        <v>10</v>
      </c>
      <c r="E329" t="s">
        <v>31</v>
      </c>
      <c r="F329" s="4">
        <v>8</v>
      </c>
      <c r="G329" s="3">
        <v>88058</v>
      </c>
      <c r="H329" s="1"/>
    </row>
    <row r="330" spans="1:8" x14ac:dyDescent="0.45">
      <c r="A330" t="s">
        <v>363</v>
      </c>
      <c r="B330" s="1">
        <v>46279</v>
      </c>
      <c r="C330" t="s">
        <v>573</v>
      </c>
      <c r="D330" t="s">
        <v>10</v>
      </c>
      <c r="E330" t="s">
        <v>19</v>
      </c>
      <c r="F330" s="4">
        <v>6</v>
      </c>
      <c r="G330" s="3">
        <v>42479</v>
      </c>
      <c r="H330" s="1"/>
    </row>
    <row r="331" spans="1:8" x14ac:dyDescent="0.45">
      <c r="A331" t="s">
        <v>364</v>
      </c>
      <c r="B331" s="1">
        <v>46266</v>
      </c>
      <c r="C331" t="s">
        <v>567</v>
      </c>
      <c r="D331" t="s">
        <v>576</v>
      </c>
      <c r="E331" t="s">
        <v>49</v>
      </c>
      <c r="F331" s="4">
        <v>6</v>
      </c>
      <c r="G331" s="3">
        <v>135506</v>
      </c>
      <c r="H331" s="1"/>
    </row>
    <row r="332" spans="1:8" x14ac:dyDescent="0.45">
      <c r="A332" t="s">
        <v>365</v>
      </c>
      <c r="B332" s="1">
        <v>46281</v>
      </c>
      <c r="C332" t="s">
        <v>567</v>
      </c>
      <c r="D332" t="s">
        <v>33</v>
      </c>
      <c r="E332" t="s">
        <v>38</v>
      </c>
      <c r="F332" s="4">
        <v>5</v>
      </c>
      <c r="G332" s="3">
        <v>101574</v>
      </c>
      <c r="H332" s="1"/>
    </row>
    <row r="333" spans="1:8" x14ac:dyDescent="0.45">
      <c r="A333" t="s">
        <v>366</v>
      </c>
      <c r="B333" s="1">
        <v>46267</v>
      </c>
      <c r="C333" t="s">
        <v>568</v>
      </c>
      <c r="D333" t="s">
        <v>577</v>
      </c>
      <c r="E333" t="s">
        <v>569</v>
      </c>
      <c r="F333" s="4">
        <v>2</v>
      </c>
      <c r="G333" s="3">
        <v>309395</v>
      </c>
      <c r="H333" s="1"/>
    </row>
    <row r="334" spans="1:8" x14ac:dyDescent="0.45">
      <c r="A334" t="s">
        <v>367</v>
      </c>
      <c r="B334" s="1">
        <v>46287</v>
      </c>
      <c r="C334" t="s">
        <v>571</v>
      </c>
      <c r="D334" t="s">
        <v>576</v>
      </c>
      <c r="E334" t="s">
        <v>26</v>
      </c>
      <c r="F334" s="4">
        <v>4</v>
      </c>
      <c r="G334" s="3">
        <v>37356</v>
      </c>
      <c r="H334" s="1"/>
    </row>
    <row r="335" spans="1:8" x14ac:dyDescent="0.45">
      <c r="A335" t="s">
        <v>368</v>
      </c>
      <c r="B335" s="1">
        <v>46289</v>
      </c>
      <c r="C335" t="s">
        <v>570</v>
      </c>
      <c r="D335" t="s">
        <v>577</v>
      </c>
      <c r="E335" t="s">
        <v>19</v>
      </c>
      <c r="F335" s="4">
        <v>10</v>
      </c>
      <c r="G335" s="3">
        <v>477244</v>
      </c>
      <c r="H335" s="1"/>
    </row>
    <row r="336" spans="1:8" x14ac:dyDescent="0.45">
      <c r="A336" t="s">
        <v>369</v>
      </c>
      <c r="B336" s="1">
        <v>46268</v>
      </c>
      <c r="C336" t="s">
        <v>572</v>
      </c>
      <c r="D336" t="s">
        <v>10</v>
      </c>
      <c r="E336" t="s">
        <v>24</v>
      </c>
      <c r="F336" s="4">
        <v>6</v>
      </c>
      <c r="G336" s="3">
        <v>264067</v>
      </c>
      <c r="H336" s="1"/>
    </row>
    <row r="337" spans="1:8" x14ac:dyDescent="0.45">
      <c r="A337" t="s">
        <v>370</v>
      </c>
      <c r="B337" s="1">
        <v>46272</v>
      </c>
      <c r="C337" t="s">
        <v>570</v>
      </c>
      <c r="D337" t="s">
        <v>11</v>
      </c>
      <c r="E337" t="s">
        <v>19</v>
      </c>
      <c r="F337" s="4">
        <v>9</v>
      </c>
      <c r="G337" s="3">
        <v>420637</v>
      </c>
      <c r="H337" s="1"/>
    </row>
    <row r="338" spans="1:8" x14ac:dyDescent="0.45">
      <c r="A338" t="s">
        <v>371</v>
      </c>
      <c r="B338" s="1">
        <v>46281</v>
      </c>
      <c r="C338" t="s">
        <v>567</v>
      </c>
      <c r="D338" t="s">
        <v>10</v>
      </c>
      <c r="E338" t="s">
        <v>31</v>
      </c>
      <c r="F338" s="4">
        <v>6</v>
      </c>
      <c r="G338" s="3">
        <v>445087</v>
      </c>
      <c r="H338" s="1"/>
    </row>
    <row r="339" spans="1:8" x14ac:dyDescent="0.45">
      <c r="A339" t="s">
        <v>372</v>
      </c>
      <c r="B339" s="1">
        <v>46272</v>
      </c>
      <c r="C339" t="s">
        <v>575</v>
      </c>
      <c r="D339" t="s">
        <v>10</v>
      </c>
      <c r="E339" t="s">
        <v>19</v>
      </c>
      <c r="F339" s="4">
        <v>7</v>
      </c>
      <c r="G339" s="3">
        <v>300643</v>
      </c>
      <c r="H339" s="1"/>
    </row>
    <row r="340" spans="1:8" x14ac:dyDescent="0.45">
      <c r="A340" t="s">
        <v>373</v>
      </c>
      <c r="B340" s="1">
        <v>46268</v>
      </c>
      <c r="C340" t="s">
        <v>571</v>
      </c>
      <c r="D340" t="s">
        <v>33</v>
      </c>
      <c r="E340" t="s">
        <v>569</v>
      </c>
      <c r="F340" s="4">
        <v>6</v>
      </c>
      <c r="G340" s="3">
        <v>455402</v>
      </c>
      <c r="H340" s="1"/>
    </row>
    <row r="341" spans="1:8" x14ac:dyDescent="0.45">
      <c r="A341" t="s">
        <v>374</v>
      </c>
      <c r="B341" s="1">
        <v>46273</v>
      </c>
      <c r="C341" t="s">
        <v>574</v>
      </c>
      <c r="D341" t="s">
        <v>33</v>
      </c>
      <c r="E341" t="s">
        <v>38</v>
      </c>
      <c r="F341" s="4">
        <v>5</v>
      </c>
      <c r="G341" s="3">
        <v>191697</v>
      </c>
      <c r="H341" s="1"/>
    </row>
    <row r="342" spans="1:8" x14ac:dyDescent="0.45">
      <c r="A342" t="s">
        <v>375</v>
      </c>
      <c r="B342" s="1">
        <v>46271</v>
      </c>
      <c r="C342" t="s">
        <v>567</v>
      </c>
      <c r="D342" t="s">
        <v>11</v>
      </c>
      <c r="E342" t="s">
        <v>569</v>
      </c>
      <c r="F342" s="4">
        <v>8</v>
      </c>
      <c r="G342" s="3">
        <v>465558</v>
      </c>
      <c r="H342" s="1"/>
    </row>
    <row r="343" spans="1:8" x14ac:dyDescent="0.45">
      <c r="A343" t="s">
        <v>376</v>
      </c>
      <c r="B343" s="1">
        <v>46280</v>
      </c>
      <c r="C343" t="s">
        <v>572</v>
      </c>
      <c r="D343" t="s">
        <v>577</v>
      </c>
      <c r="E343" t="s">
        <v>31</v>
      </c>
      <c r="F343" s="4">
        <v>9</v>
      </c>
      <c r="G343" s="3">
        <v>94592</v>
      </c>
      <c r="H343" s="1"/>
    </row>
    <row r="344" spans="1:8" x14ac:dyDescent="0.45">
      <c r="A344" t="s">
        <v>377</v>
      </c>
      <c r="B344" s="1">
        <v>46276</v>
      </c>
      <c r="C344" t="s">
        <v>568</v>
      </c>
      <c r="D344" t="s">
        <v>577</v>
      </c>
      <c r="E344" t="s">
        <v>49</v>
      </c>
      <c r="F344" s="4">
        <v>6</v>
      </c>
      <c r="G344" s="3">
        <v>270602</v>
      </c>
      <c r="H344" s="1"/>
    </row>
    <row r="345" spans="1:8" x14ac:dyDescent="0.45">
      <c r="A345" t="s">
        <v>378</v>
      </c>
      <c r="B345" s="1">
        <v>46279</v>
      </c>
      <c r="C345" t="s">
        <v>571</v>
      </c>
      <c r="D345" t="s">
        <v>576</v>
      </c>
      <c r="E345" t="s">
        <v>22</v>
      </c>
      <c r="F345" s="4">
        <v>10</v>
      </c>
      <c r="G345" s="3">
        <v>478187</v>
      </c>
      <c r="H345" s="1"/>
    </row>
    <row r="346" spans="1:8" x14ac:dyDescent="0.45">
      <c r="A346" t="s">
        <v>379</v>
      </c>
      <c r="B346" s="1">
        <v>46280</v>
      </c>
      <c r="C346" t="s">
        <v>568</v>
      </c>
      <c r="D346" t="s">
        <v>11</v>
      </c>
      <c r="E346" t="s">
        <v>22</v>
      </c>
      <c r="F346" s="4">
        <v>3</v>
      </c>
      <c r="G346" s="3">
        <v>260925</v>
      </c>
      <c r="H346" s="1"/>
    </row>
    <row r="347" spans="1:8" x14ac:dyDescent="0.45">
      <c r="A347" t="s">
        <v>380</v>
      </c>
      <c r="B347" s="1">
        <v>46277</v>
      </c>
      <c r="C347" t="s">
        <v>568</v>
      </c>
      <c r="D347" t="s">
        <v>577</v>
      </c>
      <c r="E347" t="s">
        <v>31</v>
      </c>
      <c r="F347" s="4" t="s">
        <v>101</v>
      </c>
      <c r="G347" s="3">
        <v>306405</v>
      </c>
      <c r="H347" s="1"/>
    </row>
    <row r="348" spans="1:8" x14ac:dyDescent="0.45">
      <c r="A348" t="s">
        <v>381</v>
      </c>
      <c r="B348" s="1">
        <v>46270</v>
      </c>
      <c r="C348" t="s">
        <v>573</v>
      </c>
      <c r="D348" t="s">
        <v>10</v>
      </c>
      <c r="E348" t="s">
        <v>26</v>
      </c>
      <c r="F348" s="4">
        <v>1</v>
      </c>
      <c r="G348" s="3">
        <v>184251</v>
      </c>
      <c r="H348" s="1"/>
    </row>
    <row r="349" spans="1:8" x14ac:dyDescent="0.45">
      <c r="A349" t="s">
        <v>382</v>
      </c>
      <c r="B349" s="1">
        <v>46293</v>
      </c>
      <c r="C349" t="s">
        <v>573</v>
      </c>
      <c r="D349" t="s">
        <v>577</v>
      </c>
      <c r="E349" t="s">
        <v>24</v>
      </c>
      <c r="F349" s="4">
        <v>9</v>
      </c>
      <c r="G349" s="3">
        <v>160748</v>
      </c>
      <c r="H349" s="1"/>
    </row>
    <row r="350" spans="1:8" x14ac:dyDescent="0.45">
      <c r="A350" t="s">
        <v>383</v>
      </c>
      <c r="B350" s="1">
        <v>46289</v>
      </c>
      <c r="C350" t="s">
        <v>573</v>
      </c>
      <c r="D350" t="s">
        <v>10</v>
      </c>
      <c r="E350" t="s">
        <v>22</v>
      </c>
      <c r="F350" s="4">
        <v>8</v>
      </c>
      <c r="G350" s="3">
        <v>433571</v>
      </c>
      <c r="H350" s="1"/>
    </row>
    <row r="351" spans="1:8" x14ac:dyDescent="0.45">
      <c r="A351" t="s">
        <v>384</v>
      </c>
      <c r="B351" s="1">
        <v>46282</v>
      </c>
      <c r="C351" t="s">
        <v>575</v>
      </c>
      <c r="D351" t="s">
        <v>11</v>
      </c>
      <c r="E351" t="s">
        <v>19</v>
      </c>
      <c r="F351" s="4">
        <v>1</v>
      </c>
      <c r="G351" s="3">
        <v>81268</v>
      </c>
      <c r="H351" s="1"/>
    </row>
    <row r="352" spans="1:8" x14ac:dyDescent="0.45">
      <c r="A352" t="s">
        <v>385</v>
      </c>
      <c r="B352" s="1">
        <v>46288</v>
      </c>
      <c r="C352" t="s">
        <v>573</v>
      </c>
      <c r="D352" t="s">
        <v>11</v>
      </c>
      <c r="E352" t="s">
        <v>26</v>
      </c>
      <c r="F352" s="4">
        <v>5</v>
      </c>
      <c r="G352" s="3">
        <v>238787</v>
      </c>
      <c r="H352" s="1"/>
    </row>
    <row r="353" spans="1:8" x14ac:dyDescent="0.45">
      <c r="A353" t="s">
        <v>386</v>
      </c>
      <c r="B353" s="1">
        <v>46271</v>
      </c>
      <c r="C353" t="s">
        <v>570</v>
      </c>
      <c r="D353" t="s">
        <v>576</v>
      </c>
      <c r="E353" t="s">
        <v>24</v>
      </c>
      <c r="F353" s="4">
        <v>4</v>
      </c>
      <c r="G353" s="3">
        <v>135949</v>
      </c>
      <c r="H353" s="1"/>
    </row>
    <row r="354" spans="1:8" x14ac:dyDescent="0.45">
      <c r="A354" t="s">
        <v>387</v>
      </c>
      <c r="B354" s="1">
        <v>46282</v>
      </c>
      <c r="C354" t="s">
        <v>570</v>
      </c>
      <c r="D354" t="s">
        <v>33</v>
      </c>
      <c r="E354" t="s">
        <v>31</v>
      </c>
      <c r="F354" s="4">
        <v>5</v>
      </c>
      <c r="G354" s="3">
        <v>88346</v>
      </c>
      <c r="H354" s="1"/>
    </row>
    <row r="355" spans="1:8" x14ac:dyDescent="0.45">
      <c r="A355" t="s">
        <v>388</v>
      </c>
      <c r="B355" s="1">
        <v>46277</v>
      </c>
      <c r="C355" t="s">
        <v>574</v>
      </c>
      <c r="D355" t="s">
        <v>10</v>
      </c>
      <c r="E355" t="s">
        <v>19</v>
      </c>
      <c r="F355" s="4">
        <v>1</v>
      </c>
      <c r="G355" s="3">
        <v>379702</v>
      </c>
      <c r="H355" s="1"/>
    </row>
    <row r="356" spans="1:8" x14ac:dyDescent="0.45">
      <c r="A356" t="s">
        <v>389</v>
      </c>
      <c r="B356" s="1">
        <v>46280</v>
      </c>
      <c r="C356" t="s">
        <v>574</v>
      </c>
      <c r="D356" t="s">
        <v>10</v>
      </c>
      <c r="E356" t="s">
        <v>38</v>
      </c>
      <c r="F356" s="4">
        <v>5</v>
      </c>
      <c r="G356" s="3">
        <v>205398</v>
      </c>
      <c r="H356" s="1"/>
    </row>
    <row r="357" spans="1:8" x14ac:dyDescent="0.45">
      <c r="A357" t="s">
        <v>390</v>
      </c>
      <c r="B357" s="1">
        <v>46279</v>
      </c>
      <c r="C357" t="s">
        <v>568</v>
      </c>
      <c r="D357" t="s">
        <v>10</v>
      </c>
      <c r="E357" t="s">
        <v>22</v>
      </c>
      <c r="F357" s="4">
        <v>1</v>
      </c>
      <c r="G357" s="3">
        <v>327443</v>
      </c>
      <c r="H357" s="1"/>
    </row>
    <row r="358" spans="1:8" x14ac:dyDescent="0.45">
      <c r="A358" t="s">
        <v>391</v>
      </c>
      <c r="B358" s="1">
        <v>46267</v>
      </c>
      <c r="C358" t="s">
        <v>568</v>
      </c>
      <c r="D358" t="s">
        <v>10</v>
      </c>
      <c r="E358" t="s">
        <v>26</v>
      </c>
      <c r="F358" s="4">
        <v>2</v>
      </c>
      <c r="G358" s="3">
        <v>391241</v>
      </c>
      <c r="H358" s="1"/>
    </row>
    <row r="359" spans="1:8" x14ac:dyDescent="0.45">
      <c r="A359" t="s">
        <v>392</v>
      </c>
      <c r="B359" s="1">
        <v>46283</v>
      </c>
      <c r="C359" t="s">
        <v>571</v>
      </c>
      <c r="D359" t="s">
        <v>33</v>
      </c>
      <c r="E359" t="s">
        <v>19</v>
      </c>
      <c r="F359" s="4">
        <v>9</v>
      </c>
      <c r="G359" s="3">
        <v>136690</v>
      </c>
      <c r="H359" s="1"/>
    </row>
    <row r="360" spans="1:8" x14ac:dyDescent="0.45">
      <c r="A360" t="s">
        <v>393</v>
      </c>
      <c r="B360" s="1">
        <v>46287</v>
      </c>
      <c r="C360" t="s">
        <v>574</v>
      </c>
      <c r="D360" t="s">
        <v>10</v>
      </c>
      <c r="E360" t="s">
        <v>38</v>
      </c>
      <c r="F360" s="4">
        <v>7</v>
      </c>
      <c r="G360" s="3">
        <v>395487</v>
      </c>
      <c r="H360" s="1"/>
    </row>
    <row r="361" spans="1:8" x14ac:dyDescent="0.45">
      <c r="A361" t="s">
        <v>394</v>
      </c>
      <c r="B361" s="1">
        <v>46284</v>
      </c>
      <c r="C361" t="s">
        <v>570</v>
      </c>
      <c r="D361" t="s">
        <v>33</v>
      </c>
      <c r="E361" t="s">
        <v>49</v>
      </c>
      <c r="F361" s="4">
        <v>10</v>
      </c>
      <c r="G361" s="3">
        <v>454450</v>
      </c>
      <c r="H361" s="1"/>
    </row>
    <row r="362" spans="1:8" x14ac:dyDescent="0.45">
      <c r="A362" t="s">
        <v>395</v>
      </c>
      <c r="B362" s="1">
        <v>46284</v>
      </c>
      <c r="C362" t="s">
        <v>568</v>
      </c>
      <c r="D362" t="s">
        <v>10</v>
      </c>
      <c r="E362" t="s">
        <v>19</v>
      </c>
      <c r="F362" s="4">
        <v>1</v>
      </c>
      <c r="G362" s="3">
        <v>20664</v>
      </c>
      <c r="H362" s="1"/>
    </row>
    <row r="363" spans="1:8" x14ac:dyDescent="0.45">
      <c r="A363" t="s">
        <v>396</v>
      </c>
      <c r="B363" s="1">
        <v>46277</v>
      </c>
      <c r="C363" t="s">
        <v>568</v>
      </c>
      <c r="D363" t="s">
        <v>576</v>
      </c>
      <c r="E363" t="s">
        <v>24</v>
      </c>
      <c r="F363" s="4">
        <v>10</v>
      </c>
      <c r="G363" s="3">
        <v>161299</v>
      </c>
      <c r="H363" s="1"/>
    </row>
    <row r="364" spans="1:8" x14ac:dyDescent="0.45">
      <c r="A364" t="s">
        <v>397</v>
      </c>
      <c r="B364" s="1">
        <v>46291</v>
      </c>
      <c r="C364" t="s">
        <v>568</v>
      </c>
      <c r="D364" t="s">
        <v>577</v>
      </c>
      <c r="E364" t="s">
        <v>24</v>
      </c>
      <c r="F364" s="4">
        <v>9</v>
      </c>
      <c r="G364" s="3">
        <v>397860</v>
      </c>
      <c r="H364" s="1"/>
    </row>
    <row r="365" spans="1:8" x14ac:dyDescent="0.45">
      <c r="A365" t="s">
        <v>398</v>
      </c>
      <c r="B365" s="1">
        <v>46289</v>
      </c>
      <c r="C365" t="s">
        <v>573</v>
      </c>
      <c r="D365" t="s">
        <v>11</v>
      </c>
      <c r="E365" t="s">
        <v>569</v>
      </c>
      <c r="F365" s="4">
        <v>3</v>
      </c>
      <c r="G365" s="3">
        <v>155615</v>
      </c>
      <c r="H365" s="1"/>
    </row>
    <row r="366" spans="1:8" x14ac:dyDescent="0.45">
      <c r="A366" t="s">
        <v>399</v>
      </c>
      <c r="B366" s="1">
        <v>46275</v>
      </c>
      <c r="C366" t="s">
        <v>568</v>
      </c>
      <c r="D366" t="s">
        <v>10</v>
      </c>
      <c r="E366" t="s">
        <v>26</v>
      </c>
      <c r="F366" s="4">
        <v>4</v>
      </c>
      <c r="G366" s="3">
        <v>96051</v>
      </c>
      <c r="H366" s="1"/>
    </row>
    <row r="367" spans="1:8" x14ac:dyDescent="0.45">
      <c r="A367" t="s">
        <v>400</v>
      </c>
      <c r="B367" s="1">
        <v>46286</v>
      </c>
      <c r="C367" t="s">
        <v>573</v>
      </c>
      <c r="D367" t="s">
        <v>10</v>
      </c>
      <c r="E367" t="s">
        <v>26</v>
      </c>
      <c r="F367" s="4">
        <v>5</v>
      </c>
      <c r="G367" s="3">
        <v>171902</v>
      </c>
      <c r="H367" s="1"/>
    </row>
    <row r="368" spans="1:8" x14ac:dyDescent="0.45">
      <c r="A368" t="s">
        <v>401</v>
      </c>
      <c r="B368" s="1">
        <v>46275</v>
      </c>
      <c r="C368" t="s">
        <v>571</v>
      </c>
      <c r="D368" t="s">
        <v>576</v>
      </c>
      <c r="E368" t="s">
        <v>49</v>
      </c>
      <c r="F368" s="4">
        <v>7</v>
      </c>
      <c r="G368" s="3">
        <v>302857</v>
      </c>
      <c r="H368" s="1"/>
    </row>
    <row r="369" spans="1:8" x14ac:dyDescent="0.45">
      <c r="A369" t="s">
        <v>402</v>
      </c>
      <c r="B369" s="1">
        <v>46266</v>
      </c>
      <c r="C369" t="s">
        <v>573</v>
      </c>
      <c r="D369" t="s">
        <v>10</v>
      </c>
      <c r="E369" t="s">
        <v>22</v>
      </c>
      <c r="F369" s="4">
        <v>8</v>
      </c>
      <c r="G369" s="3">
        <v>168063</v>
      </c>
      <c r="H369" s="1"/>
    </row>
    <row r="370" spans="1:8" x14ac:dyDescent="0.45">
      <c r="A370" t="s">
        <v>403</v>
      </c>
      <c r="B370" s="1">
        <v>46283</v>
      </c>
      <c r="C370" t="s">
        <v>570</v>
      </c>
      <c r="D370" t="s">
        <v>576</v>
      </c>
      <c r="E370" t="s">
        <v>31</v>
      </c>
      <c r="F370" s="4" t="s">
        <v>298</v>
      </c>
      <c r="G370" s="3">
        <v>437185</v>
      </c>
      <c r="H370" s="1"/>
    </row>
    <row r="371" spans="1:8" x14ac:dyDescent="0.45">
      <c r="A371" t="s">
        <v>404</v>
      </c>
      <c r="B371" s="1">
        <v>46287</v>
      </c>
      <c r="C371" t="s">
        <v>571</v>
      </c>
      <c r="D371" t="s">
        <v>10</v>
      </c>
      <c r="E371" t="s">
        <v>24</v>
      </c>
      <c r="F371" s="4" t="s">
        <v>239</v>
      </c>
      <c r="G371" s="3">
        <v>409854</v>
      </c>
      <c r="H371" s="1"/>
    </row>
    <row r="372" spans="1:8" x14ac:dyDescent="0.45">
      <c r="A372" t="s">
        <v>405</v>
      </c>
      <c r="B372" s="1">
        <v>46270</v>
      </c>
      <c r="C372" t="s">
        <v>568</v>
      </c>
      <c r="D372" t="s">
        <v>576</v>
      </c>
      <c r="E372" t="s">
        <v>569</v>
      </c>
      <c r="F372" s="4">
        <v>2</v>
      </c>
      <c r="G372" s="3">
        <v>256383</v>
      </c>
      <c r="H372" s="1"/>
    </row>
    <row r="373" spans="1:8" x14ac:dyDescent="0.45">
      <c r="A373" t="s">
        <v>406</v>
      </c>
      <c r="B373" s="1">
        <v>46267</v>
      </c>
      <c r="C373" t="s">
        <v>574</v>
      </c>
      <c r="D373" t="s">
        <v>11</v>
      </c>
      <c r="E373" t="s">
        <v>38</v>
      </c>
      <c r="F373" s="4">
        <v>3</v>
      </c>
      <c r="G373" s="3">
        <v>198744</v>
      </c>
      <c r="H373" s="1"/>
    </row>
    <row r="374" spans="1:8" x14ac:dyDescent="0.45">
      <c r="A374" t="s">
        <v>407</v>
      </c>
      <c r="B374" s="1">
        <v>46288</v>
      </c>
      <c r="C374" t="s">
        <v>567</v>
      </c>
      <c r="D374" t="s">
        <v>10</v>
      </c>
      <c r="E374" t="s">
        <v>19</v>
      </c>
      <c r="F374" s="4">
        <v>4</v>
      </c>
      <c r="G374" s="3">
        <v>410228</v>
      </c>
      <c r="H374" s="1"/>
    </row>
    <row r="375" spans="1:8" x14ac:dyDescent="0.45">
      <c r="A375" t="s">
        <v>408</v>
      </c>
      <c r="B375" s="1">
        <v>46278</v>
      </c>
      <c r="C375" t="s">
        <v>572</v>
      </c>
      <c r="D375" t="s">
        <v>10</v>
      </c>
      <c r="E375" t="s">
        <v>19</v>
      </c>
      <c r="F375" s="4">
        <v>8</v>
      </c>
      <c r="G375" s="3">
        <v>200095</v>
      </c>
      <c r="H375" s="1"/>
    </row>
    <row r="376" spans="1:8" x14ac:dyDescent="0.45">
      <c r="A376" t="s">
        <v>409</v>
      </c>
      <c r="B376" s="1">
        <v>46280</v>
      </c>
      <c r="C376" t="s">
        <v>573</v>
      </c>
      <c r="D376" t="s">
        <v>10</v>
      </c>
      <c r="E376" t="s">
        <v>24</v>
      </c>
      <c r="F376" s="4">
        <v>1</v>
      </c>
      <c r="G376" s="3">
        <v>219491</v>
      </c>
      <c r="H376" s="1"/>
    </row>
    <row r="377" spans="1:8" x14ac:dyDescent="0.45">
      <c r="A377" t="s">
        <v>410</v>
      </c>
      <c r="B377" s="1">
        <v>46274</v>
      </c>
      <c r="C377" t="s">
        <v>568</v>
      </c>
      <c r="D377" t="s">
        <v>576</v>
      </c>
      <c r="E377" t="s">
        <v>22</v>
      </c>
      <c r="F377" s="4">
        <v>6</v>
      </c>
      <c r="G377" s="3">
        <v>357030</v>
      </c>
      <c r="H377" s="1"/>
    </row>
    <row r="378" spans="1:8" x14ac:dyDescent="0.45">
      <c r="A378" t="s">
        <v>411</v>
      </c>
      <c r="B378" s="1">
        <v>46266</v>
      </c>
      <c r="C378" t="s">
        <v>574</v>
      </c>
      <c r="D378" t="s">
        <v>10</v>
      </c>
      <c r="E378" t="s">
        <v>24</v>
      </c>
      <c r="F378" s="4">
        <v>4</v>
      </c>
      <c r="G378" s="3">
        <v>222919</v>
      </c>
      <c r="H378" s="1"/>
    </row>
    <row r="379" spans="1:8" x14ac:dyDescent="0.45">
      <c r="A379" t="s">
        <v>412</v>
      </c>
      <c r="B379" s="1">
        <v>46282</v>
      </c>
      <c r="C379" t="s">
        <v>567</v>
      </c>
      <c r="D379" t="s">
        <v>10</v>
      </c>
      <c r="E379" t="s">
        <v>26</v>
      </c>
      <c r="F379" s="4">
        <v>1</v>
      </c>
      <c r="G379" s="3">
        <v>398956</v>
      </c>
      <c r="H379" s="1"/>
    </row>
    <row r="380" spans="1:8" x14ac:dyDescent="0.45">
      <c r="A380" t="s">
        <v>413</v>
      </c>
      <c r="B380" s="1">
        <v>46278</v>
      </c>
      <c r="C380" t="s">
        <v>574</v>
      </c>
      <c r="D380" t="s">
        <v>10</v>
      </c>
      <c r="E380" t="s">
        <v>24</v>
      </c>
      <c r="F380" s="4">
        <v>10</v>
      </c>
      <c r="G380" s="3">
        <v>414373</v>
      </c>
      <c r="H380" s="1"/>
    </row>
    <row r="381" spans="1:8" x14ac:dyDescent="0.45">
      <c r="A381" t="s">
        <v>414</v>
      </c>
      <c r="B381" s="1">
        <v>46295</v>
      </c>
      <c r="C381" t="s">
        <v>572</v>
      </c>
      <c r="D381" t="s">
        <v>10</v>
      </c>
      <c r="E381" t="s">
        <v>26</v>
      </c>
      <c r="F381" s="4" t="s">
        <v>255</v>
      </c>
      <c r="G381" s="3">
        <v>194107</v>
      </c>
      <c r="H381" s="1"/>
    </row>
    <row r="382" spans="1:8" x14ac:dyDescent="0.45">
      <c r="A382" t="s">
        <v>415</v>
      </c>
      <c r="B382" s="1">
        <v>46276</v>
      </c>
      <c r="C382" t="s">
        <v>574</v>
      </c>
      <c r="D382" t="s">
        <v>11</v>
      </c>
      <c r="E382" t="s">
        <v>19</v>
      </c>
      <c r="F382" s="4">
        <v>7</v>
      </c>
      <c r="G382" s="3">
        <v>161066</v>
      </c>
      <c r="H382" s="1"/>
    </row>
    <row r="383" spans="1:8" x14ac:dyDescent="0.45">
      <c r="A383" t="s">
        <v>416</v>
      </c>
      <c r="B383" s="1">
        <v>46272</v>
      </c>
      <c r="C383" t="s">
        <v>574</v>
      </c>
      <c r="D383" t="s">
        <v>11</v>
      </c>
      <c r="E383" t="s">
        <v>31</v>
      </c>
      <c r="F383" s="4">
        <v>3</v>
      </c>
      <c r="G383" s="3">
        <v>307881</v>
      </c>
      <c r="H383" s="1"/>
    </row>
    <row r="384" spans="1:8" x14ac:dyDescent="0.45">
      <c r="A384" t="s">
        <v>417</v>
      </c>
      <c r="B384" s="1">
        <v>46277</v>
      </c>
      <c r="C384" t="s">
        <v>572</v>
      </c>
      <c r="D384" t="s">
        <v>33</v>
      </c>
      <c r="E384" t="s">
        <v>22</v>
      </c>
      <c r="F384" s="4">
        <v>4</v>
      </c>
      <c r="G384" s="3">
        <v>272537</v>
      </c>
      <c r="H384" s="1"/>
    </row>
    <row r="385" spans="1:8" x14ac:dyDescent="0.45">
      <c r="A385" t="s">
        <v>418</v>
      </c>
      <c r="B385" s="1">
        <v>46295</v>
      </c>
      <c r="C385" t="s">
        <v>574</v>
      </c>
      <c r="D385" t="s">
        <v>33</v>
      </c>
      <c r="E385" t="s">
        <v>38</v>
      </c>
      <c r="F385" s="4">
        <v>10</v>
      </c>
      <c r="G385" s="3">
        <v>269744</v>
      </c>
      <c r="H385" s="1"/>
    </row>
    <row r="386" spans="1:8" x14ac:dyDescent="0.45">
      <c r="A386" t="s">
        <v>419</v>
      </c>
      <c r="B386" s="1">
        <v>46286</v>
      </c>
      <c r="C386" t="s">
        <v>571</v>
      </c>
      <c r="D386" t="s">
        <v>576</v>
      </c>
      <c r="E386" t="s">
        <v>569</v>
      </c>
      <c r="F386" s="4">
        <v>4</v>
      </c>
      <c r="G386" s="3">
        <v>158970</v>
      </c>
      <c r="H386" s="1"/>
    </row>
    <row r="387" spans="1:8" x14ac:dyDescent="0.45">
      <c r="A387" t="s">
        <v>420</v>
      </c>
      <c r="B387" s="1">
        <v>46289</v>
      </c>
      <c r="C387" t="s">
        <v>571</v>
      </c>
      <c r="D387" t="s">
        <v>576</v>
      </c>
      <c r="E387" t="s">
        <v>38</v>
      </c>
      <c r="F387" s="4">
        <v>7</v>
      </c>
      <c r="G387" s="3">
        <v>274413</v>
      </c>
      <c r="H387" s="1"/>
    </row>
    <row r="388" spans="1:8" x14ac:dyDescent="0.45">
      <c r="A388" t="s">
        <v>421</v>
      </c>
      <c r="B388" s="1">
        <v>46267</v>
      </c>
      <c r="C388" t="s">
        <v>574</v>
      </c>
      <c r="D388" t="s">
        <v>10</v>
      </c>
      <c r="E388" t="s">
        <v>569</v>
      </c>
      <c r="F388" s="4">
        <v>9</v>
      </c>
      <c r="G388" s="3">
        <v>142114</v>
      </c>
      <c r="H388" s="1"/>
    </row>
    <row r="389" spans="1:8" x14ac:dyDescent="0.45">
      <c r="A389" t="s">
        <v>422</v>
      </c>
      <c r="B389" s="1">
        <v>46281</v>
      </c>
      <c r="C389" t="s">
        <v>575</v>
      </c>
      <c r="D389" t="s">
        <v>11</v>
      </c>
      <c r="E389" t="s">
        <v>22</v>
      </c>
      <c r="F389" s="4">
        <v>8</v>
      </c>
      <c r="G389" s="3">
        <v>371319</v>
      </c>
      <c r="H389" s="1"/>
    </row>
    <row r="390" spans="1:8" x14ac:dyDescent="0.45">
      <c r="A390" t="s">
        <v>423</v>
      </c>
      <c r="B390" s="1">
        <v>46281</v>
      </c>
      <c r="C390" t="s">
        <v>574</v>
      </c>
      <c r="D390" t="s">
        <v>33</v>
      </c>
      <c r="E390" t="s">
        <v>22</v>
      </c>
      <c r="F390" s="4">
        <v>5</v>
      </c>
      <c r="G390" s="3">
        <v>323737</v>
      </c>
      <c r="H390" s="1"/>
    </row>
    <row r="391" spans="1:8" x14ac:dyDescent="0.45">
      <c r="A391" t="s">
        <v>424</v>
      </c>
      <c r="B391" s="1">
        <v>46278</v>
      </c>
      <c r="C391" t="s">
        <v>573</v>
      </c>
      <c r="D391" t="s">
        <v>577</v>
      </c>
      <c r="E391" t="s">
        <v>24</v>
      </c>
      <c r="F391" s="4">
        <v>10</v>
      </c>
      <c r="G391" s="3">
        <v>476400</v>
      </c>
      <c r="H391" s="1"/>
    </row>
    <row r="392" spans="1:8" x14ac:dyDescent="0.45">
      <c r="A392" t="s">
        <v>425</v>
      </c>
      <c r="B392" s="1">
        <v>46286</v>
      </c>
      <c r="C392" t="s">
        <v>567</v>
      </c>
      <c r="D392" t="s">
        <v>577</v>
      </c>
      <c r="E392" t="s">
        <v>22</v>
      </c>
      <c r="F392" s="4">
        <v>5</v>
      </c>
      <c r="G392" s="3">
        <v>477924</v>
      </c>
      <c r="H392" s="1"/>
    </row>
    <row r="393" spans="1:8" x14ac:dyDescent="0.45">
      <c r="A393" t="s">
        <v>426</v>
      </c>
      <c r="B393" s="1">
        <v>46284</v>
      </c>
      <c r="C393" t="s">
        <v>574</v>
      </c>
      <c r="D393" t="s">
        <v>10</v>
      </c>
      <c r="E393" t="s">
        <v>24</v>
      </c>
      <c r="F393" s="4">
        <v>8</v>
      </c>
      <c r="G393" s="3">
        <v>129325</v>
      </c>
      <c r="H393" s="1"/>
    </row>
    <row r="394" spans="1:8" x14ac:dyDescent="0.45">
      <c r="A394" t="s">
        <v>427</v>
      </c>
      <c r="B394" s="1">
        <v>46283</v>
      </c>
      <c r="C394" t="s">
        <v>570</v>
      </c>
      <c r="D394" t="s">
        <v>33</v>
      </c>
      <c r="E394" t="s">
        <v>26</v>
      </c>
      <c r="F394" s="4">
        <v>7</v>
      </c>
      <c r="G394" s="3">
        <v>47678</v>
      </c>
      <c r="H394" s="1"/>
    </row>
    <row r="395" spans="1:8" x14ac:dyDescent="0.45">
      <c r="A395" t="s">
        <v>428</v>
      </c>
      <c r="B395" s="1">
        <v>46287</v>
      </c>
      <c r="C395" t="s">
        <v>570</v>
      </c>
      <c r="D395" t="s">
        <v>577</v>
      </c>
      <c r="E395" t="s">
        <v>38</v>
      </c>
      <c r="F395" s="4">
        <v>7</v>
      </c>
      <c r="G395" s="3">
        <v>129810</v>
      </c>
      <c r="H395" s="1"/>
    </row>
    <row r="396" spans="1:8" x14ac:dyDescent="0.45">
      <c r="A396" t="s">
        <v>429</v>
      </c>
      <c r="B396" s="1">
        <v>46287</v>
      </c>
      <c r="C396" t="s">
        <v>570</v>
      </c>
      <c r="D396" t="s">
        <v>10</v>
      </c>
      <c r="E396" t="s">
        <v>569</v>
      </c>
      <c r="F396" s="4">
        <v>7</v>
      </c>
      <c r="G396" s="3">
        <v>143183</v>
      </c>
      <c r="H396" s="1"/>
    </row>
    <row r="397" spans="1:8" x14ac:dyDescent="0.45">
      <c r="A397" t="s">
        <v>430</v>
      </c>
      <c r="B397" s="1">
        <v>46294</v>
      </c>
      <c r="C397" t="s">
        <v>574</v>
      </c>
      <c r="D397" t="s">
        <v>10</v>
      </c>
      <c r="E397" t="s">
        <v>38</v>
      </c>
      <c r="F397" s="4">
        <v>8</v>
      </c>
      <c r="G397" s="3">
        <v>413331</v>
      </c>
      <c r="H397" s="1"/>
    </row>
    <row r="398" spans="1:8" x14ac:dyDescent="0.45">
      <c r="A398" t="s">
        <v>431</v>
      </c>
      <c r="B398" s="1">
        <v>46289</v>
      </c>
      <c r="C398" t="s">
        <v>573</v>
      </c>
      <c r="D398" t="s">
        <v>10</v>
      </c>
      <c r="E398" t="s">
        <v>31</v>
      </c>
      <c r="F398" s="4">
        <v>4</v>
      </c>
      <c r="G398" s="3">
        <v>443596</v>
      </c>
      <c r="H398" s="1"/>
    </row>
    <row r="399" spans="1:8" x14ac:dyDescent="0.45">
      <c r="A399" t="s">
        <v>432</v>
      </c>
      <c r="B399" s="1">
        <v>46287</v>
      </c>
      <c r="C399" t="s">
        <v>571</v>
      </c>
      <c r="D399" t="s">
        <v>33</v>
      </c>
      <c r="E399" t="s">
        <v>19</v>
      </c>
      <c r="F399" s="4">
        <v>1</v>
      </c>
      <c r="G399" s="3">
        <v>275119</v>
      </c>
      <c r="H399" s="1"/>
    </row>
    <row r="400" spans="1:8" x14ac:dyDescent="0.45">
      <c r="A400" t="s">
        <v>433</v>
      </c>
      <c r="B400" s="1">
        <v>46292</v>
      </c>
      <c r="C400" t="s">
        <v>568</v>
      </c>
      <c r="D400" t="s">
        <v>576</v>
      </c>
      <c r="E400" t="s">
        <v>22</v>
      </c>
      <c r="F400" s="4">
        <v>10</v>
      </c>
      <c r="G400" s="3">
        <v>144782</v>
      </c>
      <c r="H400" s="1"/>
    </row>
    <row r="401" spans="1:8" x14ac:dyDescent="0.45">
      <c r="A401" t="s">
        <v>434</v>
      </c>
      <c r="B401" s="1">
        <v>46274</v>
      </c>
      <c r="C401" t="s">
        <v>571</v>
      </c>
      <c r="D401" t="s">
        <v>10</v>
      </c>
      <c r="E401" t="s">
        <v>24</v>
      </c>
      <c r="F401" s="4">
        <v>1</v>
      </c>
      <c r="G401" s="3">
        <v>88218</v>
      </c>
      <c r="H401" s="1"/>
    </row>
    <row r="402" spans="1:8" x14ac:dyDescent="0.45">
      <c r="A402" t="s">
        <v>435</v>
      </c>
      <c r="B402" s="1">
        <v>46290</v>
      </c>
      <c r="C402" t="s">
        <v>567</v>
      </c>
      <c r="D402" t="s">
        <v>10</v>
      </c>
      <c r="E402" t="s">
        <v>49</v>
      </c>
      <c r="F402" s="4">
        <v>5</v>
      </c>
      <c r="G402" s="3">
        <v>197434</v>
      </c>
      <c r="H402" s="1"/>
    </row>
    <row r="403" spans="1:8" x14ac:dyDescent="0.45">
      <c r="A403" t="s">
        <v>436</v>
      </c>
      <c r="B403" s="1">
        <v>46267</v>
      </c>
      <c r="C403" t="s">
        <v>574</v>
      </c>
      <c r="D403" t="s">
        <v>577</v>
      </c>
      <c r="E403" t="s">
        <v>22</v>
      </c>
      <c r="F403" s="4">
        <v>10</v>
      </c>
      <c r="G403" s="3">
        <v>238246</v>
      </c>
      <c r="H403" s="1"/>
    </row>
    <row r="404" spans="1:8" x14ac:dyDescent="0.45">
      <c r="A404" t="s">
        <v>437</v>
      </c>
      <c r="B404" s="1">
        <v>46272</v>
      </c>
      <c r="C404" t="s">
        <v>570</v>
      </c>
      <c r="D404" t="s">
        <v>10</v>
      </c>
      <c r="E404" t="s">
        <v>26</v>
      </c>
      <c r="F404" s="4">
        <v>1</v>
      </c>
      <c r="G404" s="3">
        <v>355784</v>
      </c>
      <c r="H404" s="1"/>
    </row>
    <row r="405" spans="1:8" x14ac:dyDescent="0.45">
      <c r="A405" t="s">
        <v>438</v>
      </c>
      <c r="B405" s="1">
        <v>46283</v>
      </c>
      <c r="C405" t="s">
        <v>571</v>
      </c>
      <c r="D405" t="s">
        <v>10</v>
      </c>
      <c r="E405" t="s">
        <v>569</v>
      </c>
      <c r="F405" s="4">
        <v>2</v>
      </c>
      <c r="G405" s="3">
        <v>350472</v>
      </c>
      <c r="H405" s="1"/>
    </row>
    <row r="406" spans="1:8" x14ac:dyDescent="0.45">
      <c r="A406" t="s">
        <v>439</v>
      </c>
      <c r="B406" s="1">
        <v>46293</v>
      </c>
      <c r="C406" t="s">
        <v>571</v>
      </c>
      <c r="D406" t="s">
        <v>33</v>
      </c>
      <c r="E406" t="s">
        <v>19</v>
      </c>
      <c r="F406" s="4">
        <v>8</v>
      </c>
      <c r="G406" s="3">
        <v>459077</v>
      </c>
      <c r="H406" s="1"/>
    </row>
    <row r="407" spans="1:8" x14ac:dyDescent="0.45">
      <c r="A407" t="s">
        <v>440</v>
      </c>
      <c r="B407" s="1">
        <v>46292</v>
      </c>
      <c r="C407" t="s">
        <v>570</v>
      </c>
      <c r="D407" t="s">
        <v>577</v>
      </c>
      <c r="E407" t="s">
        <v>24</v>
      </c>
      <c r="F407" s="4">
        <v>5</v>
      </c>
      <c r="G407" s="3">
        <v>40067</v>
      </c>
      <c r="H407" s="1"/>
    </row>
    <row r="408" spans="1:8" x14ac:dyDescent="0.45">
      <c r="A408" t="s">
        <v>441</v>
      </c>
      <c r="B408" s="1">
        <v>46278</v>
      </c>
      <c r="C408" t="s">
        <v>571</v>
      </c>
      <c r="D408" t="s">
        <v>10</v>
      </c>
      <c r="E408" t="s">
        <v>19</v>
      </c>
      <c r="F408" s="4">
        <v>7</v>
      </c>
      <c r="G408" s="3">
        <v>169711</v>
      </c>
      <c r="H408" s="1"/>
    </row>
    <row r="409" spans="1:8" x14ac:dyDescent="0.45">
      <c r="A409" t="s">
        <v>442</v>
      </c>
      <c r="B409" s="1">
        <v>46271</v>
      </c>
      <c r="C409" t="s">
        <v>572</v>
      </c>
      <c r="D409" t="s">
        <v>33</v>
      </c>
      <c r="E409" t="s">
        <v>19</v>
      </c>
      <c r="F409" s="4" t="s">
        <v>140</v>
      </c>
      <c r="G409" s="3">
        <v>339897</v>
      </c>
      <c r="H409" s="1"/>
    </row>
    <row r="410" spans="1:8" x14ac:dyDescent="0.45">
      <c r="A410" t="s">
        <v>443</v>
      </c>
      <c r="B410" s="1">
        <v>46276</v>
      </c>
      <c r="C410" t="s">
        <v>568</v>
      </c>
      <c r="D410" t="s">
        <v>33</v>
      </c>
      <c r="E410" t="s">
        <v>31</v>
      </c>
      <c r="F410" s="4">
        <v>2</v>
      </c>
      <c r="G410" s="3">
        <v>478866</v>
      </c>
      <c r="H410" s="1"/>
    </row>
    <row r="411" spans="1:8" x14ac:dyDescent="0.45">
      <c r="A411" t="s">
        <v>444</v>
      </c>
      <c r="B411" s="1">
        <v>46279</v>
      </c>
      <c r="C411" t="s">
        <v>575</v>
      </c>
      <c r="D411" t="s">
        <v>10</v>
      </c>
      <c r="E411" t="s">
        <v>26</v>
      </c>
      <c r="F411" s="4">
        <v>4</v>
      </c>
      <c r="G411" s="3">
        <v>433698</v>
      </c>
      <c r="H411" s="1"/>
    </row>
    <row r="412" spans="1:8" x14ac:dyDescent="0.45">
      <c r="A412" t="s">
        <v>445</v>
      </c>
      <c r="B412" s="1">
        <v>46295</v>
      </c>
      <c r="C412" t="s">
        <v>567</v>
      </c>
      <c r="D412" t="s">
        <v>576</v>
      </c>
      <c r="E412" t="s">
        <v>22</v>
      </c>
      <c r="F412" s="4">
        <v>3</v>
      </c>
      <c r="G412" s="3">
        <v>399402</v>
      </c>
      <c r="H412" s="1"/>
    </row>
    <row r="413" spans="1:8" x14ac:dyDescent="0.45">
      <c r="A413" t="s">
        <v>446</v>
      </c>
      <c r="B413" s="1">
        <v>46270</v>
      </c>
      <c r="C413" t="s">
        <v>572</v>
      </c>
      <c r="D413" t="s">
        <v>10</v>
      </c>
      <c r="E413" t="s">
        <v>38</v>
      </c>
      <c r="F413" s="4" t="s">
        <v>239</v>
      </c>
      <c r="G413" s="3">
        <v>402659</v>
      </c>
      <c r="H413" s="1"/>
    </row>
    <row r="414" spans="1:8" x14ac:dyDescent="0.45">
      <c r="A414" t="s">
        <v>447</v>
      </c>
      <c r="B414" s="1">
        <v>46286</v>
      </c>
      <c r="C414" t="s">
        <v>568</v>
      </c>
      <c r="D414" t="s">
        <v>11</v>
      </c>
      <c r="E414" t="s">
        <v>569</v>
      </c>
      <c r="F414" s="4">
        <v>4</v>
      </c>
      <c r="G414" s="3">
        <v>417211</v>
      </c>
      <c r="H414" s="1"/>
    </row>
    <row r="415" spans="1:8" x14ac:dyDescent="0.45">
      <c r="A415" t="s">
        <v>448</v>
      </c>
      <c r="B415" s="1">
        <v>46281</v>
      </c>
      <c r="C415" t="s">
        <v>572</v>
      </c>
      <c r="D415" t="s">
        <v>10</v>
      </c>
      <c r="E415" t="s">
        <v>24</v>
      </c>
      <c r="F415" s="4">
        <v>6</v>
      </c>
      <c r="G415" s="3">
        <v>471638</v>
      </c>
      <c r="H415" s="1"/>
    </row>
    <row r="416" spans="1:8" x14ac:dyDescent="0.45">
      <c r="A416" t="s">
        <v>449</v>
      </c>
      <c r="B416" s="1">
        <v>46273</v>
      </c>
      <c r="C416" t="s">
        <v>567</v>
      </c>
      <c r="D416" t="s">
        <v>576</v>
      </c>
      <c r="E416" t="s">
        <v>22</v>
      </c>
      <c r="F416" s="4">
        <v>6</v>
      </c>
      <c r="G416" s="3">
        <v>222706</v>
      </c>
      <c r="H416" s="1"/>
    </row>
    <row r="417" spans="1:8" x14ac:dyDescent="0.45">
      <c r="A417" t="s">
        <v>450</v>
      </c>
      <c r="B417" s="1">
        <v>46266</v>
      </c>
      <c r="C417" t="s">
        <v>572</v>
      </c>
      <c r="D417" t="s">
        <v>33</v>
      </c>
      <c r="E417" t="s">
        <v>22</v>
      </c>
      <c r="F417" s="4">
        <v>1</v>
      </c>
      <c r="G417" s="3">
        <v>330753</v>
      </c>
      <c r="H417" s="1"/>
    </row>
    <row r="418" spans="1:8" x14ac:dyDescent="0.45">
      <c r="A418" t="s">
        <v>451</v>
      </c>
      <c r="B418" s="1">
        <v>46266</v>
      </c>
      <c r="C418" t="s">
        <v>571</v>
      </c>
      <c r="D418" t="s">
        <v>11</v>
      </c>
      <c r="E418" t="s">
        <v>19</v>
      </c>
      <c r="F418" s="4">
        <v>1</v>
      </c>
      <c r="G418" s="3">
        <v>309385</v>
      </c>
      <c r="H418" s="1"/>
    </row>
    <row r="419" spans="1:8" x14ac:dyDescent="0.45">
      <c r="A419" t="s">
        <v>452</v>
      </c>
      <c r="B419" s="1">
        <v>46278</v>
      </c>
      <c r="C419" t="s">
        <v>574</v>
      </c>
      <c r="D419" t="s">
        <v>33</v>
      </c>
      <c r="E419" t="s">
        <v>49</v>
      </c>
      <c r="F419" s="4">
        <v>1</v>
      </c>
      <c r="G419" s="3">
        <v>340212</v>
      </c>
      <c r="H419" s="1"/>
    </row>
    <row r="420" spans="1:8" x14ac:dyDescent="0.45">
      <c r="A420" t="s">
        <v>453</v>
      </c>
      <c r="B420" s="1">
        <v>46289</v>
      </c>
      <c r="C420" t="s">
        <v>570</v>
      </c>
      <c r="D420" t="s">
        <v>33</v>
      </c>
      <c r="E420" t="s">
        <v>569</v>
      </c>
      <c r="F420" s="4">
        <v>9</v>
      </c>
      <c r="G420" s="3">
        <v>279048</v>
      </c>
      <c r="H420" s="1"/>
    </row>
    <row r="421" spans="1:8" x14ac:dyDescent="0.45">
      <c r="A421" t="s">
        <v>454</v>
      </c>
      <c r="B421" s="1">
        <v>46270</v>
      </c>
      <c r="C421" t="s">
        <v>571</v>
      </c>
      <c r="D421" t="s">
        <v>11</v>
      </c>
      <c r="E421" t="s">
        <v>38</v>
      </c>
      <c r="F421" s="4">
        <v>6</v>
      </c>
      <c r="G421" s="3">
        <v>358408</v>
      </c>
      <c r="H421" s="1"/>
    </row>
    <row r="422" spans="1:8" x14ac:dyDescent="0.45">
      <c r="A422" t="s">
        <v>455</v>
      </c>
      <c r="B422" s="1">
        <v>46279</v>
      </c>
      <c r="C422" t="s">
        <v>572</v>
      </c>
      <c r="D422" t="s">
        <v>10</v>
      </c>
      <c r="E422" t="s">
        <v>49</v>
      </c>
      <c r="F422" s="4">
        <v>8</v>
      </c>
      <c r="G422" s="3">
        <v>438918</v>
      </c>
      <c r="H422" s="1"/>
    </row>
    <row r="423" spans="1:8" x14ac:dyDescent="0.45">
      <c r="A423" t="s">
        <v>456</v>
      </c>
      <c r="B423" s="1">
        <v>46272</v>
      </c>
      <c r="C423" t="s">
        <v>574</v>
      </c>
      <c r="D423" t="s">
        <v>33</v>
      </c>
      <c r="E423" t="s">
        <v>22</v>
      </c>
      <c r="F423" s="4">
        <v>3</v>
      </c>
      <c r="G423" s="3">
        <v>423695</v>
      </c>
      <c r="H423" s="1"/>
    </row>
    <row r="424" spans="1:8" x14ac:dyDescent="0.45">
      <c r="A424" t="s">
        <v>457</v>
      </c>
      <c r="B424" s="1">
        <v>46283</v>
      </c>
      <c r="C424" t="s">
        <v>572</v>
      </c>
      <c r="D424" t="s">
        <v>10</v>
      </c>
      <c r="E424" t="s">
        <v>31</v>
      </c>
      <c r="F424" s="4">
        <v>9</v>
      </c>
      <c r="G424" s="3">
        <v>346991</v>
      </c>
      <c r="H424" s="1"/>
    </row>
    <row r="425" spans="1:8" x14ac:dyDescent="0.45">
      <c r="A425" t="s">
        <v>458</v>
      </c>
      <c r="B425" s="1">
        <v>46269</v>
      </c>
      <c r="C425" t="s">
        <v>570</v>
      </c>
      <c r="D425" t="s">
        <v>576</v>
      </c>
      <c r="E425" t="s">
        <v>31</v>
      </c>
      <c r="F425" s="4">
        <v>9</v>
      </c>
      <c r="G425" s="3">
        <v>49744</v>
      </c>
      <c r="H425" s="1"/>
    </row>
    <row r="426" spans="1:8" x14ac:dyDescent="0.45">
      <c r="A426" t="s">
        <v>459</v>
      </c>
      <c r="B426" s="1">
        <v>46282</v>
      </c>
      <c r="C426" t="s">
        <v>571</v>
      </c>
      <c r="D426" t="s">
        <v>576</v>
      </c>
      <c r="E426" t="s">
        <v>22</v>
      </c>
      <c r="F426" s="4">
        <v>7</v>
      </c>
      <c r="G426" s="3">
        <v>283564</v>
      </c>
      <c r="H426" s="1"/>
    </row>
    <row r="427" spans="1:8" x14ac:dyDescent="0.45">
      <c r="A427" t="s">
        <v>460</v>
      </c>
      <c r="B427" s="1">
        <v>46290</v>
      </c>
      <c r="C427" t="s">
        <v>568</v>
      </c>
      <c r="D427" t="s">
        <v>33</v>
      </c>
      <c r="E427" t="s">
        <v>569</v>
      </c>
      <c r="F427" s="4">
        <v>2</v>
      </c>
      <c r="G427" s="3">
        <v>378462</v>
      </c>
      <c r="H427" s="1"/>
    </row>
    <row r="428" spans="1:8" x14ac:dyDescent="0.45">
      <c r="A428" t="s">
        <v>461</v>
      </c>
      <c r="B428" s="1">
        <v>46267</v>
      </c>
      <c r="C428" t="s">
        <v>572</v>
      </c>
      <c r="D428" t="s">
        <v>577</v>
      </c>
      <c r="E428" t="s">
        <v>31</v>
      </c>
      <c r="F428" s="4">
        <v>4</v>
      </c>
      <c r="G428" s="3">
        <v>372111</v>
      </c>
      <c r="H428" s="1"/>
    </row>
    <row r="429" spans="1:8" x14ac:dyDescent="0.45">
      <c r="A429" t="s">
        <v>462</v>
      </c>
      <c r="B429" s="1">
        <v>46273</v>
      </c>
      <c r="C429" t="s">
        <v>575</v>
      </c>
      <c r="D429" t="s">
        <v>10</v>
      </c>
      <c r="E429" t="s">
        <v>24</v>
      </c>
      <c r="F429" s="4">
        <v>1</v>
      </c>
      <c r="G429" s="3">
        <v>163044</v>
      </c>
      <c r="H429" s="1"/>
    </row>
    <row r="430" spans="1:8" x14ac:dyDescent="0.45">
      <c r="A430" t="s">
        <v>463</v>
      </c>
      <c r="B430" s="1">
        <v>46293</v>
      </c>
      <c r="C430" t="s">
        <v>575</v>
      </c>
      <c r="D430" t="s">
        <v>11</v>
      </c>
      <c r="E430" t="s">
        <v>19</v>
      </c>
      <c r="F430" s="4">
        <v>4</v>
      </c>
      <c r="G430" s="3">
        <v>121945</v>
      </c>
      <c r="H430" s="1"/>
    </row>
    <row r="431" spans="1:8" x14ac:dyDescent="0.45">
      <c r="A431" t="s">
        <v>464</v>
      </c>
      <c r="B431" s="1">
        <v>46279</v>
      </c>
      <c r="C431" t="s">
        <v>572</v>
      </c>
      <c r="D431" t="s">
        <v>10</v>
      </c>
      <c r="E431" t="s">
        <v>38</v>
      </c>
      <c r="F431" s="4" t="s">
        <v>164</v>
      </c>
      <c r="G431" s="3">
        <v>161817</v>
      </c>
      <c r="H431" s="1"/>
    </row>
    <row r="432" spans="1:8" x14ac:dyDescent="0.45">
      <c r="A432" t="s">
        <v>465</v>
      </c>
      <c r="B432" s="1">
        <v>46267</v>
      </c>
      <c r="C432" t="s">
        <v>572</v>
      </c>
      <c r="D432" t="s">
        <v>577</v>
      </c>
      <c r="E432" t="s">
        <v>569</v>
      </c>
      <c r="F432" s="4">
        <v>6</v>
      </c>
      <c r="G432" s="3">
        <v>356022</v>
      </c>
      <c r="H432" s="1"/>
    </row>
    <row r="433" spans="1:8" x14ac:dyDescent="0.45">
      <c r="A433" t="s">
        <v>466</v>
      </c>
      <c r="B433" s="1">
        <v>46274</v>
      </c>
      <c r="C433" t="s">
        <v>568</v>
      </c>
      <c r="D433" t="s">
        <v>10</v>
      </c>
      <c r="E433" t="s">
        <v>19</v>
      </c>
      <c r="F433" s="4">
        <v>10</v>
      </c>
      <c r="G433" s="3">
        <v>388248</v>
      </c>
      <c r="H433" s="1"/>
    </row>
    <row r="434" spans="1:8" x14ac:dyDescent="0.45">
      <c r="A434" t="s">
        <v>467</v>
      </c>
      <c r="B434" s="1">
        <v>46272</v>
      </c>
      <c r="C434" t="s">
        <v>570</v>
      </c>
      <c r="D434" t="s">
        <v>10</v>
      </c>
      <c r="E434" t="s">
        <v>569</v>
      </c>
      <c r="F434" s="4">
        <v>9</v>
      </c>
      <c r="G434" s="3">
        <v>181212</v>
      </c>
      <c r="H434" s="1"/>
    </row>
    <row r="435" spans="1:8" x14ac:dyDescent="0.45">
      <c r="A435" t="s">
        <v>468</v>
      </c>
      <c r="B435" s="1">
        <v>46293</v>
      </c>
      <c r="C435" t="s">
        <v>568</v>
      </c>
      <c r="D435" t="s">
        <v>576</v>
      </c>
      <c r="E435" t="s">
        <v>19</v>
      </c>
      <c r="F435" s="4">
        <v>9</v>
      </c>
      <c r="G435" s="3">
        <v>432357</v>
      </c>
      <c r="H435" s="1"/>
    </row>
    <row r="436" spans="1:8" x14ac:dyDescent="0.45">
      <c r="A436" t="s">
        <v>469</v>
      </c>
      <c r="B436" s="1">
        <v>46277</v>
      </c>
      <c r="C436" t="s">
        <v>572</v>
      </c>
      <c r="D436" t="s">
        <v>10</v>
      </c>
      <c r="E436" t="s">
        <v>24</v>
      </c>
      <c r="F436" s="4">
        <v>1</v>
      </c>
      <c r="G436" s="3">
        <v>294357</v>
      </c>
      <c r="H436" s="1"/>
    </row>
    <row r="437" spans="1:8" x14ac:dyDescent="0.45">
      <c r="A437" t="s">
        <v>470</v>
      </c>
      <c r="B437" s="1">
        <v>46274</v>
      </c>
      <c r="C437" t="s">
        <v>573</v>
      </c>
      <c r="D437" t="s">
        <v>576</v>
      </c>
      <c r="E437" t="s">
        <v>31</v>
      </c>
      <c r="F437" s="4">
        <v>6</v>
      </c>
      <c r="G437" s="3">
        <v>58824</v>
      </c>
      <c r="H437" s="1"/>
    </row>
    <row r="438" spans="1:8" x14ac:dyDescent="0.45">
      <c r="A438" t="s">
        <v>471</v>
      </c>
      <c r="B438" s="1">
        <v>46281</v>
      </c>
      <c r="C438" t="s">
        <v>574</v>
      </c>
      <c r="D438" t="s">
        <v>10</v>
      </c>
      <c r="E438" t="s">
        <v>38</v>
      </c>
      <c r="F438" s="4">
        <v>5</v>
      </c>
      <c r="G438" s="3">
        <v>24177</v>
      </c>
      <c r="H438" s="1"/>
    </row>
    <row r="439" spans="1:8" x14ac:dyDescent="0.45">
      <c r="A439" t="s">
        <v>472</v>
      </c>
      <c r="B439" s="1">
        <v>46287</v>
      </c>
      <c r="C439" t="s">
        <v>571</v>
      </c>
      <c r="D439" t="s">
        <v>33</v>
      </c>
      <c r="E439" t="s">
        <v>569</v>
      </c>
      <c r="F439" s="4">
        <v>3</v>
      </c>
      <c r="G439" s="3">
        <v>331281</v>
      </c>
      <c r="H439" s="1"/>
    </row>
    <row r="440" spans="1:8" x14ac:dyDescent="0.45">
      <c r="A440" t="s">
        <v>473</v>
      </c>
      <c r="B440" s="1">
        <v>46294</v>
      </c>
      <c r="C440" t="s">
        <v>575</v>
      </c>
      <c r="D440" t="s">
        <v>10</v>
      </c>
      <c r="E440" t="s">
        <v>19</v>
      </c>
      <c r="F440" s="4">
        <v>10</v>
      </c>
      <c r="G440" s="3">
        <v>276618</v>
      </c>
      <c r="H440" s="1"/>
    </row>
    <row r="441" spans="1:8" x14ac:dyDescent="0.45">
      <c r="A441" t="s">
        <v>474</v>
      </c>
      <c r="B441" s="1">
        <v>46286</v>
      </c>
      <c r="C441" t="s">
        <v>567</v>
      </c>
      <c r="D441" t="s">
        <v>577</v>
      </c>
      <c r="E441" t="s">
        <v>38</v>
      </c>
      <c r="F441" s="4" t="s">
        <v>239</v>
      </c>
      <c r="G441" s="3">
        <v>398056</v>
      </c>
      <c r="H441" s="1"/>
    </row>
    <row r="442" spans="1:8" x14ac:dyDescent="0.45">
      <c r="A442" t="s">
        <v>475</v>
      </c>
      <c r="B442" s="1">
        <v>46295</v>
      </c>
      <c r="C442" t="s">
        <v>570</v>
      </c>
      <c r="D442" t="s">
        <v>10</v>
      </c>
      <c r="E442" t="s">
        <v>49</v>
      </c>
      <c r="F442" s="4">
        <v>7</v>
      </c>
      <c r="G442" s="3">
        <v>398597</v>
      </c>
      <c r="H442" s="1"/>
    </row>
    <row r="443" spans="1:8" x14ac:dyDescent="0.45">
      <c r="A443" t="s">
        <v>476</v>
      </c>
      <c r="B443" s="1">
        <v>46286</v>
      </c>
      <c r="C443" t="s">
        <v>571</v>
      </c>
      <c r="D443" t="s">
        <v>33</v>
      </c>
      <c r="E443" t="s">
        <v>49</v>
      </c>
      <c r="F443" s="4">
        <v>8</v>
      </c>
      <c r="G443" s="3">
        <v>306888</v>
      </c>
      <c r="H443" s="1"/>
    </row>
    <row r="444" spans="1:8" x14ac:dyDescent="0.45">
      <c r="A444" t="s">
        <v>477</v>
      </c>
      <c r="B444" s="1">
        <v>46272</v>
      </c>
      <c r="C444" t="s">
        <v>572</v>
      </c>
      <c r="D444" t="s">
        <v>10</v>
      </c>
      <c r="E444" t="s">
        <v>19</v>
      </c>
      <c r="F444" s="4">
        <v>9</v>
      </c>
      <c r="G444" s="3">
        <v>126555</v>
      </c>
      <c r="H444" s="1"/>
    </row>
    <row r="445" spans="1:8" x14ac:dyDescent="0.45">
      <c r="A445" t="s">
        <v>478</v>
      </c>
      <c r="B445" s="1">
        <v>46268</v>
      </c>
      <c r="C445" t="s">
        <v>575</v>
      </c>
      <c r="D445" t="s">
        <v>33</v>
      </c>
      <c r="E445" t="s">
        <v>31</v>
      </c>
      <c r="F445" s="4">
        <v>8</v>
      </c>
      <c r="G445" s="3">
        <v>348726</v>
      </c>
      <c r="H445" s="1"/>
    </row>
    <row r="446" spans="1:8" x14ac:dyDescent="0.45">
      <c r="A446" t="s">
        <v>479</v>
      </c>
      <c r="B446" s="1">
        <v>46287</v>
      </c>
      <c r="C446" t="s">
        <v>571</v>
      </c>
      <c r="D446" t="s">
        <v>10</v>
      </c>
      <c r="E446" t="s">
        <v>19</v>
      </c>
      <c r="F446" s="4">
        <v>6</v>
      </c>
      <c r="G446" s="3">
        <v>470633</v>
      </c>
      <c r="H446" s="1"/>
    </row>
    <row r="447" spans="1:8" x14ac:dyDescent="0.45">
      <c r="A447" t="s">
        <v>480</v>
      </c>
      <c r="B447" s="1">
        <v>46290</v>
      </c>
      <c r="C447" t="s">
        <v>574</v>
      </c>
      <c r="D447" t="s">
        <v>577</v>
      </c>
      <c r="E447" t="s">
        <v>38</v>
      </c>
      <c r="F447" s="4">
        <v>7</v>
      </c>
      <c r="G447" s="3">
        <v>182636</v>
      </c>
      <c r="H447" s="1"/>
    </row>
    <row r="448" spans="1:8" x14ac:dyDescent="0.45">
      <c r="A448" t="s">
        <v>481</v>
      </c>
      <c r="B448" s="1">
        <v>46273</v>
      </c>
      <c r="C448" t="s">
        <v>571</v>
      </c>
      <c r="D448" t="s">
        <v>11</v>
      </c>
      <c r="E448" t="s">
        <v>49</v>
      </c>
      <c r="F448" s="4">
        <v>5</v>
      </c>
      <c r="G448" s="3">
        <v>271331</v>
      </c>
      <c r="H448" s="1"/>
    </row>
    <row r="449" spans="1:8" x14ac:dyDescent="0.45">
      <c r="A449" t="s">
        <v>482</v>
      </c>
      <c r="B449" s="1">
        <v>46270</v>
      </c>
      <c r="C449" t="s">
        <v>571</v>
      </c>
      <c r="D449" t="s">
        <v>10</v>
      </c>
      <c r="E449" t="s">
        <v>24</v>
      </c>
      <c r="F449" s="4">
        <v>7</v>
      </c>
      <c r="G449" s="3">
        <v>48119</v>
      </c>
      <c r="H449" s="1"/>
    </row>
    <row r="450" spans="1:8" x14ac:dyDescent="0.45">
      <c r="A450" t="s">
        <v>483</v>
      </c>
      <c r="B450" s="1">
        <v>46291</v>
      </c>
      <c r="C450" t="s">
        <v>567</v>
      </c>
      <c r="D450" t="s">
        <v>33</v>
      </c>
      <c r="E450" t="s">
        <v>569</v>
      </c>
      <c r="F450" s="4">
        <v>6</v>
      </c>
      <c r="G450" s="3">
        <v>27136</v>
      </c>
      <c r="H450" s="1"/>
    </row>
    <row r="451" spans="1:8" x14ac:dyDescent="0.45">
      <c r="A451" t="s">
        <v>484</v>
      </c>
      <c r="B451" s="1">
        <v>46292</v>
      </c>
      <c r="C451" t="s">
        <v>574</v>
      </c>
      <c r="D451" t="s">
        <v>577</v>
      </c>
      <c r="E451" t="s">
        <v>49</v>
      </c>
      <c r="F451" s="4">
        <v>10</v>
      </c>
      <c r="G451" s="3">
        <v>385822</v>
      </c>
      <c r="H451" s="1"/>
    </row>
    <row r="452" spans="1:8" x14ac:dyDescent="0.45">
      <c r="A452" t="s">
        <v>485</v>
      </c>
      <c r="B452" s="1">
        <v>46279</v>
      </c>
      <c r="C452" t="s">
        <v>567</v>
      </c>
      <c r="D452" t="s">
        <v>10</v>
      </c>
      <c r="E452" t="s">
        <v>38</v>
      </c>
      <c r="F452" s="4">
        <v>10</v>
      </c>
      <c r="G452" s="3">
        <v>174082</v>
      </c>
      <c r="H452" s="1"/>
    </row>
    <row r="453" spans="1:8" x14ac:dyDescent="0.45">
      <c r="A453" t="s">
        <v>486</v>
      </c>
      <c r="B453" s="1">
        <v>46269</v>
      </c>
      <c r="C453" t="s">
        <v>568</v>
      </c>
      <c r="D453" t="s">
        <v>577</v>
      </c>
      <c r="E453" t="s">
        <v>26</v>
      </c>
      <c r="F453" s="4">
        <v>7</v>
      </c>
      <c r="G453" s="3">
        <v>100805</v>
      </c>
      <c r="H453" s="1"/>
    </row>
    <row r="454" spans="1:8" x14ac:dyDescent="0.45">
      <c r="A454" t="s">
        <v>487</v>
      </c>
      <c r="B454" s="1">
        <v>46292</v>
      </c>
      <c r="C454" t="s">
        <v>573</v>
      </c>
      <c r="D454" t="s">
        <v>10</v>
      </c>
      <c r="E454" t="s">
        <v>22</v>
      </c>
      <c r="F454" s="4">
        <v>4</v>
      </c>
      <c r="G454" s="3">
        <v>369498</v>
      </c>
      <c r="H454" s="1"/>
    </row>
    <row r="455" spans="1:8" x14ac:dyDescent="0.45">
      <c r="A455" t="s">
        <v>488</v>
      </c>
      <c r="B455" s="1">
        <v>46279</v>
      </c>
      <c r="C455" t="s">
        <v>573</v>
      </c>
      <c r="D455" t="s">
        <v>10</v>
      </c>
      <c r="E455" t="s">
        <v>19</v>
      </c>
      <c r="F455" s="4">
        <v>8</v>
      </c>
      <c r="G455" s="3">
        <v>265406</v>
      </c>
      <c r="H455" s="1"/>
    </row>
    <row r="456" spans="1:8" x14ac:dyDescent="0.45">
      <c r="A456" t="s">
        <v>489</v>
      </c>
      <c r="B456" s="1">
        <v>46269</v>
      </c>
      <c r="C456" t="s">
        <v>572</v>
      </c>
      <c r="D456" t="s">
        <v>576</v>
      </c>
      <c r="E456" t="s">
        <v>24</v>
      </c>
      <c r="F456" s="4">
        <v>2</v>
      </c>
      <c r="G456" s="3">
        <v>376861</v>
      </c>
      <c r="H456" s="1"/>
    </row>
    <row r="457" spans="1:8" x14ac:dyDescent="0.45">
      <c r="A457" t="s">
        <v>490</v>
      </c>
      <c r="B457" s="1">
        <v>46267</v>
      </c>
      <c r="C457" t="s">
        <v>572</v>
      </c>
      <c r="D457" t="s">
        <v>10</v>
      </c>
      <c r="E457" t="s">
        <v>38</v>
      </c>
      <c r="F457" s="4">
        <v>1</v>
      </c>
      <c r="G457" s="3">
        <v>348868</v>
      </c>
      <c r="H457" s="1"/>
    </row>
    <row r="458" spans="1:8" x14ac:dyDescent="0.45">
      <c r="A458" t="s">
        <v>491</v>
      </c>
      <c r="B458" s="1">
        <v>46278</v>
      </c>
      <c r="C458" t="s">
        <v>570</v>
      </c>
      <c r="D458" t="s">
        <v>577</v>
      </c>
      <c r="E458" t="s">
        <v>26</v>
      </c>
      <c r="F458" s="4">
        <v>9</v>
      </c>
      <c r="G458" s="3">
        <v>432777</v>
      </c>
      <c r="H458" s="1"/>
    </row>
    <row r="459" spans="1:8" x14ac:dyDescent="0.45">
      <c r="A459" t="s">
        <v>492</v>
      </c>
      <c r="B459" s="1">
        <v>46288</v>
      </c>
      <c r="C459" t="s">
        <v>571</v>
      </c>
      <c r="D459" t="s">
        <v>10</v>
      </c>
      <c r="E459" t="s">
        <v>26</v>
      </c>
      <c r="F459" s="4">
        <v>9</v>
      </c>
      <c r="G459" s="3">
        <v>441857</v>
      </c>
      <c r="H459" s="1"/>
    </row>
    <row r="460" spans="1:8" x14ac:dyDescent="0.45">
      <c r="A460" t="s">
        <v>493</v>
      </c>
      <c r="B460" s="1">
        <v>46282</v>
      </c>
      <c r="C460" t="s">
        <v>571</v>
      </c>
      <c r="D460" t="s">
        <v>10</v>
      </c>
      <c r="E460" t="s">
        <v>38</v>
      </c>
      <c r="F460" s="4">
        <v>1</v>
      </c>
      <c r="G460" s="3">
        <v>295581</v>
      </c>
      <c r="H460" s="1"/>
    </row>
    <row r="461" spans="1:8" x14ac:dyDescent="0.45">
      <c r="A461" t="s">
        <v>494</v>
      </c>
      <c r="B461" s="1">
        <v>46272</v>
      </c>
      <c r="C461" t="s">
        <v>574</v>
      </c>
      <c r="D461" t="s">
        <v>576</v>
      </c>
      <c r="E461" t="s">
        <v>24</v>
      </c>
      <c r="F461" s="4">
        <v>9</v>
      </c>
      <c r="G461" s="3">
        <v>156294</v>
      </c>
      <c r="H461" s="1"/>
    </row>
    <row r="462" spans="1:8" x14ac:dyDescent="0.45">
      <c r="A462" t="s">
        <v>495</v>
      </c>
      <c r="B462" s="1">
        <v>46273</v>
      </c>
      <c r="C462" t="s">
        <v>575</v>
      </c>
      <c r="D462" t="s">
        <v>10</v>
      </c>
      <c r="E462" t="s">
        <v>49</v>
      </c>
      <c r="F462" s="4">
        <v>4</v>
      </c>
      <c r="G462" s="3">
        <v>447462</v>
      </c>
      <c r="H462" s="1"/>
    </row>
    <row r="463" spans="1:8" x14ac:dyDescent="0.45">
      <c r="A463" t="s">
        <v>496</v>
      </c>
      <c r="B463" s="1">
        <v>46278</v>
      </c>
      <c r="C463" t="s">
        <v>568</v>
      </c>
      <c r="D463" t="s">
        <v>576</v>
      </c>
      <c r="E463" t="s">
        <v>569</v>
      </c>
      <c r="F463" s="4">
        <v>1</v>
      </c>
      <c r="G463" s="3">
        <v>359155</v>
      </c>
      <c r="H463" s="1"/>
    </row>
    <row r="464" spans="1:8" x14ac:dyDescent="0.45">
      <c r="A464" t="s">
        <v>497</v>
      </c>
      <c r="B464" s="1">
        <v>46289</v>
      </c>
      <c r="C464" t="s">
        <v>567</v>
      </c>
      <c r="D464" t="s">
        <v>33</v>
      </c>
      <c r="E464" t="s">
        <v>569</v>
      </c>
      <c r="F464" s="4">
        <v>8</v>
      </c>
      <c r="G464" s="3">
        <v>133495</v>
      </c>
      <c r="H464" s="1"/>
    </row>
    <row r="465" spans="1:8" x14ac:dyDescent="0.45">
      <c r="A465" t="s">
        <v>498</v>
      </c>
      <c r="B465" s="1">
        <v>46279</v>
      </c>
      <c r="C465" t="s">
        <v>575</v>
      </c>
      <c r="D465" t="s">
        <v>11</v>
      </c>
      <c r="E465" t="s">
        <v>49</v>
      </c>
      <c r="F465" s="4" t="s">
        <v>101</v>
      </c>
      <c r="G465" s="3">
        <v>417566</v>
      </c>
      <c r="H465" s="1"/>
    </row>
    <row r="466" spans="1:8" x14ac:dyDescent="0.45">
      <c r="A466" t="s">
        <v>499</v>
      </c>
      <c r="B466" s="1">
        <v>46289</v>
      </c>
      <c r="C466" t="s">
        <v>568</v>
      </c>
      <c r="D466" t="s">
        <v>10</v>
      </c>
      <c r="E466" t="s">
        <v>31</v>
      </c>
      <c r="F466" s="4">
        <v>6</v>
      </c>
      <c r="G466" s="3">
        <v>444757</v>
      </c>
      <c r="H466" s="1"/>
    </row>
    <row r="467" spans="1:8" x14ac:dyDescent="0.45">
      <c r="A467" t="s">
        <v>500</v>
      </c>
      <c r="B467" s="1">
        <v>46270</v>
      </c>
      <c r="C467" t="s">
        <v>572</v>
      </c>
      <c r="D467" t="s">
        <v>577</v>
      </c>
      <c r="E467" t="s">
        <v>22</v>
      </c>
      <c r="F467" s="4">
        <v>9</v>
      </c>
      <c r="G467" s="3">
        <v>449771</v>
      </c>
      <c r="H467" s="1"/>
    </row>
    <row r="468" spans="1:8" x14ac:dyDescent="0.45">
      <c r="A468" t="s">
        <v>501</v>
      </c>
      <c r="B468" s="1">
        <v>46285</v>
      </c>
      <c r="C468" t="s">
        <v>567</v>
      </c>
      <c r="D468" t="s">
        <v>577</v>
      </c>
      <c r="E468" t="s">
        <v>22</v>
      </c>
      <c r="F468" s="4">
        <v>3</v>
      </c>
      <c r="G468" s="3">
        <v>305595</v>
      </c>
      <c r="H468" s="1"/>
    </row>
    <row r="469" spans="1:8" x14ac:dyDescent="0.45">
      <c r="A469" t="s">
        <v>502</v>
      </c>
      <c r="B469" s="1">
        <v>46274</v>
      </c>
      <c r="C469" t="s">
        <v>575</v>
      </c>
      <c r="D469" t="s">
        <v>577</v>
      </c>
      <c r="E469" t="s">
        <v>38</v>
      </c>
      <c r="F469" s="4">
        <v>6</v>
      </c>
      <c r="G469" s="3">
        <v>456879</v>
      </c>
      <c r="H469" s="1"/>
    </row>
    <row r="470" spans="1:8" x14ac:dyDescent="0.45">
      <c r="A470" t="s">
        <v>503</v>
      </c>
      <c r="B470" s="1">
        <v>46288</v>
      </c>
      <c r="C470" t="s">
        <v>572</v>
      </c>
      <c r="D470" t="s">
        <v>33</v>
      </c>
      <c r="E470" t="s">
        <v>26</v>
      </c>
      <c r="F470" s="4">
        <v>4</v>
      </c>
      <c r="G470" s="3">
        <v>13132</v>
      </c>
      <c r="H470" s="1"/>
    </row>
    <row r="471" spans="1:8" x14ac:dyDescent="0.45">
      <c r="A471" t="s">
        <v>504</v>
      </c>
      <c r="B471" s="1">
        <v>46279</v>
      </c>
      <c r="C471" t="s">
        <v>572</v>
      </c>
      <c r="D471" t="s">
        <v>10</v>
      </c>
      <c r="E471" t="s">
        <v>569</v>
      </c>
      <c r="F471" s="4">
        <v>2</v>
      </c>
      <c r="G471" s="3">
        <v>302222</v>
      </c>
      <c r="H471" s="1"/>
    </row>
    <row r="472" spans="1:8" x14ac:dyDescent="0.45">
      <c r="A472" t="s">
        <v>505</v>
      </c>
      <c r="B472" s="1">
        <v>46275</v>
      </c>
      <c r="C472" t="s">
        <v>572</v>
      </c>
      <c r="D472" t="s">
        <v>10</v>
      </c>
      <c r="E472" t="s">
        <v>31</v>
      </c>
      <c r="F472" s="4" t="s">
        <v>298</v>
      </c>
      <c r="G472" s="3">
        <v>37933</v>
      </c>
      <c r="H472" s="1"/>
    </row>
    <row r="473" spans="1:8" x14ac:dyDescent="0.45">
      <c r="A473" t="s">
        <v>506</v>
      </c>
      <c r="B473" s="1">
        <v>46287</v>
      </c>
      <c r="C473" t="s">
        <v>568</v>
      </c>
      <c r="D473" t="s">
        <v>10</v>
      </c>
      <c r="E473" t="s">
        <v>22</v>
      </c>
      <c r="F473" s="4">
        <v>9</v>
      </c>
      <c r="G473" s="3">
        <v>326220</v>
      </c>
      <c r="H473" s="1"/>
    </row>
    <row r="474" spans="1:8" x14ac:dyDescent="0.45">
      <c r="A474" t="s">
        <v>507</v>
      </c>
      <c r="B474" s="1">
        <v>46291</v>
      </c>
      <c r="C474" t="s">
        <v>575</v>
      </c>
      <c r="D474" t="s">
        <v>11</v>
      </c>
      <c r="E474" t="s">
        <v>38</v>
      </c>
      <c r="F474" s="4">
        <v>2</v>
      </c>
      <c r="G474" s="3">
        <v>377493</v>
      </c>
      <c r="H474" s="1"/>
    </row>
    <row r="475" spans="1:8" x14ac:dyDescent="0.45">
      <c r="A475" t="s">
        <v>508</v>
      </c>
      <c r="B475" s="1">
        <v>46293</v>
      </c>
      <c r="C475" t="s">
        <v>571</v>
      </c>
      <c r="D475" t="s">
        <v>10</v>
      </c>
      <c r="E475" t="s">
        <v>31</v>
      </c>
      <c r="F475" s="4">
        <v>6</v>
      </c>
      <c r="G475" s="3">
        <v>264245</v>
      </c>
      <c r="H475" s="1"/>
    </row>
    <row r="476" spans="1:8" x14ac:dyDescent="0.45">
      <c r="A476" t="s">
        <v>509</v>
      </c>
      <c r="B476" s="1">
        <v>46279</v>
      </c>
      <c r="C476" t="s">
        <v>570</v>
      </c>
      <c r="D476" t="s">
        <v>576</v>
      </c>
      <c r="E476" t="s">
        <v>38</v>
      </c>
      <c r="F476" s="4">
        <v>3</v>
      </c>
      <c r="G476" s="3">
        <v>395792</v>
      </c>
      <c r="H476" s="1"/>
    </row>
    <row r="477" spans="1:8" x14ac:dyDescent="0.45">
      <c r="A477" t="s">
        <v>510</v>
      </c>
      <c r="B477" s="1">
        <v>46295</v>
      </c>
      <c r="C477" t="s">
        <v>571</v>
      </c>
      <c r="D477" t="s">
        <v>10</v>
      </c>
      <c r="E477" t="s">
        <v>26</v>
      </c>
      <c r="F477" s="4" t="s">
        <v>164</v>
      </c>
      <c r="G477" s="3">
        <v>285508</v>
      </c>
      <c r="H477" s="1"/>
    </row>
    <row r="478" spans="1:8" x14ac:dyDescent="0.45">
      <c r="A478" t="s">
        <v>511</v>
      </c>
      <c r="B478" s="1">
        <v>46274</v>
      </c>
      <c r="C478" t="s">
        <v>574</v>
      </c>
      <c r="D478" t="s">
        <v>11</v>
      </c>
      <c r="E478" t="s">
        <v>22</v>
      </c>
      <c r="F478" s="4">
        <v>10</v>
      </c>
      <c r="G478" s="3">
        <v>86397</v>
      </c>
      <c r="H478" s="1"/>
    </row>
    <row r="479" spans="1:8" x14ac:dyDescent="0.45">
      <c r="A479" t="s">
        <v>512</v>
      </c>
      <c r="B479" s="1">
        <v>46295</v>
      </c>
      <c r="C479" t="s">
        <v>573</v>
      </c>
      <c r="D479" t="s">
        <v>33</v>
      </c>
      <c r="E479" t="s">
        <v>24</v>
      </c>
      <c r="F479" s="4" t="s">
        <v>239</v>
      </c>
      <c r="G479" s="3">
        <v>150640</v>
      </c>
      <c r="H479" s="1"/>
    </row>
    <row r="480" spans="1:8" x14ac:dyDescent="0.45">
      <c r="A480" t="s">
        <v>513</v>
      </c>
      <c r="B480" s="1">
        <v>46283</v>
      </c>
      <c r="C480" t="s">
        <v>574</v>
      </c>
      <c r="D480" t="s">
        <v>11</v>
      </c>
      <c r="E480" t="s">
        <v>19</v>
      </c>
      <c r="F480" s="4">
        <v>5</v>
      </c>
      <c r="G480" s="3">
        <v>92438</v>
      </c>
      <c r="H480" s="1"/>
    </row>
    <row r="481" spans="1:8" x14ac:dyDescent="0.45">
      <c r="A481" t="s">
        <v>514</v>
      </c>
      <c r="B481" s="1">
        <v>46272</v>
      </c>
      <c r="C481" t="s">
        <v>573</v>
      </c>
      <c r="D481" t="s">
        <v>10</v>
      </c>
      <c r="E481" t="s">
        <v>22</v>
      </c>
      <c r="F481" s="4">
        <v>7</v>
      </c>
      <c r="G481" s="3">
        <v>122212</v>
      </c>
      <c r="H481" s="1"/>
    </row>
    <row r="482" spans="1:8" x14ac:dyDescent="0.45">
      <c r="A482" t="s">
        <v>515</v>
      </c>
      <c r="B482" s="1">
        <v>46278</v>
      </c>
      <c r="C482" t="s">
        <v>568</v>
      </c>
      <c r="D482" t="s">
        <v>10</v>
      </c>
      <c r="E482" t="s">
        <v>26</v>
      </c>
      <c r="F482" s="4">
        <v>10</v>
      </c>
      <c r="G482" s="3">
        <v>39146</v>
      </c>
      <c r="H482" s="1"/>
    </row>
    <row r="483" spans="1:8" x14ac:dyDescent="0.45">
      <c r="A483" t="s">
        <v>516</v>
      </c>
      <c r="B483" s="1">
        <v>46283</v>
      </c>
      <c r="C483" t="s">
        <v>567</v>
      </c>
      <c r="D483" t="s">
        <v>11</v>
      </c>
      <c r="E483" t="s">
        <v>22</v>
      </c>
      <c r="F483" s="4">
        <v>2</v>
      </c>
      <c r="G483" s="3">
        <v>187825</v>
      </c>
      <c r="H483" s="1"/>
    </row>
    <row r="484" spans="1:8" x14ac:dyDescent="0.45">
      <c r="A484" t="s">
        <v>517</v>
      </c>
      <c r="B484" s="1">
        <v>46293</v>
      </c>
      <c r="C484" t="s">
        <v>575</v>
      </c>
      <c r="D484" t="s">
        <v>10</v>
      </c>
      <c r="E484" t="s">
        <v>49</v>
      </c>
      <c r="F484" s="4">
        <v>9</v>
      </c>
      <c r="G484" s="3">
        <v>242929</v>
      </c>
      <c r="H484" s="1"/>
    </row>
    <row r="485" spans="1:8" x14ac:dyDescent="0.45">
      <c r="A485" t="s">
        <v>518</v>
      </c>
      <c r="B485" s="1">
        <v>46273</v>
      </c>
      <c r="C485" t="s">
        <v>572</v>
      </c>
      <c r="D485" t="s">
        <v>576</v>
      </c>
      <c r="E485" t="s">
        <v>26</v>
      </c>
      <c r="F485" s="4">
        <v>4</v>
      </c>
      <c r="G485" s="3">
        <v>317431</v>
      </c>
      <c r="H485" s="1"/>
    </row>
    <row r="486" spans="1:8" x14ac:dyDescent="0.45">
      <c r="A486" t="s">
        <v>519</v>
      </c>
      <c r="B486" s="1">
        <v>46287</v>
      </c>
      <c r="C486" t="s">
        <v>573</v>
      </c>
      <c r="D486" t="s">
        <v>33</v>
      </c>
      <c r="E486" t="s">
        <v>49</v>
      </c>
      <c r="F486" s="4">
        <v>4</v>
      </c>
      <c r="G486" s="3">
        <v>199478</v>
      </c>
      <c r="H486" s="1"/>
    </row>
    <row r="487" spans="1:8" x14ac:dyDescent="0.45">
      <c r="A487" t="s">
        <v>520</v>
      </c>
      <c r="B487" s="1">
        <v>46272</v>
      </c>
      <c r="C487" t="s">
        <v>573</v>
      </c>
      <c r="D487" t="s">
        <v>10</v>
      </c>
      <c r="E487" t="s">
        <v>24</v>
      </c>
      <c r="F487" s="4">
        <v>2</v>
      </c>
      <c r="G487" s="3">
        <v>428622</v>
      </c>
      <c r="H487" s="1"/>
    </row>
    <row r="488" spans="1:8" x14ac:dyDescent="0.45">
      <c r="A488" t="s">
        <v>521</v>
      </c>
      <c r="B488" s="1">
        <v>46268</v>
      </c>
      <c r="C488" t="s">
        <v>570</v>
      </c>
      <c r="D488" t="s">
        <v>10</v>
      </c>
      <c r="E488" t="s">
        <v>31</v>
      </c>
      <c r="F488" s="4" t="s">
        <v>140</v>
      </c>
      <c r="G488" s="3">
        <v>148697</v>
      </c>
      <c r="H488" s="1"/>
    </row>
    <row r="489" spans="1:8" x14ac:dyDescent="0.45">
      <c r="A489" t="s">
        <v>522</v>
      </c>
      <c r="B489" s="1">
        <v>46287</v>
      </c>
      <c r="C489" t="s">
        <v>570</v>
      </c>
      <c r="D489" t="s">
        <v>10</v>
      </c>
      <c r="E489" t="s">
        <v>49</v>
      </c>
      <c r="F489" s="4">
        <v>1</v>
      </c>
      <c r="G489" s="3">
        <v>368723</v>
      </c>
      <c r="H489" s="1"/>
    </row>
    <row r="490" spans="1:8" x14ac:dyDescent="0.45">
      <c r="A490" t="s">
        <v>523</v>
      </c>
      <c r="B490" s="1">
        <v>46282</v>
      </c>
      <c r="C490" t="s">
        <v>573</v>
      </c>
      <c r="D490" t="s">
        <v>10</v>
      </c>
      <c r="E490" t="s">
        <v>569</v>
      </c>
      <c r="F490" s="4">
        <v>10</v>
      </c>
      <c r="G490" s="3">
        <v>307855</v>
      </c>
      <c r="H490" s="1"/>
    </row>
    <row r="491" spans="1:8" x14ac:dyDescent="0.45">
      <c r="A491" t="s">
        <v>524</v>
      </c>
      <c r="B491" s="1">
        <v>46276</v>
      </c>
      <c r="C491" t="s">
        <v>572</v>
      </c>
      <c r="D491" t="s">
        <v>10</v>
      </c>
      <c r="E491" t="s">
        <v>26</v>
      </c>
      <c r="F491" s="4">
        <v>10</v>
      </c>
      <c r="G491" s="3">
        <v>111582</v>
      </c>
      <c r="H491" s="1"/>
    </row>
    <row r="492" spans="1:8" x14ac:dyDescent="0.45">
      <c r="A492" t="s">
        <v>525</v>
      </c>
      <c r="B492" s="1">
        <v>46280</v>
      </c>
      <c r="C492" t="s">
        <v>570</v>
      </c>
      <c r="D492" t="s">
        <v>577</v>
      </c>
      <c r="E492" t="s">
        <v>38</v>
      </c>
      <c r="F492" s="4">
        <v>3</v>
      </c>
      <c r="G492" s="3">
        <v>339335</v>
      </c>
      <c r="H492" s="1"/>
    </row>
    <row r="493" spans="1:8" x14ac:dyDescent="0.45">
      <c r="A493" t="s">
        <v>526</v>
      </c>
      <c r="B493" s="1">
        <v>46288</v>
      </c>
      <c r="C493" t="s">
        <v>574</v>
      </c>
      <c r="D493" t="s">
        <v>10</v>
      </c>
      <c r="E493" t="s">
        <v>38</v>
      </c>
      <c r="F493" s="4">
        <v>9</v>
      </c>
      <c r="G493" s="3">
        <v>48846</v>
      </c>
      <c r="H493" s="1"/>
    </row>
    <row r="494" spans="1:8" x14ac:dyDescent="0.45">
      <c r="A494" t="s">
        <v>527</v>
      </c>
      <c r="B494" s="1">
        <v>46279</v>
      </c>
      <c r="C494" t="s">
        <v>572</v>
      </c>
      <c r="D494" t="s">
        <v>10</v>
      </c>
      <c r="E494" t="s">
        <v>49</v>
      </c>
      <c r="F494" s="4">
        <v>2</v>
      </c>
      <c r="G494" s="3">
        <v>499884</v>
      </c>
      <c r="H494" s="1"/>
    </row>
    <row r="495" spans="1:8" x14ac:dyDescent="0.45">
      <c r="A495" t="s">
        <v>528</v>
      </c>
      <c r="B495" s="1">
        <v>46289</v>
      </c>
      <c r="C495" t="s">
        <v>567</v>
      </c>
      <c r="D495" t="s">
        <v>33</v>
      </c>
      <c r="E495" t="s">
        <v>24</v>
      </c>
      <c r="F495" s="4">
        <v>2</v>
      </c>
      <c r="G495" s="3">
        <v>105043</v>
      </c>
      <c r="H495" s="1"/>
    </row>
    <row r="496" spans="1:8" x14ac:dyDescent="0.45">
      <c r="A496" t="s">
        <v>529</v>
      </c>
      <c r="B496" s="1">
        <v>46294</v>
      </c>
      <c r="C496" t="s">
        <v>575</v>
      </c>
      <c r="D496" t="s">
        <v>10</v>
      </c>
      <c r="E496" t="s">
        <v>26</v>
      </c>
      <c r="F496" s="4">
        <v>7</v>
      </c>
      <c r="G496" s="3">
        <v>13628</v>
      </c>
      <c r="H496" s="1"/>
    </row>
    <row r="497" spans="1:8" x14ac:dyDescent="0.45">
      <c r="A497" t="s">
        <v>530</v>
      </c>
      <c r="B497" s="1">
        <v>46287</v>
      </c>
      <c r="C497" t="s">
        <v>567</v>
      </c>
      <c r="D497" t="s">
        <v>10</v>
      </c>
      <c r="E497" t="s">
        <v>19</v>
      </c>
      <c r="F497" s="4">
        <v>2</v>
      </c>
      <c r="G497" s="3">
        <v>470235</v>
      </c>
      <c r="H497" s="1"/>
    </row>
    <row r="498" spans="1:8" x14ac:dyDescent="0.45">
      <c r="A498" t="s">
        <v>531</v>
      </c>
      <c r="B498" s="1">
        <v>46276</v>
      </c>
      <c r="C498" t="s">
        <v>574</v>
      </c>
      <c r="D498" t="s">
        <v>10</v>
      </c>
      <c r="E498" t="s">
        <v>569</v>
      </c>
      <c r="F498" s="4">
        <v>4</v>
      </c>
      <c r="G498" s="3">
        <v>133442</v>
      </c>
      <c r="H498" s="1"/>
    </row>
    <row r="499" spans="1:8" x14ac:dyDescent="0.45">
      <c r="A499" t="s">
        <v>532</v>
      </c>
      <c r="B499" s="1">
        <v>46278</v>
      </c>
      <c r="C499" t="s">
        <v>567</v>
      </c>
      <c r="D499" t="s">
        <v>33</v>
      </c>
      <c r="E499" t="s">
        <v>31</v>
      </c>
      <c r="F499" s="4">
        <v>3</v>
      </c>
      <c r="G499" s="3">
        <v>459222</v>
      </c>
      <c r="H499" s="1"/>
    </row>
    <row r="500" spans="1:8" x14ac:dyDescent="0.45">
      <c r="A500" t="s">
        <v>533</v>
      </c>
      <c r="B500" s="1">
        <v>46275</v>
      </c>
      <c r="C500" t="s">
        <v>573</v>
      </c>
      <c r="D500" t="s">
        <v>10</v>
      </c>
      <c r="E500" t="s">
        <v>26</v>
      </c>
      <c r="F500" s="4">
        <v>7</v>
      </c>
      <c r="G500" s="3">
        <v>302926</v>
      </c>
      <c r="H500" s="1"/>
    </row>
    <row r="501" spans="1:8" x14ac:dyDescent="0.45">
      <c r="A501" t="s">
        <v>534</v>
      </c>
      <c r="B501" s="1">
        <v>46279</v>
      </c>
      <c r="C501" t="s">
        <v>572</v>
      </c>
      <c r="D501" t="s">
        <v>10</v>
      </c>
      <c r="E501" t="s">
        <v>38</v>
      </c>
      <c r="F501" s="4">
        <v>10</v>
      </c>
      <c r="G501" s="3">
        <v>294117</v>
      </c>
      <c r="H501" s="1"/>
    </row>
    <row r="502" spans="1:8" x14ac:dyDescent="0.45">
      <c r="A502" t="s">
        <v>535</v>
      </c>
      <c r="B502" s="1">
        <v>46268</v>
      </c>
      <c r="C502" t="s">
        <v>575</v>
      </c>
      <c r="D502" t="s">
        <v>11</v>
      </c>
      <c r="E502" t="s">
        <v>26</v>
      </c>
      <c r="F502" s="4">
        <v>4</v>
      </c>
      <c r="G502" s="3">
        <v>25270</v>
      </c>
      <c r="H502" s="1"/>
    </row>
    <row r="503" spans="1:8" x14ac:dyDescent="0.45">
      <c r="A503" t="s">
        <v>536</v>
      </c>
      <c r="B503" s="1">
        <v>46270</v>
      </c>
      <c r="C503" t="s">
        <v>571</v>
      </c>
      <c r="D503" t="s">
        <v>576</v>
      </c>
      <c r="E503" t="s">
        <v>569</v>
      </c>
      <c r="F503" s="4">
        <v>4</v>
      </c>
      <c r="G503" s="3">
        <v>426223</v>
      </c>
      <c r="H503" s="1"/>
    </row>
    <row r="504" spans="1:8" x14ac:dyDescent="0.45">
      <c r="A504" t="s">
        <v>537</v>
      </c>
      <c r="B504" s="1">
        <v>46295</v>
      </c>
      <c r="C504" t="s">
        <v>570</v>
      </c>
      <c r="D504" t="s">
        <v>10</v>
      </c>
      <c r="E504" t="s">
        <v>22</v>
      </c>
      <c r="F504" s="4" t="s">
        <v>255</v>
      </c>
      <c r="G504" s="3">
        <v>302021</v>
      </c>
      <c r="H504" s="1"/>
    </row>
    <row r="505" spans="1:8" x14ac:dyDescent="0.45">
      <c r="A505" t="s">
        <v>538</v>
      </c>
      <c r="B505" s="1">
        <v>46267</v>
      </c>
      <c r="C505" t="s">
        <v>567</v>
      </c>
      <c r="D505" t="s">
        <v>10</v>
      </c>
      <c r="E505" t="s">
        <v>26</v>
      </c>
      <c r="F505" s="4" t="s">
        <v>121</v>
      </c>
      <c r="G505" s="3">
        <v>240592</v>
      </c>
      <c r="H505" s="1"/>
    </row>
    <row r="506" spans="1:8" x14ac:dyDescent="0.45">
      <c r="A506" t="s">
        <v>539</v>
      </c>
      <c r="B506" s="1">
        <v>46281</v>
      </c>
      <c r="C506" t="s">
        <v>568</v>
      </c>
      <c r="D506" t="s">
        <v>11</v>
      </c>
      <c r="E506" t="s">
        <v>26</v>
      </c>
      <c r="F506" s="4">
        <v>3</v>
      </c>
      <c r="G506" s="3">
        <v>248716</v>
      </c>
      <c r="H506" s="1"/>
    </row>
    <row r="507" spans="1:8" x14ac:dyDescent="0.45">
      <c r="A507" t="s">
        <v>540</v>
      </c>
      <c r="B507" s="1">
        <v>46277</v>
      </c>
      <c r="C507" t="s">
        <v>570</v>
      </c>
      <c r="D507" t="s">
        <v>10</v>
      </c>
      <c r="E507" t="s">
        <v>38</v>
      </c>
      <c r="F507" s="4">
        <v>1</v>
      </c>
      <c r="G507" s="3">
        <v>445524</v>
      </c>
      <c r="H507" s="1"/>
    </row>
    <row r="508" spans="1:8" x14ac:dyDescent="0.45">
      <c r="A508" t="s">
        <v>541</v>
      </c>
      <c r="B508" s="1">
        <v>46289</v>
      </c>
      <c r="C508" t="s">
        <v>571</v>
      </c>
      <c r="D508" t="s">
        <v>577</v>
      </c>
      <c r="E508" t="s">
        <v>31</v>
      </c>
      <c r="F508" s="4">
        <v>8</v>
      </c>
      <c r="G508" s="3">
        <v>416276</v>
      </c>
      <c r="H508" s="1"/>
    </row>
    <row r="509" spans="1:8" x14ac:dyDescent="0.45">
      <c r="A509" t="s">
        <v>542</v>
      </c>
      <c r="B509" s="1">
        <v>46271</v>
      </c>
      <c r="C509" t="s">
        <v>567</v>
      </c>
      <c r="D509" t="s">
        <v>576</v>
      </c>
      <c r="E509" t="s">
        <v>569</v>
      </c>
      <c r="F509" s="4">
        <v>8</v>
      </c>
      <c r="G509" s="3">
        <v>215146</v>
      </c>
      <c r="H509" s="1"/>
    </row>
    <row r="510" spans="1:8" x14ac:dyDescent="0.45">
      <c r="A510" t="s">
        <v>543</v>
      </c>
      <c r="B510" s="1">
        <v>46287</v>
      </c>
      <c r="C510" t="s">
        <v>575</v>
      </c>
      <c r="D510" t="s">
        <v>10</v>
      </c>
      <c r="E510" t="s">
        <v>38</v>
      </c>
      <c r="F510" s="4">
        <v>10</v>
      </c>
      <c r="G510" s="3">
        <v>246623</v>
      </c>
      <c r="H510" s="1"/>
    </row>
    <row r="511" spans="1:8" x14ac:dyDescent="0.45">
      <c r="A511" t="s">
        <v>544</v>
      </c>
      <c r="B511" s="1">
        <v>46287</v>
      </c>
      <c r="C511" t="s">
        <v>575</v>
      </c>
      <c r="D511" t="s">
        <v>576</v>
      </c>
      <c r="E511" t="s">
        <v>569</v>
      </c>
      <c r="F511" s="4">
        <v>6</v>
      </c>
      <c r="G511" s="3">
        <v>291726</v>
      </c>
      <c r="H511" s="1"/>
    </row>
    <row r="512" spans="1:8" x14ac:dyDescent="0.45">
      <c r="A512" t="s">
        <v>545</v>
      </c>
      <c r="B512" s="1">
        <v>46269</v>
      </c>
      <c r="C512" t="s">
        <v>573</v>
      </c>
      <c r="D512" t="s">
        <v>577</v>
      </c>
      <c r="E512" t="s">
        <v>31</v>
      </c>
      <c r="F512" s="4">
        <v>9</v>
      </c>
      <c r="G512" s="3">
        <v>449820</v>
      </c>
      <c r="H512" s="1"/>
    </row>
    <row r="513" spans="1:8" x14ac:dyDescent="0.45">
      <c r="A513" t="s">
        <v>546</v>
      </c>
      <c r="B513" s="1">
        <v>46269</v>
      </c>
      <c r="C513" t="s">
        <v>567</v>
      </c>
      <c r="D513" t="s">
        <v>10</v>
      </c>
      <c r="E513" t="s">
        <v>49</v>
      </c>
      <c r="F513" s="4" t="s">
        <v>239</v>
      </c>
      <c r="G513" s="3">
        <v>461679</v>
      </c>
      <c r="H513" s="1"/>
    </row>
    <row r="514" spans="1:8" x14ac:dyDescent="0.45">
      <c r="A514" t="s">
        <v>547</v>
      </c>
      <c r="B514" s="1">
        <v>46269</v>
      </c>
      <c r="C514" t="s">
        <v>570</v>
      </c>
      <c r="D514" t="s">
        <v>10</v>
      </c>
      <c r="E514" t="s">
        <v>49</v>
      </c>
      <c r="F514" s="4">
        <v>1</v>
      </c>
      <c r="G514" s="3">
        <v>285465</v>
      </c>
      <c r="H514" s="1"/>
    </row>
    <row r="515" spans="1:8" x14ac:dyDescent="0.45">
      <c r="A515" t="s">
        <v>548</v>
      </c>
      <c r="B515" s="1">
        <v>46290</v>
      </c>
      <c r="C515" t="s">
        <v>568</v>
      </c>
      <c r="D515" t="s">
        <v>33</v>
      </c>
      <c r="E515" t="s">
        <v>26</v>
      </c>
      <c r="F515" s="4">
        <v>10</v>
      </c>
      <c r="G515" s="3">
        <v>207872</v>
      </c>
      <c r="H515" s="1"/>
    </row>
    <row r="516" spans="1:8" x14ac:dyDescent="0.45">
      <c r="A516" t="s">
        <v>549</v>
      </c>
      <c r="B516" s="1">
        <v>46273</v>
      </c>
      <c r="C516" t="s">
        <v>574</v>
      </c>
      <c r="D516" t="s">
        <v>577</v>
      </c>
      <c r="E516" t="s">
        <v>19</v>
      </c>
      <c r="F516" s="4">
        <v>2</v>
      </c>
      <c r="G516" s="3">
        <v>414806</v>
      </c>
      <c r="H516" s="1"/>
    </row>
    <row r="517" spans="1:8" x14ac:dyDescent="0.45">
      <c r="A517" t="s">
        <v>550</v>
      </c>
      <c r="B517" s="1">
        <v>46274</v>
      </c>
      <c r="C517" t="s">
        <v>574</v>
      </c>
      <c r="D517" t="s">
        <v>10</v>
      </c>
      <c r="E517" t="s">
        <v>31</v>
      </c>
      <c r="F517" s="4">
        <v>1</v>
      </c>
      <c r="G517" s="3">
        <v>81115</v>
      </c>
      <c r="H517" s="1"/>
    </row>
    <row r="518" spans="1:8" x14ac:dyDescent="0.45">
      <c r="A518" t="s">
        <v>551</v>
      </c>
      <c r="B518" s="1">
        <v>46278</v>
      </c>
      <c r="C518" t="s">
        <v>571</v>
      </c>
      <c r="D518" t="s">
        <v>576</v>
      </c>
      <c r="E518" t="s">
        <v>31</v>
      </c>
      <c r="F518" s="4">
        <v>8</v>
      </c>
      <c r="G518" s="3">
        <v>483879</v>
      </c>
      <c r="H518" s="1"/>
    </row>
    <row r="519" spans="1:8" x14ac:dyDescent="0.45">
      <c r="A519" t="s">
        <v>552</v>
      </c>
      <c r="B519" s="1">
        <v>46279</v>
      </c>
      <c r="C519" t="s">
        <v>567</v>
      </c>
      <c r="D519" t="s">
        <v>10</v>
      </c>
      <c r="E519" t="s">
        <v>31</v>
      </c>
      <c r="F519" s="4">
        <v>5</v>
      </c>
      <c r="G519" s="3">
        <v>30522</v>
      </c>
      <c r="H519" s="1"/>
    </row>
    <row r="520" spans="1:8" x14ac:dyDescent="0.45">
      <c r="A520" t="s">
        <v>553</v>
      </c>
      <c r="B520" s="1">
        <v>46294</v>
      </c>
      <c r="C520" t="s">
        <v>568</v>
      </c>
      <c r="D520" t="s">
        <v>576</v>
      </c>
      <c r="E520" t="s">
        <v>38</v>
      </c>
      <c r="F520" s="4">
        <v>10</v>
      </c>
      <c r="G520" s="3">
        <v>432095</v>
      </c>
      <c r="H520" s="1"/>
    </row>
    <row r="521" spans="1:8" x14ac:dyDescent="0.45">
      <c r="A521" t="s">
        <v>554</v>
      </c>
      <c r="B521" s="1">
        <v>46272</v>
      </c>
      <c r="C521" t="s">
        <v>567</v>
      </c>
      <c r="D521" t="s">
        <v>33</v>
      </c>
      <c r="E521" t="s">
        <v>569</v>
      </c>
      <c r="F521" s="4" t="s">
        <v>140</v>
      </c>
      <c r="G521" s="3">
        <v>165343</v>
      </c>
      <c r="H521" s="1"/>
    </row>
    <row r="522" spans="1:8" x14ac:dyDescent="0.45">
      <c r="A522" t="s">
        <v>555</v>
      </c>
      <c r="B522" s="1">
        <v>46288</v>
      </c>
      <c r="C522" t="s">
        <v>567</v>
      </c>
      <c r="D522" t="s">
        <v>10</v>
      </c>
      <c r="E522" t="s">
        <v>19</v>
      </c>
      <c r="F522" s="4">
        <v>9</v>
      </c>
      <c r="G522" s="3">
        <v>359420</v>
      </c>
      <c r="H522" s="1"/>
    </row>
    <row r="523" spans="1:8" x14ac:dyDescent="0.45">
      <c r="A523" t="s">
        <v>556</v>
      </c>
      <c r="B523" s="1">
        <v>46279</v>
      </c>
      <c r="C523" t="s">
        <v>568</v>
      </c>
      <c r="D523" t="s">
        <v>33</v>
      </c>
      <c r="E523" t="s">
        <v>19</v>
      </c>
      <c r="F523" s="4" t="s">
        <v>239</v>
      </c>
      <c r="G523" s="3">
        <v>497725</v>
      </c>
      <c r="H523" s="1"/>
    </row>
    <row r="524" spans="1:8" x14ac:dyDescent="0.45">
      <c r="A524" t="s">
        <v>557</v>
      </c>
      <c r="B524" s="1">
        <v>46293</v>
      </c>
      <c r="C524" t="s">
        <v>567</v>
      </c>
      <c r="D524" t="s">
        <v>10</v>
      </c>
      <c r="E524" t="s">
        <v>49</v>
      </c>
      <c r="F524" s="4">
        <v>1</v>
      </c>
      <c r="G524" s="3">
        <v>274865</v>
      </c>
      <c r="H524" s="1"/>
    </row>
    <row r="525" spans="1:8" x14ac:dyDescent="0.45">
      <c r="A525" t="s">
        <v>558</v>
      </c>
      <c r="B525" s="1">
        <v>46285</v>
      </c>
      <c r="C525" t="s">
        <v>575</v>
      </c>
      <c r="D525" t="s">
        <v>10</v>
      </c>
      <c r="E525" t="s">
        <v>22</v>
      </c>
      <c r="F525" s="4">
        <v>3</v>
      </c>
      <c r="G525" s="3">
        <v>143561</v>
      </c>
      <c r="H525" s="1"/>
    </row>
    <row r="526" spans="1:8" x14ac:dyDescent="0.45">
      <c r="A526" t="s">
        <v>559</v>
      </c>
      <c r="B526" s="1">
        <v>46279</v>
      </c>
      <c r="C526" t="s">
        <v>574</v>
      </c>
      <c r="D526" t="s">
        <v>10</v>
      </c>
      <c r="E526" t="s">
        <v>26</v>
      </c>
      <c r="F526" s="4">
        <v>4</v>
      </c>
      <c r="G526" s="3">
        <v>195721</v>
      </c>
      <c r="H526" s="1"/>
    </row>
    <row r="527" spans="1:8" x14ac:dyDescent="0.45">
      <c r="A527" t="s">
        <v>560</v>
      </c>
      <c r="B527" s="1">
        <v>46280</v>
      </c>
      <c r="C527" t="s">
        <v>572</v>
      </c>
      <c r="D527" t="s">
        <v>33</v>
      </c>
      <c r="E527" t="s">
        <v>22</v>
      </c>
      <c r="F527" s="4">
        <v>9</v>
      </c>
      <c r="G527" s="3">
        <v>163660</v>
      </c>
      <c r="H527" s="1"/>
    </row>
    <row r="528" spans="1:8" x14ac:dyDescent="0.45">
      <c r="A528" t="s">
        <v>561</v>
      </c>
      <c r="B528" s="1">
        <v>46291</v>
      </c>
      <c r="C528" t="s">
        <v>568</v>
      </c>
      <c r="D528" t="s">
        <v>11</v>
      </c>
      <c r="E528" t="s">
        <v>38</v>
      </c>
      <c r="F528" s="4">
        <v>10</v>
      </c>
      <c r="G528" s="3">
        <v>156618</v>
      </c>
      <c r="H528" s="1"/>
    </row>
    <row r="529" spans="1:8" x14ac:dyDescent="0.45">
      <c r="A529" t="s">
        <v>562</v>
      </c>
      <c r="B529" s="1">
        <v>46287</v>
      </c>
      <c r="C529" t="s">
        <v>568</v>
      </c>
      <c r="D529" t="s">
        <v>10</v>
      </c>
      <c r="E529" t="s">
        <v>22</v>
      </c>
      <c r="F529" s="4">
        <v>7</v>
      </c>
      <c r="G529" s="3">
        <v>68682</v>
      </c>
      <c r="H529" s="1"/>
    </row>
    <row r="530" spans="1:8" x14ac:dyDescent="0.45">
      <c r="A530" t="s">
        <v>563</v>
      </c>
      <c r="B530" s="1">
        <v>46279</v>
      </c>
      <c r="C530" t="s">
        <v>575</v>
      </c>
      <c r="D530" t="s">
        <v>10</v>
      </c>
      <c r="E530" t="s">
        <v>24</v>
      </c>
      <c r="F530" s="4">
        <v>9</v>
      </c>
      <c r="G530" s="3">
        <v>50730</v>
      </c>
      <c r="H530" s="1"/>
    </row>
    <row r="531" spans="1:8" x14ac:dyDescent="0.45">
      <c r="A531" t="s">
        <v>564</v>
      </c>
      <c r="B531" s="1">
        <v>46272</v>
      </c>
      <c r="C531" t="s">
        <v>567</v>
      </c>
      <c r="D531" t="s">
        <v>576</v>
      </c>
      <c r="E531" t="s">
        <v>24</v>
      </c>
      <c r="F531" s="4">
        <v>3</v>
      </c>
      <c r="G531" s="3">
        <v>462910</v>
      </c>
      <c r="H531" s="1"/>
    </row>
    <row r="532" spans="1:8" x14ac:dyDescent="0.45">
      <c r="A532" t="s">
        <v>565</v>
      </c>
      <c r="B532" s="1">
        <v>46276</v>
      </c>
      <c r="C532" t="s">
        <v>567</v>
      </c>
      <c r="D532" t="s">
        <v>10</v>
      </c>
      <c r="E532" t="s">
        <v>49</v>
      </c>
      <c r="F532" s="4" t="s">
        <v>164</v>
      </c>
      <c r="G532" s="3">
        <v>378814</v>
      </c>
      <c r="H532" s="1"/>
    </row>
    <row r="533" spans="1:8" x14ac:dyDescent="0.45">
      <c r="A533" t="s">
        <v>566</v>
      </c>
      <c r="B533" s="1">
        <v>46268</v>
      </c>
      <c r="C533" t="s">
        <v>570</v>
      </c>
      <c r="D533" t="s">
        <v>10</v>
      </c>
      <c r="E533" t="s">
        <v>24</v>
      </c>
      <c r="F533" s="4">
        <v>2</v>
      </c>
      <c r="G533" s="3">
        <v>370229</v>
      </c>
      <c r="H5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Pratique_Nettoyage</vt:lpstr>
      <vt:lpstr>Raw_Data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2026-09-02T17:10:36Z</dcterms:created>
  <dcterms:modified xsi:type="dcterms:W3CDTF">2026-09-02T20:54:06Z</dcterms:modified>
</cp:coreProperties>
</file>